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MRUNMAYEE\Documents\insurance_risk_engine_project\insurance_risk_engine\phase1_excel\"/>
    </mc:Choice>
  </mc:AlternateContent>
  <xr:revisionPtr revIDLastSave="0" documentId="13_ncr:1_{DD1238D7-9202-4FD9-9167-650C7C38D69A}" xr6:coauthVersionLast="47" xr6:coauthVersionMax="47" xr10:uidLastSave="{00000000-0000-0000-0000-000000000000}"/>
  <bookViews>
    <workbookView xWindow="-108" yWindow="-108" windowWidth="23256" windowHeight="12456" tabRatio="500" firstSheet="5" activeTab="9" xr2:uid="{00000000-000D-0000-FFFF-FFFF00000000}"/>
  </bookViews>
  <sheets>
    <sheet name="Management Summary" sheetId="1" r:id="rId1"/>
    <sheet name="Inputs" sheetId="2" r:id="rId2"/>
    <sheet name="Calculations" sheetId="3" r:id="rId3"/>
    <sheet name="Sensitivity Analysis" sheetId="4" r:id="rId4"/>
    <sheet name="Pricing Adequacy" sheetId="5" r:id="rId5"/>
    <sheet name="Capital &amp; Solvency" sheetId="6" r:id="rId6"/>
    <sheet name="Simulation" sheetId="7" r:id="rId7"/>
    <sheet name="Scenario Comparison" sheetId="8" r:id="rId8"/>
    <sheet name="Dashboard" sheetId="9" r:id="rId9"/>
    <sheet name="Model Notes" sheetId="10" r:id="rId10"/>
  </sheets>
  <calcPr calcId="181029" iterateDelta="1E-4"/>
</workbook>
</file>

<file path=xl/calcChain.xml><?xml version="1.0" encoding="utf-8"?>
<calcChain xmlns="http://schemas.openxmlformats.org/spreadsheetml/2006/main">
  <c r="C18" i="5" l="1"/>
  <c r="G23" i="4"/>
  <c r="F23" i="4"/>
  <c r="E23" i="4"/>
  <c r="D23" i="4"/>
  <c r="C23" i="4"/>
  <c r="G17" i="4"/>
  <c r="F17" i="4"/>
  <c r="E17" i="4"/>
  <c r="D17" i="4"/>
  <c r="C17" i="4"/>
  <c r="G9" i="4"/>
  <c r="F9" i="4"/>
  <c r="E9" i="4"/>
  <c r="D9" i="4"/>
  <c r="C9" i="4"/>
  <c r="B24" i="3"/>
  <c r="C24" i="3" s="1"/>
  <c r="C25" i="3" s="1"/>
  <c r="E17" i="8"/>
  <c r="E14" i="8"/>
  <c r="E13" i="8"/>
  <c r="D17" i="8"/>
  <c r="D14" i="8"/>
  <c r="D13" i="8"/>
  <c r="C17" i="8"/>
  <c r="C14" i="8"/>
  <c r="C13" i="8"/>
  <c r="E30" i="4"/>
  <c r="E29" i="4"/>
  <c r="E28" i="4"/>
  <c r="C30" i="4"/>
  <c r="C29" i="4"/>
  <c r="C28" i="4"/>
  <c r="G24" i="4"/>
  <c r="F24" i="4"/>
  <c r="E24" i="4"/>
  <c r="D24" i="4"/>
  <c r="C24" i="4"/>
  <c r="G18" i="4"/>
  <c r="F18" i="4"/>
  <c r="E18" i="4"/>
  <c r="D18" i="4"/>
  <c r="C18" i="4"/>
  <c r="G10" i="4"/>
  <c r="F10" i="4"/>
  <c r="E10" i="4"/>
  <c r="D10" i="4"/>
  <c r="C10" i="4"/>
  <c r="B10" i="3"/>
  <c r="C21" i="9"/>
  <c r="E16" i="8"/>
  <c r="D16" i="8"/>
  <c r="C16" i="8"/>
  <c r="E15" i="8"/>
  <c r="D15" i="8"/>
  <c r="C15" i="8"/>
  <c r="E12" i="8"/>
  <c r="D12" i="8"/>
  <c r="C12" i="8"/>
  <c r="E11" i="8"/>
  <c r="D11" i="8"/>
  <c r="C11" i="8"/>
  <c r="E10" i="8"/>
  <c r="D10" i="8"/>
  <c r="C10" i="8"/>
  <c r="E9" i="8"/>
  <c r="D9" i="8"/>
  <c r="C9" i="8"/>
  <c r="E8" i="8"/>
  <c r="D8" i="8"/>
  <c r="C8" i="8"/>
  <c r="E7" i="8"/>
  <c r="F7" i="8" s="1"/>
  <c r="D7" i="8"/>
  <c r="C7" i="8"/>
  <c r="E6" i="8"/>
  <c r="D6" i="8"/>
  <c r="C6" i="8"/>
  <c r="B5004" i="7"/>
  <c r="C5004" i="7" s="1" a="1"/>
  <c r="C5004" i="7" s="1"/>
  <c r="B5003" i="7"/>
  <c r="C5003" i="7" s="1" a="1"/>
  <c r="C5003" i="7" s="1"/>
  <c r="B5002" i="7"/>
  <c r="C5002" i="7" s="1" a="1"/>
  <c r="C5002" i="7" s="1"/>
  <c r="B5001" i="7"/>
  <c r="C5001" i="7" s="1" a="1"/>
  <c r="C5001" i="7" s="1"/>
  <c r="B5000" i="7"/>
  <c r="C5000" i="7" s="1" a="1"/>
  <c r="C5000" i="7" s="1"/>
  <c r="B4999" i="7"/>
  <c r="C4999" i="7" s="1" a="1"/>
  <c r="C4999" i="7" s="1"/>
  <c r="B4998" i="7"/>
  <c r="C4998" i="7" s="1" a="1"/>
  <c r="C4998" i="7" s="1"/>
  <c r="B4997" i="7"/>
  <c r="C4997" i="7" s="1" a="1"/>
  <c r="C4997" i="7" s="1"/>
  <c r="B4996" i="7"/>
  <c r="C4996" i="7" s="1" a="1"/>
  <c r="C4996" i="7" s="1"/>
  <c r="B4995" i="7"/>
  <c r="C4995" i="7" s="1" a="1"/>
  <c r="C4995" i="7" s="1"/>
  <c r="B4994" i="7"/>
  <c r="C4994" i="7" s="1" a="1"/>
  <c r="C4994" i="7" s="1"/>
  <c r="B4993" i="7"/>
  <c r="C4993" i="7" s="1" a="1"/>
  <c r="C4993" i="7" s="1"/>
  <c r="B4992" i="7"/>
  <c r="C4992" i="7" s="1" a="1"/>
  <c r="C4992" i="7" s="1"/>
  <c r="B4991" i="7"/>
  <c r="C4991" i="7" s="1" a="1"/>
  <c r="C4991" i="7" s="1"/>
  <c r="B4990" i="7"/>
  <c r="C4990" i="7" s="1" a="1"/>
  <c r="C4990" i="7" s="1"/>
  <c r="B4989" i="7"/>
  <c r="C4989" i="7" s="1" a="1"/>
  <c r="C4989" i="7" s="1"/>
  <c r="B4988" i="7"/>
  <c r="C4988" i="7" s="1" a="1"/>
  <c r="C4988" i="7" s="1"/>
  <c r="B4987" i="7"/>
  <c r="C4987" i="7" s="1" a="1"/>
  <c r="C4987" i="7" s="1"/>
  <c r="B4986" i="7"/>
  <c r="C4986" i="7" s="1" a="1"/>
  <c r="C4986" i="7" s="1"/>
  <c r="B4985" i="7"/>
  <c r="C4985" i="7" s="1" a="1"/>
  <c r="C4985" i="7" s="1"/>
  <c r="B4984" i="7"/>
  <c r="C4984" i="7" s="1" a="1"/>
  <c r="C4984" i="7" s="1"/>
  <c r="B4983" i="7"/>
  <c r="C4983" i="7" s="1" a="1"/>
  <c r="C4983" i="7" s="1"/>
  <c r="B4982" i="7"/>
  <c r="C4982" i="7" s="1" a="1"/>
  <c r="C4982" i="7" s="1"/>
  <c r="B4981" i="7"/>
  <c r="C4981" i="7" s="1" a="1"/>
  <c r="C4981" i="7" s="1"/>
  <c r="B4980" i="7"/>
  <c r="C4980" i="7" s="1" a="1"/>
  <c r="C4980" i="7" s="1"/>
  <c r="B4979" i="7"/>
  <c r="C4979" i="7" s="1" a="1"/>
  <c r="C4979" i="7" s="1"/>
  <c r="B4978" i="7"/>
  <c r="C4978" i="7" s="1" a="1"/>
  <c r="C4978" i="7" s="1"/>
  <c r="B4977" i="7"/>
  <c r="C4977" i="7" s="1" a="1"/>
  <c r="C4977" i="7" s="1"/>
  <c r="B4976" i="7"/>
  <c r="C4976" i="7" s="1" a="1"/>
  <c r="C4976" i="7" s="1"/>
  <c r="B4975" i="7"/>
  <c r="C4975" i="7" s="1" a="1"/>
  <c r="C4975" i="7" s="1"/>
  <c r="B4974" i="7"/>
  <c r="C4974" i="7" s="1" a="1"/>
  <c r="C4974" i="7" s="1"/>
  <c r="B4973" i="7"/>
  <c r="C4973" i="7" s="1" a="1"/>
  <c r="C4973" i="7" s="1"/>
  <c r="B4972" i="7"/>
  <c r="C4972" i="7" s="1" a="1"/>
  <c r="C4972" i="7" s="1"/>
  <c r="B4971" i="7"/>
  <c r="C4971" i="7" s="1" a="1"/>
  <c r="C4971" i="7" s="1"/>
  <c r="B4970" i="7"/>
  <c r="C4970" i="7" s="1" a="1"/>
  <c r="C4970" i="7" s="1"/>
  <c r="B4969" i="7"/>
  <c r="C4969" i="7" s="1" a="1"/>
  <c r="C4969" i="7" s="1"/>
  <c r="B4968" i="7"/>
  <c r="C4968" i="7" s="1" a="1"/>
  <c r="C4968" i="7" s="1"/>
  <c r="B4967" i="7"/>
  <c r="C4967" i="7" s="1" a="1"/>
  <c r="C4967" i="7" s="1"/>
  <c r="B4966" i="7"/>
  <c r="C4966" i="7" s="1" a="1"/>
  <c r="C4966" i="7" s="1"/>
  <c r="B4965" i="7"/>
  <c r="C4965" i="7" s="1" a="1"/>
  <c r="C4965" i="7" s="1"/>
  <c r="B4964" i="7"/>
  <c r="C4964" i="7" s="1" a="1"/>
  <c r="C4964" i="7" s="1"/>
  <c r="B4963" i="7"/>
  <c r="C4963" i="7" s="1" a="1"/>
  <c r="C4963" i="7" s="1"/>
  <c r="B4962" i="7"/>
  <c r="C4962" i="7" s="1" a="1"/>
  <c r="C4962" i="7" s="1"/>
  <c r="B4961" i="7"/>
  <c r="C4961" i="7" s="1" a="1"/>
  <c r="C4961" i="7" s="1"/>
  <c r="B4960" i="7"/>
  <c r="C4960" i="7" s="1" a="1"/>
  <c r="C4960" i="7" s="1"/>
  <c r="B4959" i="7"/>
  <c r="C4959" i="7" s="1" a="1"/>
  <c r="C4959" i="7" s="1"/>
  <c r="B4958" i="7"/>
  <c r="C4958" i="7" s="1" a="1"/>
  <c r="C4958" i="7" s="1"/>
  <c r="B4957" i="7"/>
  <c r="C4957" i="7" s="1" a="1"/>
  <c r="C4957" i="7" s="1"/>
  <c r="B4956" i="7"/>
  <c r="C4956" i="7" s="1" a="1"/>
  <c r="C4956" i="7" s="1"/>
  <c r="B4955" i="7"/>
  <c r="C4955" i="7" s="1" a="1"/>
  <c r="C4955" i="7" s="1"/>
  <c r="B4954" i="7"/>
  <c r="C4954" i="7" s="1" a="1"/>
  <c r="C4954" i="7" s="1"/>
  <c r="B4953" i="7"/>
  <c r="C4953" i="7" s="1" a="1"/>
  <c r="C4953" i="7" s="1"/>
  <c r="B4952" i="7"/>
  <c r="C4952" i="7" s="1" a="1"/>
  <c r="C4952" i="7" s="1"/>
  <c r="B4951" i="7"/>
  <c r="C4951" i="7" s="1" a="1"/>
  <c r="C4951" i="7" s="1"/>
  <c r="B4950" i="7"/>
  <c r="C4950" i="7" s="1" a="1"/>
  <c r="C4950" i="7" s="1"/>
  <c r="B4949" i="7"/>
  <c r="C4949" i="7" s="1" a="1"/>
  <c r="C4949" i="7" s="1"/>
  <c r="B4948" i="7"/>
  <c r="C4948" i="7" s="1" a="1"/>
  <c r="C4948" i="7" s="1"/>
  <c r="B4947" i="7"/>
  <c r="C4947" i="7" s="1" a="1"/>
  <c r="C4947" i="7" s="1"/>
  <c r="B4946" i="7"/>
  <c r="C4946" i="7" s="1" a="1"/>
  <c r="C4946" i="7" s="1"/>
  <c r="B4945" i="7"/>
  <c r="C4945" i="7" s="1" a="1"/>
  <c r="C4945" i="7" s="1"/>
  <c r="B4944" i="7"/>
  <c r="C4944" i="7" s="1" a="1"/>
  <c r="C4944" i="7" s="1"/>
  <c r="B4943" i="7"/>
  <c r="C4943" i="7" s="1" a="1"/>
  <c r="C4943" i="7" s="1"/>
  <c r="B4942" i="7"/>
  <c r="C4942" i="7" s="1" a="1"/>
  <c r="C4942" i="7" s="1"/>
  <c r="B4941" i="7"/>
  <c r="C4941" i="7" s="1" a="1"/>
  <c r="C4941" i="7" s="1"/>
  <c r="B4940" i="7"/>
  <c r="C4940" i="7" s="1" a="1"/>
  <c r="C4940" i="7" s="1"/>
  <c r="B4939" i="7"/>
  <c r="C4939" i="7" s="1" a="1"/>
  <c r="C4939" i="7" s="1"/>
  <c r="B4938" i="7"/>
  <c r="C4938" i="7" s="1" a="1"/>
  <c r="C4938" i="7" s="1"/>
  <c r="B4937" i="7"/>
  <c r="C4937" i="7" s="1" a="1"/>
  <c r="C4937" i="7" s="1"/>
  <c r="B4936" i="7"/>
  <c r="C4936" i="7" s="1" a="1"/>
  <c r="C4936" i="7" s="1"/>
  <c r="B4935" i="7"/>
  <c r="C4935" i="7" s="1" a="1"/>
  <c r="C4935" i="7" s="1"/>
  <c r="B4934" i="7"/>
  <c r="C4934" i="7" s="1" a="1"/>
  <c r="C4934" i="7" s="1"/>
  <c r="B4933" i="7"/>
  <c r="C4933" i="7" s="1" a="1"/>
  <c r="C4933" i="7" s="1"/>
  <c r="B4932" i="7"/>
  <c r="C4932" i="7" s="1" a="1"/>
  <c r="C4932" i="7" s="1"/>
  <c r="B4931" i="7"/>
  <c r="C4931" i="7" s="1" a="1"/>
  <c r="C4931" i="7" s="1"/>
  <c r="B4930" i="7"/>
  <c r="C4930" i="7" s="1" a="1"/>
  <c r="C4930" i="7" s="1"/>
  <c r="B4929" i="7"/>
  <c r="C4929" i="7" s="1" a="1"/>
  <c r="C4929" i="7" s="1"/>
  <c r="B4928" i="7"/>
  <c r="C4928" i="7" s="1" a="1"/>
  <c r="C4928" i="7" s="1"/>
  <c r="B4927" i="7"/>
  <c r="C4927" i="7" s="1" a="1"/>
  <c r="C4927" i="7" s="1"/>
  <c r="B4926" i="7"/>
  <c r="C4926" i="7" s="1" a="1"/>
  <c r="C4926" i="7" s="1"/>
  <c r="B4925" i="7"/>
  <c r="C4925" i="7" s="1" a="1"/>
  <c r="C4925" i="7" s="1"/>
  <c r="B4924" i="7"/>
  <c r="C4924" i="7" s="1" a="1"/>
  <c r="C4924" i="7" s="1"/>
  <c r="B4923" i="7"/>
  <c r="C4923" i="7" s="1" a="1"/>
  <c r="C4923" i="7" s="1"/>
  <c r="B4922" i="7"/>
  <c r="C4922" i="7" s="1" a="1"/>
  <c r="C4922" i="7" s="1"/>
  <c r="B4921" i="7"/>
  <c r="C4921" i="7" s="1" a="1"/>
  <c r="C4921" i="7" s="1"/>
  <c r="B4920" i="7"/>
  <c r="C4920" i="7" s="1" a="1"/>
  <c r="C4920" i="7" s="1"/>
  <c r="B4919" i="7"/>
  <c r="C4919" i="7" s="1" a="1"/>
  <c r="C4919" i="7" s="1"/>
  <c r="B4918" i="7"/>
  <c r="C4918" i="7" s="1" a="1"/>
  <c r="C4918" i="7" s="1"/>
  <c r="B4917" i="7"/>
  <c r="C4917" i="7" s="1" a="1"/>
  <c r="C4917" i="7" s="1"/>
  <c r="B4916" i="7"/>
  <c r="C4916" i="7" s="1" a="1"/>
  <c r="C4916" i="7" s="1"/>
  <c r="B4915" i="7"/>
  <c r="C4915" i="7" s="1" a="1"/>
  <c r="C4915" i="7" s="1"/>
  <c r="B4914" i="7"/>
  <c r="C4914" i="7" s="1" a="1"/>
  <c r="C4914" i="7" s="1"/>
  <c r="B4913" i="7"/>
  <c r="C4913" i="7" s="1" a="1"/>
  <c r="C4913" i="7" s="1"/>
  <c r="B4912" i="7"/>
  <c r="C4912" i="7" s="1" a="1"/>
  <c r="C4912" i="7" s="1"/>
  <c r="B4911" i="7"/>
  <c r="C4911" i="7" s="1" a="1"/>
  <c r="C4911" i="7" s="1"/>
  <c r="B4910" i="7"/>
  <c r="C4910" i="7" s="1" a="1"/>
  <c r="C4910" i="7" s="1"/>
  <c r="B4909" i="7"/>
  <c r="C4909" i="7" s="1" a="1"/>
  <c r="C4909" i="7" s="1"/>
  <c r="B4908" i="7"/>
  <c r="C4908" i="7" s="1" a="1"/>
  <c r="C4908" i="7" s="1"/>
  <c r="B4907" i="7"/>
  <c r="C4907" i="7" s="1" a="1"/>
  <c r="C4907" i="7" s="1"/>
  <c r="B4906" i="7"/>
  <c r="C4906" i="7" s="1" a="1"/>
  <c r="C4906" i="7" s="1"/>
  <c r="B4905" i="7"/>
  <c r="C4905" i="7" s="1" a="1"/>
  <c r="C4905" i="7" s="1"/>
  <c r="B4904" i="7"/>
  <c r="C4904" i="7" s="1" a="1"/>
  <c r="C4904" i="7" s="1"/>
  <c r="B4903" i="7"/>
  <c r="C4903" i="7" s="1" a="1"/>
  <c r="C4903" i="7" s="1"/>
  <c r="B4902" i="7"/>
  <c r="C4902" i="7" s="1" a="1"/>
  <c r="C4902" i="7" s="1"/>
  <c r="B4901" i="7"/>
  <c r="C4901" i="7" s="1" a="1"/>
  <c r="C4901" i="7" s="1"/>
  <c r="B4900" i="7"/>
  <c r="C4900" i="7" s="1" a="1"/>
  <c r="C4900" i="7" s="1"/>
  <c r="B4899" i="7"/>
  <c r="C4899" i="7" s="1" a="1"/>
  <c r="C4899" i="7" s="1"/>
  <c r="B4898" i="7"/>
  <c r="C4898" i="7" s="1" a="1"/>
  <c r="C4898" i="7" s="1"/>
  <c r="B4897" i="7"/>
  <c r="C4897" i="7" s="1" a="1"/>
  <c r="C4897" i="7" s="1"/>
  <c r="B4896" i="7"/>
  <c r="C4896" i="7" s="1" a="1"/>
  <c r="C4896" i="7" s="1"/>
  <c r="B4895" i="7"/>
  <c r="C4895" i="7" s="1" a="1"/>
  <c r="C4895" i="7" s="1"/>
  <c r="B4894" i="7"/>
  <c r="C4894" i="7" s="1" a="1"/>
  <c r="C4894" i="7" s="1"/>
  <c r="B4893" i="7"/>
  <c r="C4893" i="7" s="1" a="1"/>
  <c r="C4893" i="7" s="1"/>
  <c r="B4892" i="7"/>
  <c r="C4892" i="7" s="1" a="1"/>
  <c r="C4892" i="7" s="1"/>
  <c r="B4891" i="7"/>
  <c r="C4891" i="7" s="1" a="1"/>
  <c r="C4891" i="7" s="1"/>
  <c r="B4890" i="7"/>
  <c r="C4890" i="7" s="1" a="1"/>
  <c r="C4890" i="7" s="1"/>
  <c r="B4889" i="7"/>
  <c r="C4889" i="7" s="1" a="1"/>
  <c r="C4889" i="7" s="1"/>
  <c r="B4888" i="7"/>
  <c r="C4888" i="7" s="1" a="1"/>
  <c r="C4888" i="7" s="1"/>
  <c r="B4887" i="7"/>
  <c r="C4887" i="7" s="1" a="1"/>
  <c r="C4887" i="7" s="1"/>
  <c r="B4886" i="7"/>
  <c r="C4886" i="7" s="1" a="1"/>
  <c r="C4886" i="7" s="1"/>
  <c r="B4885" i="7"/>
  <c r="C4885" i="7" s="1" a="1"/>
  <c r="C4885" i="7" s="1"/>
  <c r="B4884" i="7"/>
  <c r="C4884" i="7" s="1" a="1"/>
  <c r="C4884" i="7" s="1"/>
  <c r="B4883" i="7"/>
  <c r="C4883" i="7" s="1" a="1"/>
  <c r="C4883" i="7" s="1"/>
  <c r="B4882" i="7"/>
  <c r="C4882" i="7" s="1" a="1"/>
  <c r="C4882" i="7" s="1"/>
  <c r="B4881" i="7"/>
  <c r="C4881" i="7" s="1" a="1"/>
  <c r="C4881" i="7" s="1"/>
  <c r="B4880" i="7"/>
  <c r="C4880" i="7" s="1" a="1"/>
  <c r="C4880" i="7" s="1"/>
  <c r="B4879" i="7"/>
  <c r="C4879" i="7" s="1" a="1"/>
  <c r="C4879" i="7" s="1"/>
  <c r="B4878" i="7"/>
  <c r="C4878" i="7" s="1" a="1"/>
  <c r="C4878" i="7" s="1"/>
  <c r="B4877" i="7"/>
  <c r="C4877" i="7" s="1" a="1"/>
  <c r="C4877" i="7" s="1"/>
  <c r="B4876" i="7"/>
  <c r="C4876" i="7" s="1" a="1"/>
  <c r="C4876" i="7" s="1"/>
  <c r="B4875" i="7"/>
  <c r="C4875" i="7" s="1" a="1"/>
  <c r="C4875" i="7" s="1"/>
  <c r="B4874" i="7"/>
  <c r="C4874" i="7" s="1" a="1"/>
  <c r="C4874" i="7" s="1"/>
  <c r="B4873" i="7"/>
  <c r="C4873" i="7" s="1" a="1"/>
  <c r="C4873" i="7" s="1"/>
  <c r="B4872" i="7"/>
  <c r="C4872" i="7" s="1" a="1"/>
  <c r="C4872" i="7" s="1"/>
  <c r="B4871" i="7"/>
  <c r="C4871" i="7" s="1" a="1"/>
  <c r="C4871" i="7" s="1"/>
  <c r="B4870" i="7"/>
  <c r="C4870" i="7" s="1" a="1"/>
  <c r="C4870" i="7" s="1"/>
  <c r="B4869" i="7"/>
  <c r="C4869" i="7" s="1" a="1"/>
  <c r="C4869" i="7" s="1"/>
  <c r="B4868" i="7"/>
  <c r="C4868" i="7" s="1" a="1"/>
  <c r="C4868" i="7" s="1"/>
  <c r="B4867" i="7"/>
  <c r="C4867" i="7" s="1" a="1"/>
  <c r="C4867" i="7" s="1"/>
  <c r="B4866" i="7"/>
  <c r="C4866" i="7" s="1" a="1"/>
  <c r="C4866" i="7" s="1"/>
  <c r="B4865" i="7"/>
  <c r="C4865" i="7" s="1" a="1"/>
  <c r="C4865" i="7" s="1"/>
  <c r="B4864" i="7"/>
  <c r="C4864" i="7" s="1" a="1"/>
  <c r="C4864" i="7" s="1"/>
  <c r="B4863" i="7"/>
  <c r="C4863" i="7" s="1" a="1"/>
  <c r="C4863" i="7" s="1"/>
  <c r="B4862" i="7"/>
  <c r="C4862" i="7" s="1" a="1"/>
  <c r="C4862" i="7" s="1"/>
  <c r="B4861" i="7"/>
  <c r="C4861" i="7" s="1" a="1"/>
  <c r="C4861" i="7" s="1"/>
  <c r="B4860" i="7"/>
  <c r="C4860" i="7" s="1" a="1"/>
  <c r="C4860" i="7" s="1"/>
  <c r="B4859" i="7"/>
  <c r="C4859" i="7" s="1" a="1"/>
  <c r="C4859" i="7" s="1"/>
  <c r="B4858" i="7"/>
  <c r="C4858" i="7" s="1" a="1"/>
  <c r="C4858" i="7" s="1"/>
  <c r="B4857" i="7"/>
  <c r="C4857" i="7" s="1" a="1"/>
  <c r="C4857" i="7" s="1"/>
  <c r="B4856" i="7"/>
  <c r="C4856" i="7" s="1" a="1"/>
  <c r="C4856" i="7" s="1"/>
  <c r="B4855" i="7"/>
  <c r="C4855" i="7" s="1" a="1"/>
  <c r="C4855" i="7" s="1"/>
  <c r="B4854" i="7"/>
  <c r="C4854" i="7" s="1" a="1"/>
  <c r="C4854" i="7" s="1"/>
  <c r="B4853" i="7"/>
  <c r="C4853" i="7" s="1" a="1"/>
  <c r="C4853" i="7" s="1"/>
  <c r="B4852" i="7"/>
  <c r="C4852" i="7" s="1" a="1"/>
  <c r="C4852" i="7" s="1"/>
  <c r="B4851" i="7"/>
  <c r="C4851" i="7" s="1" a="1"/>
  <c r="C4851" i="7" s="1"/>
  <c r="B4850" i="7"/>
  <c r="C4850" i="7" s="1" a="1"/>
  <c r="C4850" i="7" s="1"/>
  <c r="B4849" i="7"/>
  <c r="C4849" i="7" s="1" a="1"/>
  <c r="C4849" i="7" s="1"/>
  <c r="B4848" i="7"/>
  <c r="C4848" i="7" s="1" a="1"/>
  <c r="C4848" i="7" s="1"/>
  <c r="B4847" i="7"/>
  <c r="C4847" i="7" s="1" a="1"/>
  <c r="C4847" i="7" s="1"/>
  <c r="B4846" i="7"/>
  <c r="C4846" i="7" s="1" a="1"/>
  <c r="C4846" i="7" s="1"/>
  <c r="B4845" i="7"/>
  <c r="C4845" i="7" s="1" a="1"/>
  <c r="C4845" i="7" s="1"/>
  <c r="B4844" i="7"/>
  <c r="C4844" i="7" s="1" a="1"/>
  <c r="C4844" i="7" s="1"/>
  <c r="B4843" i="7"/>
  <c r="C4843" i="7" s="1" a="1"/>
  <c r="C4843" i="7" s="1"/>
  <c r="B4842" i="7"/>
  <c r="C4842" i="7" s="1" a="1"/>
  <c r="C4842" i="7" s="1"/>
  <c r="B4841" i="7"/>
  <c r="C4841" i="7" s="1" a="1"/>
  <c r="C4841" i="7" s="1"/>
  <c r="B4840" i="7"/>
  <c r="C4840" i="7" s="1" a="1"/>
  <c r="C4840" i="7" s="1"/>
  <c r="B4839" i="7"/>
  <c r="C4839" i="7" s="1" a="1"/>
  <c r="C4839" i="7" s="1"/>
  <c r="B4838" i="7"/>
  <c r="C4838" i="7" s="1" a="1"/>
  <c r="C4838" i="7" s="1"/>
  <c r="B4837" i="7"/>
  <c r="C4837" i="7" s="1" a="1"/>
  <c r="C4837" i="7" s="1"/>
  <c r="B4836" i="7"/>
  <c r="C4836" i="7" s="1" a="1"/>
  <c r="C4836" i="7" s="1"/>
  <c r="B4835" i="7"/>
  <c r="C4835" i="7" s="1" a="1"/>
  <c r="C4835" i="7" s="1"/>
  <c r="B4834" i="7"/>
  <c r="C4834" i="7" s="1" a="1"/>
  <c r="C4834" i="7" s="1"/>
  <c r="B4833" i="7"/>
  <c r="C4833" i="7" s="1" a="1"/>
  <c r="C4833" i="7" s="1"/>
  <c r="B4832" i="7"/>
  <c r="C4832" i="7" s="1" a="1"/>
  <c r="C4832" i="7" s="1"/>
  <c r="B4831" i="7"/>
  <c r="C4831" i="7" s="1" a="1"/>
  <c r="C4831" i="7" s="1"/>
  <c r="B4830" i="7"/>
  <c r="C4830" i="7" s="1" a="1"/>
  <c r="C4830" i="7" s="1"/>
  <c r="B4829" i="7"/>
  <c r="C4829" i="7" s="1" a="1"/>
  <c r="C4829" i="7" s="1"/>
  <c r="B4828" i="7"/>
  <c r="C4828" i="7" s="1" a="1"/>
  <c r="C4828" i="7" s="1"/>
  <c r="B4827" i="7"/>
  <c r="C4827" i="7" s="1" a="1"/>
  <c r="C4827" i="7" s="1"/>
  <c r="B4826" i="7"/>
  <c r="C4826" i="7" s="1" a="1"/>
  <c r="C4826" i="7" s="1"/>
  <c r="B4825" i="7"/>
  <c r="C4825" i="7" s="1" a="1"/>
  <c r="C4825" i="7" s="1"/>
  <c r="B4824" i="7"/>
  <c r="C4824" i="7" s="1" a="1"/>
  <c r="C4824" i="7" s="1"/>
  <c r="B4823" i="7"/>
  <c r="C4823" i="7" s="1" a="1"/>
  <c r="C4823" i="7" s="1"/>
  <c r="B4822" i="7"/>
  <c r="C4822" i="7" s="1" a="1"/>
  <c r="C4822" i="7" s="1"/>
  <c r="B4821" i="7"/>
  <c r="C4821" i="7" s="1" a="1"/>
  <c r="C4821" i="7" s="1"/>
  <c r="B4820" i="7"/>
  <c r="C4820" i="7" s="1" a="1"/>
  <c r="C4820" i="7" s="1"/>
  <c r="B4819" i="7"/>
  <c r="C4819" i="7" s="1" a="1"/>
  <c r="C4819" i="7" s="1"/>
  <c r="B4818" i="7"/>
  <c r="C4818" i="7" s="1" a="1"/>
  <c r="C4818" i="7" s="1"/>
  <c r="B4817" i="7"/>
  <c r="C4817" i="7" s="1" a="1"/>
  <c r="C4817" i="7" s="1"/>
  <c r="B4816" i="7"/>
  <c r="C4816" i="7" s="1" a="1"/>
  <c r="C4816" i="7" s="1"/>
  <c r="B4815" i="7"/>
  <c r="C4815" i="7" s="1" a="1"/>
  <c r="C4815" i="7" s="1"/>
  <c r="B4814" i="7"/>
  <c r="C4814" i="7" s="1" a="1"/>
  <c r="C4814" i="7" s="1"/>
  <c r="B4813" i="7"/>
  <c r="C4813" i="7" s="1" a="1"/>
  <c r="C4813" i="7" s="1"/>
  <c r="B4812" i="7"/>
  <c r="C4812" i="7" s="1" a="1"/>
  <c r="C4812" i="7" s="1"/>
  <c r="B4811" i="7"/>
  <c r="C4811" i="7" s="1" a="1"/>
  <c r="C4811" i="7" s="1"/>
  <c r="B4810" i="7"/>
  <c r="C4810" i="7" s="1" a="1"/>
  <c r="C4810" i="7" s="1"/>
  <c r="B4809" i="7"/>
  <c r="C4809" i="7" s="1" a="1"/>
  <c r="C4809" i="7" s="1"/>
  <c r="B4808" i="7"/>
  <c r="C4808" i="7" s="1" a="1"/>
  <c r="C4808" i="7" s="1"/>
  <c r="B4807" i="7"/>
  <c r="C4807" i="7" s="1" a="1"/>
  <c r="C4807" i="7" s="1"/>
  <c r="B4806" i="7"/>
  <c r="C4806" i="7" s="1" a="1"/>
  <c r="C4806" i="7" s="1"/>
  <c r="B4805" i="7"/>
  <c r="C4805" i="7" s="1" a="1"/>
  <c r="C4805" i="7" s="1"/>
  <c r="B4804" i="7"/>
  <c r="C4804" i="7" s="1" a="1"/>
  <c r="C4804" i="7" s="1"/>
  <c r="B4803" i="7"/>
  <c r="C4803" i="7" s="1" a="1"/>
  <c r="C4803" i="7" s="1"/>
  <c r="B4802" i="7"/>
  <c r="C4802" i="7" s="1" a="1"/>
  <c r="C4802" i="7" s="1"/>
  <c r="B4801" i="7"/>
  <c r="C4801" i="7" s="1" a="1"/>
  <c r="C4801" i="7" s="1"/>
  <c r="B4800" i="7"/>
  <c r="C4800" i="7" s="1" a="1"/>
  <c r="C4800" i="7" s="1"/>
  <c r="B4799" i="7"/>
  <c r="C4799" i="7" s="1" a="1"/>
  <c r="C4799" i="7" s="1"/>
  <c r="B4798" i="7"/>
  <c r="C4798" i="7" s="1" a="1"/>
  <c r="C4798" i="7" s="1"/>
  <c r="B4797" i="7"/>
  <c r="C4797" i="7" s="1" a="1"/>
  <c r="C4797" i="7" s="1"/>
  <c r="B4796" i="7"/>
  <c r="C4796" i="7" s="1" a="1"/>
  <c r="C4796" i="7" s="1"/>
  <c r="B4795" i="7"/>
  <c r="C4795" i="7" s="1" a="1"/>
  <c r="C4795" i="7" s="1"/>
  <c r="B4794" i="7"/>
  <c r="C4794" i="7" s="1" a="1"/>
  <c r="C4794" i="7" s="1"/>
  <c r="B4793" i="7"/>
  <c r="C4793" i="7" s="1" a="1"/>
  <c r="C4793" i="7" s="1"/>
  <c r="B4792" i="7"/>
  <c r="C4792" i="7" s="1" a="1"/>
  <c r="C4792" i="7" s="1"/>
  <c r="B4791" i="7"/>
  <c r="C4791" i="7" s="1" a="1"/>
  <c r="C4791" i="7" s="1"/>
  <c r="B4790" i="7"/>
  <c r="C4790" i="7" s="1" a="1"/>
  <c r="C4790" i="7" s="1"/>
  <c r="B4789" i="7"/>
  <c r="C4789" i="7" s="1" a="1"/>
  <c r="C4789" i="7" s="1"/>
  <c r="B4788" i="7"/>
  <c r="C4788" i="7" s="1" a="1"/>
  <c r="C4788" i="7" s="1"/>
  <c r="B4787" i="7"/>
  <c r="C4787" i="7" s="1" a="1"/>
  <c r="C4787" i="7" s="1"/>
  <c r="B4786" i="7"/>
  <c r="C4786" i="7" s="1" a="1"/>
  <c r="C4786" i="7" s="1"/>
  <c r="B4785" i="7"/>
  <c r="C4785" i="7" s="1" a="1"/>
  <c r="C4785" i="7" s="1"/>
  <c r="B4784" i="7"/>
  <c r="C4784" i="7" s="1" a="1"/>
  <c r="C4784" i="7" s="1"/>
  <c r="B4783" i="7"/>
  <c r="C4783" i="7" s="1" a="1"/>
  <c r="C4783" i="7" s="1"/>
  <c r="B4782" i="7"/>
  <c r="C4782" i="7" s="1" a="1"/>
  <c r="C4782" i="7" s="1"/>
  <c r="B4781" i="7"/>
  <c r="C4781" i="7" s="1" a="1"/>
  <c r="C4781" i="7" s="1"/>
  <c r="B4780" i="7"/>
  <c r="C4780" i="7" s="1" a="1"/>
  <c r="C4780" i="7" s="1"/>
  <c r="B4779" i="7"/>
  <c r="C4779" i="7" s="1" a="1"/>
  <c r="C4779" i="7" s="1"/>
  <c r="B4778" i="7"/>
  <c r="C4778" i="7" s="1" a="1"/>
  <c r="C4778" i="7" s="1"/>
  <c r="B4777" i="7"/>
  <c r="C4777" i="7" s="1" a="1"/>
  <c r="C4777" i="7" s="1"/>
  <c r="B4776" i="7"/>
  <c r="C4776" i="7" s="1" a="1"/>
  <c r="C4776" i="7" s="1"/>
  <c r="B4775" i="7"/>
  <c r="C4775" i="7" s="1" a="1"/>
  <c r="C4775" i="7" s="1"/>
  <c r="B4774" i="7"/>
  <c r="C4774" i="7" s="1" a="1"/>
  <c r="C4774" i="7" s="1"/>
  <c r="B4773" i="7"/>
  <c r="C4773" i="7" s="1" a="1"/>
  <c r="C4773" i="7" s="1"/>
  <c r="B4772" i="7"/>
  <c r="C4772" i="7" s="1" a="1"/>
  <c r="C4772" i="7" s="1"/>
  <c r="B4771" i="7"/>
  <c r="C4771" i="7" s="1" a="1"/>
  <c r="C4771" i="7" s="1"/>
  <c r="B4770" i="7"/>
  <c r="C4770" i="7" s="1" a="1"/>
  <c r="C4770" i="7" s="1"/>
  <c r="B4769" i="7"/>
  <c r="C4769" i="7" s="1" a="1"/>
  <c r="C4769" i="7" s="1"/>
  <c r="B4768" i="7"/>
  <c r="C4768" i="7" s="1" a="1"/>
  <c r="C4768" i="7" s="1"/>
  <c r="B4767" i="7"/>
  <c r="C4767" i="7" s="1" a="1"/>
  <c r="C4767" i="7" s="1"/>
  <c r="B4766" i="7"/>
  <c r="C4766" i="7" s="1" a="1"/>
  <c r="C4766" i="7" s="1"/>
  <c r="B4765" i="7"/>
  <c r="C4765" i="7" s="1" a="1"/>
  <c r="C4765" i="7" s="1"/>
  <c r="B4764" i="7"/>
  <c r="C4764" i="7" s="1" a="1"/>
  <c r="C4764" i="7" s="1"/>
  <c r="B4763" i="7"/>
  <c r="C4763" i="7" s="1" a="1"/>
  <c r="C4763" i="7" s="1"/>
  <c r="B4762" i="7"/>
  <c r="C4762" i="7" s="1" a="1"/>
  <c r="C4762" i="7" s="1"/>
  <c r="B4761" i="7"/>
  <c r="C4761" i="7" s="1" a="1"/>
  <c r="C4761" i="7" s="1"/>
  <c r="B4760" i="7"/>
  <c r="C4760" i="7" s="1" a="1"/>
  <c r="C4760" i="7" s="1"/>
  <c r="B4759" i="7"/>
  <c r="C4759" i="7" s="1" a="1"/>
  <c r="C4759" i="7" s="1"/>
  <c r="B4758" i="7"/>
  <c r="C4758" i="7" s="1" a="1"/>
  <c r="C4758" i="7" s="1"/>
  <c r="B4757" i="7"/>
  <c r="C4757" i="7" s="1" a="1"/>
  <c r="C4757" i="7" s="1"/>
  <c r="B4756" i="7"/>
  <c r="C4756" i="7" s="1" a="1"/>
  <c r="C4756" i="7" s="1"/>
  <c r="B4755" i="7"/>
  <c r="C4755" i="7" s="1" a="1"/>
  <c r="C4755" i="7" s="1"/>
  <c r="B4754" i="7"/>
  <c r="C4754" i="7" s="1" a="1"/>
  <c r="C4754" i="7" s="1"/>
  <c r="B4753" i="7"/>
  <c r="C4753" i="7" s="1" a="1"/>
  <c r="C4753" i="7" s="1"/>
  <c r="B4752" i="7"/>
  <c r="C4752" i="7" s="1" a="1"/>
  <c r="C4752" i="7" s="1"/>
  <c r="B4751" i="7"/>
  <c r="C4751" i="7" s="1" a="1"/>
  <c r="C4751" i="7" s="1"/>
  <c r="B4750" i="7"/>
  <c r="C4750" i="7" s="1" a="1"/>
  <c r="C4750" i="7" s="1"/>
  <c r="B4749" i="7"/>
  <c r="C4749" i="7" s="1" a="1"/>
  <c r="C4749" i="7" s="1"/>
  <c r="B4748" i="7"/>
  <c r="C4748" i="7" s="1" a="1"/>
  <c r="C4748" i="7" s="1"/>
  <c r="B4747" i="7"/>
  <c r="C4747" i="7" s="1" a="1"/>
  <c r="C4747" i="7" s="1"/>
  <c r="B4746" i="7"/>
  <c r="C4746" i="7" s="1" a="1"/>
  <c r="C4746" i="7" s="1"/>
  <c r="B4745" i="7"/>
  <c r="C4745" i="7" s="1" a="1"/>
  <c r="C4745" i="7" s="1"/>
  <c r="B4744" i="7"/>
  <c r="C4744" i="7" s="1" a="1"/>
  <c r="C4744" i="7" s="1"/>
  <c r="B4743" i="7"/>
  <c r="C4743" i="7" s="1" a="1"/>
  <c r="C4743" i="7" s="1"/>
  <c r="B4742" i="7"/>
  <c r="C4742" i="7" s="1" a="1"/>
  <c r="C4742" i="7" s="1"/>
  <c r="B4741" i="7"/>
  <c r="C4741" i="7" s="1" a="1"/>
  <c r="C4741" i="7" s="1"/>
  <c r="B4740" i="7"/>
  <c r="C4740" i="7" s="1" a="1"/>
  <c r="C4740" i="7" s="1"/>
  <c r="B4739" i="7"/>
  <c r="C4739" i="7" s="1" a="1"/>
  <c r="C4739" i="7" s="1"/>
  <c r="B4738" i="7"/>
  <c r="C4738" i="7" s="1" a="1"/>
  <c r="C4738" i="7" s="1"/>
  <c r="B4737" i="7"/>
  <c r="C4737" i="7" s="1" a="1"/>
  <c r="C4737" i="7" s="1"/>
  <c r="B4736" i="7"/>
  <c r="C4736" i="7" s="1" a="1"/>
  <c r="C4736" i="7" s="1"/>
  <c r="B4735" i="7"/>
  <c r="C4735" i="7" s="1" a="1"/>
  <c r="C4735" i="7" s="1"/>
  <c r="B4734" i="7"/>
  <c r="C4734" i="7" s="1" a="1"/>
  <c r="C4734" i="7" s="1"/>
  <c r="B4733" i="7"/>
  <c r="C4733" i="7" s="1" a="1"/>
  <c r="C4733" i="7" s="1"/>
  <c r="B4732" i="7"/>
  <c r="C4732" i="7" s="1" a="1"/>
  <c r="C4732" i="7" s="1"/>
  <c r="B4731" i="7"/>
  <c r="C4731" i="7" s="1" a="1"/>
  <c r="C4731" i="7" s="1"/>
  <c r="B4730" i="7"/>
  <c r="C4730" i="7" s="1" a="1"/>
  <c r="C4730" i="7" s="1"/>
  <c r="B4729" i="7"/>
  <c r="C4729" i="7" s="1" a="1"/>
  <c r="C4729" i="7" s="1"/>
  <c r="B4728" i="7"/>
  <c r="C4728" i="7" s="1" a="1"/>
  <c r="C4728" i="7" s="1"/>
  <c r="B4727" i="7"/>
  <c r="C4727" i="7" s="1" a="1"/>
  <c r="C4727" i="7" s="1"/>
  <c r="B4726" i="7"/>
  <c r="C4726" i="7" s="1" a="1"/>
  <c r="C4726" i="7" s="1"/>
  <c r="B4725" i="7"/>
  <c r="C4725" i="7" s="1" a="1"/>
  <c r="C4725" i="7" s="1"/>
  <c r="B4724" i="7"/>
  <c r="C4724" i="7" s="1" a="1"/>
  <c r="C4724" i="7" s="1"/>
  <c r="B4723" i="7"/>
  <c r="C4723" i="7" s="1" a="1"/>
  <c r="C4723" i="7" s="1"/>
  <c r="B4722" i="7"/>
  <c r="C4722" i="7" s="1" a="1"/>
  <c r="C4722" i="7" s="1"/>
  <c r="B4721" i="7"/>
  <c r="C4721" i="7" s="1" a="1"/>
  <c r="C4721" i="7" s="1"/>
  <c r="B4720" i="7"/>
  <c r="C4720" i="7" s="1" a="1"/>
  <c r="C4720" i="7" s="1"/>
  <c r="B4719" i="7"/>
  <c r="C4719" i="7" s="1" a="1"/>
  <c r="C4719" i="7" s="1"/>
  <c r="B4718" i="7"/>
  <c r="C4718" i="7" s="1" a="1"/>
  <c r="C4718" i="7" s="1"/>
  <c r="B4717" i="7"/>
  <c r="C4717" i="7" s="1" a="1"/>
  <c r="C4717" i="7" s="1"/>
  <c r="B4716" i="7"/>
  <c r="C4716" i="7" s="1" a="1"/>
  <c r="C4716" i="7" s="1"/>
  <c r="B4715" i="7"/>
  <c r="C4715" i="7" s="1" a="1"/>
  <c r="C4715" i="7" s="1"/>
  <c r="B4714" i="7"/>
  <c r="C4714" i="7" s="1" a="1"/>
  <c r="C4714" i="7" s="1"/>
  <c r="B4713" i="7"/>
  <c r="C4713" i="7" s="1" a="1"/>
  <c r="C4713" i="7" s="1"/>
  <c r="B4712" i="7"/>
  <c r="C4712" i="7" s="1" a="1"/>
  <c r="C4712" i="7" s="1"/>
  <c r="B4711" i="7"/>
  <c r="C4711" i="7" s="1" a="1"/>
  <c r="C4711" i="7" s="1"/>
  <c r="B4710" i="7"/>
  <c r="C4710" i="7" s="1" a="1"/>
  <c r="C4710" i="7" s="1"/>
  <c r="B4709" i="7"/>
  <c r="C4709" i="7" s="1" a="1"/>
  <c r="C4709" i="7" s="1"/>
  <c r="B4708" i="7"/>
  <c r="C4708" i="7" s="1" a="1"/>
  <c r="C4708" i="7" s="1"/>
  <c r="B4707" i="7"/>
  <c r="C4707" i="7" s="1" a="1"/>
  <c r="C4707" i="7" s="1"/>
  <c r="B4706" i="7"/>
  <c r="C4706" i="7" s="1" a="1"/>
  <c r="C4706" i="7" s="1"/>
  <c r="B4705" i="7"/>
  <c r="C4705" i="7" s="1" a="1"/>
  <c r="C4705" i="7" s="1"/>
  <c r="B4704" i="7"/>
  <c r="C4704" i="7" s="1" a="1"/>
  <c r="C4704" i="7" s="1"/>
  <c r="B4703" i="7"/>
  <c r="C4703" i="7" s="1" a="1"/>
  <c r="C4703" i="7" s="1"/>
  <c r="B4702" i="7"/>
  <c r="C4702" i="7" s="1" a="1"/>
  <c r="C4702" i="7" s="1"/>
  <c r="B4701" i="7"/>
  <c r="C4701" i="7" s="1" a="1"/>
  <c r="C4701" i="7" s="1"/>
  <c r="B4700" i="7"/>
  <c r="C4700" i="7" s="1" a="1"/>
  <c r="C4700" i="7" s="1"/>
  <c r="B4699" i="7"/>
  <c r="C4699" i="7" s="1" a="1"/>
  <c r="C4699" i="7" s="1"/>
  <c r="B4698" i="7"/>
  <c r="C4698" i="7" s="1" a="1"/>
  <c r="C4698" i="7" s="1"/>
  <c r="B4697" i="7"/>
  <c r="C4697" i="7" s="1" a="1"/>
  <c r="C4697" i="7" s="1"/>
  <c r="B4696" i="7"/>
  <c r="C4696" i="7" s="1" a="1"/>
  <c r="C4696" i="7" s="1"/>
  <c r="B4695" i="7"/>
  <c r="C4695" i="7" s="1" a="1"/>
  <c r="C4695" i="7" s="1"/>
  <c r="B4694" i="7"/>
  <c r="C4694" i="7" s="1" a="1"/>
  <c r="C4694" i="7" s="1"/>
  <c r="B4693" i="7"/>
  <c r="C4693" i="7" s="1" a="1"/>
  <c r="C4693" i="7" s="1"/>
  <c r="B4692" i="7"/>
  <c r="C4692" i="7" s="1" a="1"/>
  <c r="C4692" i="7" s="1"/>
  <c r="B4691" i="7"/>
  <c r="C4691" i="7" s="1" a="1"/>
  <c r="C4691" i="7" s="1"/>
  <c r="B4690" i="7"/>
  <c r="C4690" i="7" s="1" a="1"/>
  <c r="C4690" i="7" s="1"/>
  <c r="B4689" i="7"/>
  <c r="C4689" i="7" s="1" a="1"/>
  <c r="C4689" i="7" s="1"/>
  <c r="B4688" i="7"/>
  <c r="C4688" i="7" s="1" a="1"/>
  <c r="C4688" i="7" s="1"/>
  <c r="B4687" i="7"/>
  <c r="C4687" i="7" s="1" a="1"/>
  <c r="C4687" i="7" s="1"/>
  <c r="B4686" i="7"/>
  <c r="C4686" i="7" s="1" a="1"/>
  <c r="C4686" i="7" s="1"/>
  <c r="B4685" i="7"/>
  <c r="C4685" i="7" s="1" a="1"/>
  <c r="C4685" i="7" s="1"/>
  <c r="B4684" i="7"/>
  <c r="C4684" i="7" s="1" a="1"/>
  <c r="C4684" i="7" s="1"/>
  <c r="B4683" i="7"/>
  <c r="C4683" i="7" s="1" a="1"/>
  <c r="C4683" i="7" s="1"/>
  <c r="B4682" i="7"/>
  <c r="C4682" i="7" s="1" a="1"/>
  <c r="C4682" i="7" s="1"/>
  <c r="B4681" i="7"/>
  <c r="C4681" i="7" s="1" a="1"/>
  <c r="C4681" i="7" s="1"/>
  <c r="B4680" i="7"/>
  <c r="C4680" i="7" s="1" a="1"/>
  <c r="C4680" i="7" s="1"/>
  <c r="B4679" i="7"/>
  <c r="C4679" i="7" s="1" a="1"/>
  <c r="C4679" i="7" s="1"/>
  <c r="B4678" i="7"/>
  <c r="C4678" i="7" s="1" a="1"/>
  <c r="C4678" i="7" s="1"/>
  <c r="B4677" i="7"/>
  <c r="C4677" i="7" s="1" a="1"/>
  <c r="C4677" i="7" s="1"/>
  <c r="B4676" i="7"/>
  <c r="C4676" i="7" s="1" a="1"/>
  <c r="C4676" i="7" s="1"/>
  <c r="B4675" i="7"/>
  <c r="C4675" i="7" s="1" a="1"/>
  <c r="C4675" i="7" s="1"/>
  <c r="B4674" i="7"/>
  <c r="C4674" i="7" s="1" a="1"/>
  <c r="C4674" i="7" s="1"/>
  <c r="B4673" i="7"/>
  <c r="C4673" i="7" s="1" a="1"/>
  <c r="C4673" i="7" s="1"/>
  <c r="B4672" i="7"/>
  <c r="C4672" i="7" s="1" a="1"/>
  <c r="C4672" i="7" s="1"/>
  <c r="B4671" i="7"/>
  <c r="C4671" i="7" s="1" a="1"/>
  <c r="C4671" i="7" s="1"/>
  <c r="B4670" i="7"/>
  <c r="C4670" i="7" s="1" a="1"/>
  <c r="C4670" i="7" s="1"/>
  <c r="B4669" i="7"/>
  <c r="C4669" i="7" s="1" a="1"/>
  <c r="C4669" i="7" s="1"/>
  <c r="B4668" i="7"/>
  <c r="C4668" i="7" s="1" a="1"/>
  <c r="C4668" i="7" s="1"/>
  <c r="B4667" i="7"/>
  <c r="C4667" i="7" s="1" a="1"/>
  <c r="C4667" i="7" s="1"/>
  <c r="B4666" i="7"/>
  <c r="C4666" i="7" s="1" a="1"/>
  <c r="C4666" i="7" s="1"/>
  <c r="B4665" i="7"/>
  <c r="C4665" i="7" s="1" a="1"/>
  <c r="C4665" i="7" s="1"/>
  <c r="B4664" i="7"/>
  <c r="C4664" i="7" s="1" a="1"/>
  <c r="C4664" i="7" s="1"/>
  <c r="B4663" i="7"/>
  <c r="C4663" i="7" s="1" a="1"/>
  <c r="C4663" i="7" s="1"/>
  <c r="B4662" i="7"/>
  <c r="C4662" i="7" s="1" a="1"/>
  <c r="C4662" i="7" s="1"/>
  <c r="B4661" i="7"/>
  <c r="C4661" i="7" s="1" a="1"/>
  <c r="C4661" i="7" s="1"/>
  <c r="B4660" i="7"/>
  <c r="C4660" i="7" s="1" a="1"/>
  <c r="C4660" i="7" s="1"/>
  <c r="B4659" i="7"/>
  <c r="C4659" i="7" s="1" a="1"/>
  <c r="C4659" i="7" s="1"/>
  <c r="B4658" i="7"/>
  <c r="C4658" i="7" s="1" a="1"/>
  <c r="C4658" i="7" s="1"/>
  <c r="B4657" i="7"/>
  <c r="C4657" i="7" s="1" a="1"/>
  <c r="C4657" i="7" s="1"/>
  <c r="B4656" i="7"/>
  <c r="C4656" i="7" s="1" a="1"/>
  <c r="C4656" i="7" s="1"/>
  <c r="B4655" i="7"/>
  <c r="C4655" i="7" s="1" a="1"/>
  <c r="C4655" i="7" s="1"/>
  <c r="B4654" i="7"/>
  <c r="C4654" i="7" s="1" a="1"/>
  <c r="C4654" i="7" s="1"/>
  <c r="B4653" i="7"/>
  <c r="C4653" i="7" s="1" a="1"/>
  <c r="C4653" i="7" s="1"/>
  <c r="B4652" i="7"/>
  <c r="C4652" i="7" s="1" a="1"/>
  <c r="C4652" i="7" s="1"/>
  <c r="B4651" i="7"/>
  <c r="C4651" i="7" s="1" a="1"/>
  <c r="C4651" i="7" s="1"/>
  <c r="B4650" i="7"/>
  <c r="C4650" i="7" s="1" a="1"/>
  <c r="C4650" i="7" s="1"/>
  <c r="B4649" i="7"/>
  <c r="C4649" i="7" s="1" a="1"/>
  <c r="C4649" i="7" s="1"/>
  <c r="B4648" i="7"/>
  <c r="C4648" i="7" s="1" a="1"/>
  <c r="C4648" i="7" s="1"/>
  <c r="B4647" i="7"/>
  <c r="C4647" i="7" s="1" a="1"/>
  <c r="C4647" i="7" s="1"/>
  <c r="B4646" i="7"/>
  <c r="C4646" i="7" s="1" a="1"/>
  <c r="C4646" i="7" s="1"/>
  <c r="B4645" i="7"/>
  <c r="C4645" i="7" s="1" a="1"/>
  <c r="C4645" i="7" s="1"/>
  <c r="B4644" i="7"/>
  <c r="C4644" i="7" s="1" a="1"/>
  <c r="C4644" i="7" s="1"/>
  <c r="B4643" i="7"/>
  <c r="C4643" i="7" s="1" a="1"/>
  <c r="C4643" i="7" s="1"/>
  <c r="B4642" i="7"/>
  <c r="C4642" i="7" s="1" a="1"/>
  <c r="C4642" i="7" s="1"/>
  <c r="B4641" i="7"/>
  <c r="C4641" i="7" s="1" a="1"/>
  <c r="C4641" i="7" s="1"/>
  <c r="B4640" i="7"/>
  <c r="C4640" i="7" s="1" a="1"/>
  <c r="C4640" i="7" s="1"/>
  <c r="B4639" i="7"/>
  <c r="C4639" i="7" s="1" a="1"/>
  <c r="C4639" i="7" s="1"/>
  <c r="B4638" i="7"/>
  <c r="C4638" i="7" s="1" a="1"/>
  <c r="C4638" i="7" s="1"/>
  <c r="B4637" i="7"/>
  <c r="C4637" i="7" s="1" a="1"/>
  <c r="C4637" i="7" s="1"/>
  <c r="B4636" i="7"/>
  <c r="C4636" i="7" s="1" a="1"/>
  <c r="C4636" i="7" s="1"/>
  <c r="B4635" i="7"/>
  <c r="C4635" i="7" s="1" a="1"/>
  <c r="C4635" i="7" s="1"/>
  <c r="B4634" i="7"/>
  <c r="C4634" i="7" s="1" a="1"/>
  <c r="C4634" i="7" s="1"/>
  <c r="B4633" i="7"/>
  <c r="C4633" i="7" s="1" a="1"/>
  <c r="C4633" i="7" s="1"/>
  <c r="B4632" i="7"/>
  <c r="C4632" i="7" s="1" a="1"/>
  <c r="C4632" i="7" s="1"/>
  <c r="B4631" i="7"/>
  <c r="C4631" i="7" s="1" a="1"/>
  <c r="C4631" i="7" s="1"/>
  <c r="B4630" i="7"/>
  <c r="C4630" i="7" s="1" a="1"/>
  <c r="C4630" i="7" s="1"/>
  <c r="B4629" i="7"/>
  <c r="C4629" i="7" s="1" a="1"/>
  <c r="C4629" i="7" s="1"/>
  <c r="B4628" i="7"/>
  <c r="C4628" i="7" s="1" a="1"/>
  <c r="C4628" i="7" s="1"/>
  <c r="B4627" i="7"/>
  <c r="C4627" i="7" s="1" a="1"/>
  <c r="C4627" i="7" s="1"/>
  <c r="B4626" i="7"/>
  <c r="C4626" i="7" s="1" a="1"/>
  <c r="C4626" i="7" s="1"/>
  <c r="B4625" i="7"/>
  <c r="C4625" i="7" s="1" a="1"/>
  <c r="C4625" i="7" s="1"/>
  <c r="B4624" i="7"/>
  <c r="C4624" i="7" s="1" a="1"/>
  <c r="C4624" i="7" s="1"/>
  <c r="B4623" i="7"/>
  <c r="C4623" i="7" s="1" a="1"/>
  <c r="C4623" i="7" s="1"/>
  <c r="B4622" i="7"/>
  <c r="C4622" i="7" s="1" a="1"/>
  <c r="C4622" i="7" s="1"/>
  <c r="B4621" i="7"/>
  <c r="C4621" i="7" s="1" a="1"/>
  <c r="C4621" i="7" s="1"/>
  <c r="B4620" i="7"/>
  <c r="C4620" i="7" s="1" a="1"/>
  <c r="C4620" i="7" s="1"/>
  <c r="B4619" i="7"/>
  <c r="C4619" i="7" s="1" a="1"/>
  <c r="C4619" i="7" s="1"/>
  <c r="B4618" i="7"/>
  <c r="C4618" i="7" s="1" a="1"/>
  <c r="C4618" i="7" s="1"/>
  <c r="B4617" i="7"/>
  <c r="C4617" i="7" s="1" a="1"/>
  <c r="C4617" i="7" s="1"/>
  <c r="B4616" i="7"/>
  <c r="C4616" i="7" s="1" a="1"/>
  <c r="C4616" i="7" s="1"/>
  <c r="B4615" i="7"/>
  <c r="C4615" i="7" s="1" a="1"/>
  <c r="C4615" i="7" s="1"/>
  <c r="B4614" i="7"/>
  <c r="C4614" i="7" s="1" a="1"/>
  <c r="C4614" i="7" s="1"/>
  <c r="B4613" i="7"/>
  <c r="C4613" i="7" s="1" a="1"/>
  <c r="C4613" i="7" s="1"/>
  <c r="B4612" i="7"/>
  <c r="C4612" i="7" s="1" a="1"/>
  <c r="C4612" i="7" s="1"/>
  <c r="B4611" i="7"/>
  <c r="C4611" i="7" s="1" a="1"/>
  <c r="C4611" i="7" s="1"/>
  <c r="B4610" i="7"/>
  <c r="C4610" i="7" s="1" a="1"/>
  <c r="C4610" i="7" s="1"/>
  <c r="B4609" i="7"/>
  <c r="C4609" i="7" s="1" a="1"/>
  <c r="C4609" i="7" s="1"/>
  <c r="B4608" i="7"/>
  <c r="C4608" i="7" s="1" a="1"/>
  <c r="C4608" i="7" s="1"/>
  <c r="B4607" i="7"/>
  <c r="C4607" i="7" s="1" a="1"/>
  <c r="C4607" i="7" s="1"/>
  <c r="B4606" i="7"/>
  <c r="C4606" i="7" s="1" a="1"/>
  <c r="C4606" i="7" s="1"/>
  <c r="B4605" i="7"/>
  <c r="C4605" i="7" s="1" a="1"/>
  <c r="C4605" i="7" s="1"/>
  <c r="B4604" i="7"/>
  <c r="C4604" i="7" s="1" a="1"/>
  <c r="C4604" i="7" s="1"/>
  <c r="B4603" i="7"/>
  <c r="C4603" i="7" s="1" a="1"/>
  <c r="C4603" i="7" s="1"/>
  <c r="B4602" i="7"/>
  <c r="C4602" i="7" s="1" a="1"/>
  <c r="C4602" i="7" s="1"/>
  <c r="B4601" i="7"/>
  <c r="C4601" i="7" s="1" a="1"/>
  <c r="C4601" i="7" s="1"/>
  <c r="B4600" i="7"/>
  <c r="C4600" i="7" s="1" a="1"/>
  <c r="C4600" i="7" s="1"/>
  <c r="B4599" i="7"/>
  <c r="C4599" i="7" s="1" a="1"/>
  <c r="C4599" i="7" s="1"/>
  <c r="B4598" i="7"/>
  <c r="C4598" i="7" s="1" a="1"/>
  <c r="C4598" i="7" s="1"/>
  <c r="B4597" i="7"/>
  <c r="C4597" i="7" s="1" a="1"/>
  <c r="C4597" i="7" s="1"/>
  <c r="B4596" i="7"/>
  <c r="C4596" i="7" s="1" a="1"/>
  <c r="C4596" i="7" s="1"/>
  <c r="B4595" i="7"/>
  <c r="C4595" i="7" s="1" a="1"/>
  <c r="C4595" i="7" s="1"/>
  <c r="B4594" i="7"/>
  <c r="C4594" i="7" s="1" a="1"/>
  <c r="C4594" i="7" s="1"/>
  <c r="B4593" i="7"/>
  <c r="C4593" i="7" s="1" a="1"/>
  <c r="C4593" i="7" s="1"/>
  <c r="B4592" i="7"/>
  <c r="C4592" i="7" s="1" a="1"/>
  <c r="C4592" i="7" s="1"/>
  <c r="B4591" i="7"/>
  <c r="C4591" i="7" s="1" a="1"/>
  <c r="C4591" i="7" s="1"/>
  <c r="B4590" i="7"/>
  <c r="C4590" i="7" s="1" a="1"/>
  <c r="C4590" i="7" s="1"/>
  <c r="B4589" i="7"/>
  <c r="C4589" i="7" s="1" a="1"/>
  <c r="C4589" i="7" s="1"/>
  <c r="B4588" i="7"/>
  <c r="C4588" i="7" s="1" a="1"/>
  <c r="C4588" i="7" s="1"/>
  <c r="B4587" i="7"/>
  <c r="C4587" i="7" s="1" a="1"/>
  <c r="C4587" i="7" s="1"/>
  <c r="B4586" i="7"/>
  <c r="C4586" i="7" s="1" a="1"/>
  <c r="C4586" i="7" s="1"/>
  <c r="B4585" i="7"/>
  <c r="C4585" i="7" s="1" a="1"/>
  <c r="C4585" i="7" s="1"/>
  <c r="B4584" i="7"/>
  <c r="C4584" i="7" s="1" a="1"/>
  <c r="C4584" i="7" s="1"/>
  <c r="B4583" i="7"/>
  <c r="C4583" i="7" s="1" a="1"/>
  <c r="C4583" i="7" s="1"/>
  <c r="B4582" i="7"/>
  <c r="C4582" i="7" s="1" a="1"/>
  <c r="C4582" i="7" s="1"/>
  <c r="B4581" i="7"/>
  <c r="C4581" i="7" s="1" a="1"/>
  <c r="C4581" i="7" s="1"/>
  <c r="B4580" i="7"/>
  <c r="C4580" i="7" s="1" a="1"/>
  <c r="C4580" i="7" s="1"/>
  <c r="B4579" i="7"/>
  <c r="C4579" i="7" s="1" a="1"/>
  <c r="C4579" i="7" s="1"/>
  <c r="B4578" i="7"/>
  <c r="C4578" i="7" s="1" a="1"/>
  <c r="C4578" i="7" s="1"/>
  <c r="B4577" i="7"/>
  <c r="C4577" i="7" s="1" a="1"/>
  <c r="C4577" i="7" s="1"/>
  <c r="B4576" i="7"/>
  <c r="C4576" i="7" s="1" a="1"/>
  <c r="C4576" i="7" s="1"/>
  <c r="B4575" i="7"/>
  <c r="C4575" i="7" s="1" a="1"/>
  <c r="C4575" i="7" s="1"/>
  <c r="B4574" i="7"/>
  <c r="C4574" i="7" s="1" a="1"/>
  <c r="C4574" i="7" s="1"/>
  <c r="B4573" i="7"/>
  <c r="C4573" i="7" s="1" a="1"/>
  <c r="C4573" i="7" s="1"/>
  <c r="B4572" i="7"/>
  <c r="C4572" i="7" s="1" a="1"/>
  <c r="C4572" i="7" s="1"/>
  <c r="B4571" i="7"/>
  <c r="C4571" i="7" s="1" a="1"/>
  <c r="C4571" i="7" s="1"/>
  <c r="B4570" i="7"/>
  <c r="C4570" i="7" s="1" a="1"/>
  <c r="C4570" i="7" s="1"/>
  <c r="B4569" i="7"/>
  <c r="C4569" i="7" s="1" a="1"/>
  <c r="C4569" i="7" s="1"/>
  <c r="B4568" i="7"/>
  <c r="C4568" i="7" s="1" a="1"/>
  <c r="C4568" i="7" s="1"/>
  <c r="B4567" i="7"/>
  <c r="C4567" i="7" s="1" a="1"/>
  <c r="C4567" i="7" s="1"/>
  <c r="B4566" i="7"/>
  <c r="C4566" i="7" s="1" a="1"/>
  <c r="C4566" i="7" s="1"/>
  <c r="B4565" i="7"/>
  <c r="C4565" i="7" s="1" a="1"/>
  <c r="C4565" i="7" s="1"/>
  <c r="B4564" i="7"/>
  <c r="C4564" i="7" s="1" a="1"/>
  <c r="C4564" i="7" s="1"/>
  <c r="B4563" i="7"/>
  <c r="C4563" i="7" s="1" a="1"/>
  <c r="C4563" i="7" s="1"/>
  <c r="B4562" i="7"/>
  <c r="C4562" i="7" s="1" a="1"/>
  <c r="C4562" i="7" s="1"/>
  <c r="B4561" i="7"/>
  <c r="C4561" i="7" s="1" a="1"/>
  <c r="C4561" i="7" s="1"/>
  <c r="B4560" i="7"/>
  <c r="C4560" i="7" s="1" a="1"/>
  <c r="C4560" i="7" s="1"/>
  <c r="B4559" i="7"/>
  <c r="C4559" i="7" s="1" a="1"/>
  <c r="C4559" i="7" s="1"/>
  <c r="B4558" i="7"/>
  <c r="C4558" i="7" s="1" a="1"/>
  <c r="C4558" i="7" s="1"/>
  <c r="B4557" i="7"/>
  <c r="C4557" i="7" s="1" a="1"/>
  <c r="C4557" i="7" s="1"/>
  <c r="B4556" i="7"/>
  <c r="C4556" i="7" s="1" a="1"/>
  <c r="C4556" i="7" s="1"/>
  <c r="B4555" i="7"/>
  <c r="C4555" i="7" s="1" a="1"/>
  <c r="C4555" i="7" s="1"/>
  <c r="B4554" i="7"/>
  <c r="C4554" i="7" s="1" a="1"/>
  <c r="C4554" i="7" s="1"/>
  <c r="B4553" i="7"/>
  <c r="C4553" i="7" s="1" a="1"/>
  <c r="C4553" i="7" s="1"/>
  <c r="B4552" i="7"/>
  <c r="C4552" i="7" s="1" a="1"/>
  <c r="C4552" i="7" s="1"/>
  <c r="B4551" i="7"/>
  <c r="C4551" i="7" s="1" a="1"/>
  <c r="C4551" i="7" s="1"/>
  <c r="B4550" i="7"/>
  <c r="C4550" i="7" s="1" a="1"/>
  <c r="C4550" i="7" s="1"/>
  <c r="B4549" i="7"/>
  <c r="C4549" i="7" s="1" a="1"/>
  <c r="C4549" i="7" s="1"/>
  <c r="B4548" i="7"/>
  <c r="C4548" i="7" s="1" a="1"/>
  <c r="C4548" i="7" s="1"/>
  <c r="B4547" i="7"/>
  <c r="C4547" i="7" s="1" a="1"/>
  <c r="C4547" i="7" s="1"/>
  <c r="B4546" i="7"/>
  <c r="C4546" i="7" s="1" a="1"/>
  <c r="C4546" i="7" s="1"/>
  <c r="B4545" i="7"/>
  <c r="C4545" i="7" s="1" a="1"/>
  <c r="C4545" i="7" s="1"/>
  <c r="B4544" i="7"/>
  <c r="C4544" i="7" s="1" a="1"/>
  <c r="C4544" i="7" s="1"/>
  <c r="B4543" i="7"/>
  <c r="C4543" i="7" s="1" a="1"/>
  <c r="C4543" i="7" s="1"/>
  <c r="B4542" i="7"/>
  <c r="C4542" i="7" s="1" a="1"/>
  <c r="C4542" i="7" s="1"/>
  <c r="B4541" i="7"/>
  <c r="C4541" i="7" s="1" a="1"/>
  <c r="C4541" i="7" s="1"/>
  <c r="B4540" i="7"/>
  <c r="C4540" i="7" s="1" a="1"/>
  <c r="C4540" i="7" s="1"/>
  <c r="B4539" i="7"/>
  <c r="C4539" i="7" s="1" a="1"/>
  <c r="C4539" i="7" s="1"/>
  <c r="B4538" i="7"/>
  <c r="C4538" i="7" s="1" a="1"/>
  <c r="C4538" i="7" s="1"/>
  <c r="B4537" i="7"/>
  <c r="C4537" i="7" s="1" a="1"/>
  <c r="C4537" i="7" s="1"/>
  <c r="B4536" i="7"/>
  <c r="C4536" i="7" s="1" a="1"/>
  <c r="C4536" i="7" s="1"/>
  <c r="B4535" i="7"/>
  <c r="C4535" i="7" s="1" a="1"/>
  <c r="C4535" i="7" s="1"/>
  <c r="B4534" i="7"/>
  <c r="C4534" i="7" s="1" a="1"/>
  <c r="C4534" i="7" s="1"/>
  <c r="B4533" i="7"/>
  <c r="C4533" i="7" s="1" a="1"/>
  <c r="C4533" i="7" s="1"/>
  <c r="B4532" i="7"/>
  <c r="C4532" i="7" s="1" a="1"/>
  <c r="C4532" i="7" s="1"/>
  <c r="B4531" i="7"/>
  <c r="C4531" i="7" s="1" a="1"/>
  <c r="C4531" i="7" s="1"/>
  <c r="B4530" i="7"/>
  <c r="C4530" i="7" s="1" a="1"/>
  <c r="C4530" i="7" s="1"/>
  <c r="B4529" i="7"/>
  <c r="C4529" i="7" s="1" a="1"/>
  <c r="C4529" i="7" s="1"/>
  <c r="B4528" i="7"/>
  <c r="C4528" i="7" s="1" a="1"/>
  <c r="C4528" i="7" s="1"/>
  <c r="B4527" i="7"/>
  <c r="C4527" i="7" s="1" a="1"/>
  <c r="C4527" i="7" s="1"/>
  <c r="B4526" i="7"/>
  <c r="C4526" i="7" s="1" a="1"/>
  <c r="C4526" i="7" s="1"/>
  <c r="B4525" i="7"/>
  <c r="C4525" i="7" s="1" a="1"/>
  <c r="C4525" i="7" s="1"/>
  <c r="B4524" i="7"/>
  <c r="C4524" i="7" s="1" a="1"/>
  <c r="C4524" i="7" s="1"/>
  <c r="B4523" i="7"/>
  <c r="C4523" i="7" s="1" a="1"/>
  <c r="C4523" i="7" s="1"/>
  <c r="B4522" i="7"/>
  <c r="C4522" i="7" s="1" a="1"/>
  <c r="C4522" i="7" s="1"/>
  <c r="B4521" i="7"/>
  <c r="C4521" i="7" s="1" a="1"/>
  <c r="C4521" i="7" s="1"/>
  <c r="B4520" i="7"/>
  <c r="C4520" i="7" s="1" a="1"/>
  <c r="C4520" i="7" s="1"/>
  <c r="B4519" i="7"/>
  <c r="C4519" i="7" s="1" a="1"/>
  <c r="C4519" i="7" s="1"/>
  <c r="B4518" i="7"/>
  <c r="C4518" i="7" s="1" a="1"/>
  <c r="C4518" i="7" s="1"/>
  <c r="B4517" i="7"/>
  <c r="C4517" i="7" s="1" a="1"/>
  <c r="C4517" i="7" s="1"/>
  <c r="B4516" i="7"/>
  <c r="C4516" i="7" s="1" a="1"/>
  <c r="C4516" i="7" s="1"/>
  <c r="B4515" i="7"/>
  <c r="C4515" i="7" s="1" a="1"/>
  <c r="C4515" i="7" s="1"/>
  <c r="B4514" i="7"/>
  <c r="C4514" i="7" s="1" a="1"/>
  <c r="C4514" i="7" s="1"/>
  <c r="B4513" i="7"/>
  <c r="C4513" i="7" s="1" a="1"/>
  <c r="C4513" i="7" s="1"/>
  <c r="B4512" i="7"/>
  <c r="C4512" i="7" s="1" a="1"/>
  <c r="C4512" i="7" s="1"/>
  <c r="B4511" i="7"/>
  <c r="C4511" i="7" s="1" a="1"/>
  <c r="C4511" i="7" s="1"/>
  <c r="B4510" i="7"/>
  <c r="C4510" i="7" s="1" a="1"/>
  <c r="C4510" i="7" s="1"/>
  <c r="B4509" i="7"/>
  <c r="C4509" i="7" s="1" a="1"/>
  <c r="C4509" i="7" s="1"/>
  <c r="B4508" i="7"/>
  <c r="C4508" i="7" s="1" a="1"/>
  <c r="C4508" i="7" s="1"/>
  <c r="B4507" i="7"/>
  <c r="C4507" i="7" s="1" a="1"/>
  <c r="C4507" i="7" s="1"/>
  <c r="B4506" i="7"/>
  <c r="C4506" i="7" s="1" a="1"/>
  <c r="C4506" i="7" s="1"/>
  <c r="B4505" i="7"/>
  <c r="C4505" i="7" s="1" a="1"/>
  <c r="C4505" i="7" s="1"/>
  <c r="B4504" i="7"/>
  <c r="C4504" i="7" s="1" a="1"/>
  <c r="C4504" i="7" s="1"/>
  <c r="B4503" i="7"/>
  <c r="C4503" i="7" s="1" a="1"/>
  <c r="C4503" i="7" s="1"/>
  <c r="B4502" i="7"/>
  <c r="C4502" i="7" s="1" a="1"/>
  <c r="C4502" i="7" s="1"/>
  <c r="B4501" i="7"/>
  <c r="C4501" i="7" s="1" a="1"/>
  <c r="C4501" i="7" s="1"/>
  <c r="B4500" i="7"/>
  <c r="C4500" i="7" s="1" a="1"/>
  <c r="C4500" i="7" s="1"/>
  <c r="B4499" i="7"/>
  <c r="C4499" i="7" s="1" a="1"/>
  <c r="C4499" i="7" s="1"/>
  <c r="B4498" i="7"/>
  <c r="C4498" i="7" s="1" a="1"/>
  <c r="C4498" i="7" s="1"/>
  <c r="B4497" i="7"/>
  <c r="C4497" i="7" s="1" a="1"/>
  <c r="C4497" i="7" s="1"/>
  <c r="B4496" i="7"/>
  <c r="C4496" i="7" s="1" a="1"/>
  <c r="C4496" i="7" s="1"/>
  <c r="B4495" i="7"/>
  <c r="C4495" i="7" s="1" a="1"/>
  <c r="C4495" i="7" s="1"/>
  <c r="B4494" i="7"/>
  <c r="C4494" i="7" s="1" a="1"/>
  <c r="C4494" i="7" s="1"/>
  <c r="B4493" i="7"/>
  <c r="C4493" i="7" s="1" a="1"/>
  <c r="C4493" i="7" s="1"/>
  <c r="B4492" i="7"/>
  <c r="C4492" i="7" s="1" a="1"/>
  <c r="C4492" i="7" s="1"/>
  <c r="B4491" i="7"/>
  <c r="C4491" i="7" s="1" a="1"/>
  <c r="C4491" i="7" s="1"/>
  <c r="B4490" i="7"/>
  <c r="C4490" i="7" s="1" a="1"/>
  <c r="C4490" i="7" s="1"/>
  <c r="B4489" i="7"/>
  <c r="C4489" i="7" s="1" a="1"/>
  <c r="C4489" i="7" s="1"/>
  <c r="B4488" i="7"/>
  <c r="C4488" i="7" s="1" a="1"/>
  <c r="C4488" i="7" s="1"/>
  <c r="B4487" i="7"/>
  <c r="C4487" i="7" s="1" a="1"/>
  <c r="C4487" i="7" s="1"/>
  <c r="B4486" i="7"/>
  <c r="C4486" i="7" s="1" a="1"/>
  <c r="C4486" i="7" s="1"/>
  <c r="B4485" i="7"/>
  <c r="C4485" i="7" s="1" a="1"/>
  <c r="C4485" i="7" s="1"/>
  <c r="B4484" i="7"/>
  <c r="C4484" i="7" s="1" a="1"/>
  <c r="C4484" i="7" s="1"/>
  <c r="B4483" i="7"/>
  <c r="C4483" i="7" s="1" a="1"/>
  <c r="C4483" i="7" s="1"/>
  <c r="B4482" i="7"/>
  <c r="C4482" i="7" s="1" a="1"/>
  <c r="C4482" i="7" s="1"/>
  <c r="B4481" i="7"/>
  <c r="C4481" i="7" s="1" a="1"/>
  <c r="C4481" i="7" s="1"/>
  <c r="B4480" i="7"/>
  <c r="C4480" i="7" s="1" a="1"/>
  <c r="C4480" i="7" s="1"/>
  <c r="B4479" i="7"/>
  <c r="C4479" i="7" s="1" a="1"/>
  <c r="C4479" i="7" s="1"/>
  <c r="B4478" i="7"/>
  <c r="C4478" i="7" s="1" a="1"/>
  <c r="C4478" i="7" s="1"/>
  <c r="B4477" i="7"/>
  <c r="C4477" i="7" s="1" a="1"/>
  <c r="C4477" i="7" s="1"/>
  <c r="B4476" i="7"/>
  <c r="C4476" i="7" s="1" a="1"/>
  <c r="C4476" i="7" s="1"/>
  <c r="B4475" i="7"/>
  <c r="C4475" i="7" s="1" a="1"/>
  <c r="C4475" i="7" s="1"/>
  <c r="B4474" i="7"/>
  <c r="C4474" i="7" s="1" a="1"/>
  <c r="C4474" i="7" s="1"/>
  <c r="B4473" i="7"/>
  <c r="C4473" i="7" s="1" a="1"/>
  <c r="C4473" i="7" s="1"/>
  <c r="B4472" i="7"/>
  <c r="C4472" i="7" s="1" a="1"/>
  <c r="C4472" i="7" s="1"/>
  <c r="B4471" i="7"/>
  <c r="C4471" i="7" s="1" a="1"/>
  <c r="C4471" i="7" s="1"/>
  <c r="B4470" i="7"/>
  <c r="C4470" i="7" s="1" a="1"/>
  <c r="C4470" i="7" s="1"/>
  <c r="B4469" i="7"/>
  <c r="C4469" i="7" s="1" a="1"/>
  <c r="C4469" i="7" s="1"/>
  <c r="B4468" i="7"/>
  <c r="C4468" i="7" s="1" a="1"/>
  <c r="C4468" i="7" s="1"/>
  <c r="B4467" i="7"/>
  <c r="C4467" i="7" s="1" a="1"/>
  <c r="C4467" i="7" s="1"/>
  <c r="B4466" i="7"/>
  <c r="C4466" i="7" s="1" a="1"/>
  <c r="C4466" i="7" s="1"/>
  <c r="B4465" i="7"/>
  <c r="C4465" i="7" s="1" a="1"/>
  <c r="C4465" i="7" s="1"/>
  <c r="B4464" i="7"/>
  <c r="C4464" i="7" s="1" a="1"/>
  <c r="C4464" i="7" s="1"/>
  <c r="B4463" i="7"/>
  <c r="C4463" i="7" s="1" a="1"/>
  <c r="C4463" i="7" s="1"/>
  <c r="B4462" i="7"/>
  <c r="C4462" i="7" s="1" a="1"/>
  <c r="C4462" i="7" s="1"/>
  <c r="B4461" i="7"/>
  <c r="C4461" i="7" s="1" a="1"/>
  <c r="C4461" i="7" s="1"/>
  <c r="B4460" i="7"/>
  <c r="C4460" i="7" s="1" a="1"/>
  <c r="C4460" i="7" s="1"/>
  <c r="B4459" i="7"/>
  <c r="C4459" i="7" s="1" a="1"/>
  <c r="C4459" i="7" s="1"/>
  <c r="B4458" i="7"/>
  <c r="C4458" i="7" s="1" a="1"/>
  <c r="C4458" i="7" s="1"/>
  <c r="B4457" i="7"/>
  <c r="C4457" i="7" s="1" a="1"/>
  <c r="C4457" i="7" s="1"/>
  <c r="B4456" i="7"/>
  <c r="C4456" i="7" s="1" a="1"/>
  <c r="C4456" i="7" s="1"/>
  <c r="B4455" i="7"/>
  <c r="C4455" i="7" s="1" a="1"/>
  <c r="C4455" i="7" s="1"/>
  <c r="B4454" i="7"/>
  <c r="C4454" i="7" s="1" a="1"/>
  <c r="C4454" i="7" s="1"/>
  <c r="B4453" i="7"/>
  <c r="C4453" i="7" s="1" a="1"/>
  <c r="C4453" i="7" s="1"/>
  <c r="B4452" i="7"/>
  <c r="C4452" i="7" s="1" a="1"/>
  <c r="C4452" i="7" s="1"/>
  <c r="B4451" i="7"/>
  <c r="C4451" i="7" s="1" a="1"/>
  <c r="C4451" i="7" s="1"/>
  <c r="B4450" i="7"/>
  <c r="C4450" i="7" s="1" a="1"/>
  <c r="C4450" i="7" s="1"/>
  <c r="B4449" i="7"/>
  <c r="C4449" i="7" s="1" a="1"/>
  <c r="C4449" i="7" s="1"/>
  <c r="B4448" i="7"/>
  <c r="C4448" i="7" s="1" a="1"/>
  <c r="C4448" i="7" s="1"/>
  <c r="B4447" i="7"/>
  <c r="C4447" i="7" s="1" a="1"/>
  <c r="C4447" i="7" s="1"/>
  <c r="B4446" i="7"/>
  <c r="C4446" i="7" s="1" a="1"/>
  <c r="C4446" i="7" s="1"/>
  <c r="B4445" i="7"/>
  <c r="C4445" i="7" s="1" a="1"/>
  <c r="C4445" i="7" s="1"/>
  <c r="B4444" i="7"/>
  <c r="C4444" i="7" s="1" a="1"/>
  <c r="C4444" i="7" s="1"/>
  <c r="B4443" i="7"/>
  <c r="C4443" i="7" s="1" a="1"/>
  <c r="C4443" i="7" s="1"/>
  <c r="B4442" i="7"/>
  <c r="C4442" i="7" s="1" a="1"/>
  <c r="C4442" i="7" s="1"/>
  <c r="B4441" i="7"/>
  <c r="C4441" i="7" s="1" a="1"/>
  <c r="C4441" i="7" s="1"/>
  <c r="B4440" i="7"/>
  <c r="C4440" i="7" s="1" a="1"/>
  <c r="C4440" i="7" s="1"/>
  <c r="B4439" i="7"/>
  <c r="C4439" i="7" s="1" a="1"/>
  <c r="C4439" i="7" s="1"/>
  <c r="B4438" i="7"/>
  <c r="C4438" i="7" s="1" a="1"/>
  <c r="C4438" i="7" s="1"/>
  <c r="B4437" i="7"/>
  <c r="C4437" i="7" s="1" a="1"/>
  <c r="C4437" i="7" s="1"/>
  <c r="B4436" i="7"/>
  <c r="C4436" i="7" s="1" a="1"/>
  <c r="C4436" i="7" s="1"/>
  <c r="B4435" i="7"/>
  <c r="C4435" i="7" s="1" a="1"/>
  <c r="C4435" i="7" s="1"/>
  <c r="B4434" i="7"/>
  <c r="C4434" i="7" s="1" a="1"/>
  <c r="C4434" i="7" s="1"/>
  <c r="B4433" i="7"/>
  <c r="C4433" i="7" s="1" a="1"/>
  <c r="C4433" i="7" s="1"/>
  <c r="B4432" i="7"/>
  <c r="C4432" i="7" s="1" a="1"/>
  <c r="C4432" i="7" s="1"/>
  <c r="B4431" i="7"/>
  <c r="C4431" i="7" s="1" a="1"/>
  <c r="C4431" i="7" s="1"/>
  <c r="B4430" i="7"/>
  <c r="C4430" i="7" s="1" a="1"/>
  <c r="C4430" i="7" s="1"/>
  <c r="B4429" i="7"/>
  <c r="C4429" i="7" s="1" a="1"/>
  <c r="C4429" i="7" s="1"/>
  <c r="B4428" i="7"/>
  <c r="C4428" i="7" s="1" a="1"/>
  <c r="C4428" i="7" s="1"/>
  <c r="B4427" i="7"/>
  <c r="C4427" i="7" s="1" a="1"/>
  <c r="C4427" i="7" s="1"/>
  <c r="B4426" i="7"/>
  <c r="C4426" i="7" s="1" a="1"/>
  <c r="C4426" i="7" s="1"/>
  <c r="B4425" i="7"/>
  <c r="C4425" i="7" s="1" a="1"/>
  <c r="C4425" i="7" s="1"/>
  <c r="B4424" i="7"/>
  <c r="C4424" i="7" s="1" a="1"/>
  <c r="C4424" i="7" s="1"/>
  <c r="B4423" i="7"/>
  <c r="C4423" i="7" s="1" a="1"/>
  <c r="C4423" i="7" s="1"/>
  <c r="B4422" i="7"/>
  <c r="C4422" i="7" s="1" a="1"/>
  <c r="C4422" i="7" s="1"/>
  <c r="B4421" i="7"/>
  <c r="C4421" i="7" s="1" a="1"/>
  <c r="C4421" i="7" s="1"/>
  <c r="B4420" i="7"/>
  <c r="C4420" i="7" s="1" a="1"/>
  <c r="C4420" i="7" s="1"/>
  <c r="B4419" i="7"/>
  <c r="C4419" i="7" s="1" a="1"/>
  <c r="C4419" i="7" s="1"/>
  <c r="B4418" i="7"/>
  <c r="C4418" i="7" s="1" a="1"/>
  <c r="C4418" i="7" s="1"/>
  <c r="B4417" i="7"/>
  <c r="C4417" i="7" s="1" a="1"/>
  <c r="C4417" i="7" s="1"/>
  <c r="B4416" i="7"/>
  <c r="C4416" i="7" s="1" a="1"/>
  <c r="C4416" i="7" s="1"/>
  <c r="B4415" i="7"/>
  <c r="C4415" i="7" s="1" a="1"/>
  <c r="C4415" i="7" s="1"/>
  <c r="B4414" i="7"/>
  <c r="C4414" i="7" s="1" a="1"/>
  <c r="C4414" i="7" s="1"/>
  <c r="B4413" i="7"/>
  <c r="C4413" i="7" s="1" a="1"/>
  <c r="C4413" i="7" s="1"/>
  <c r="B4412" i="7"/>
  <c r="C4412" i="7" s="1" a="1"/>
  <c r="C4412" i="7" s="1"/>
  <c r="B4411" i="7"/>
  <c r="C4411" i="7" s="1" a="1"/>
  <c r="C4411" i="7" s="1"/>
  <c r="B4410" i="7"/>
  <c r="C4410" i="7" s="1" a="1"/>
  <c r="C4410" i="7" s="1"/>
  <c r="B4409" i="7"/>
  <c r="C4409" i="7" s="1" a="1"/>
  <c r="C4409" i="7" s="1"/>
  <c r="B4408" i="7"/>
  <c r="C4408" i="7" s="1" a="1"/>
  <c r="C4408" i="7" s="1"/>
  <c r="B4407" i="7"/>
  <c r="C4407" i="7" s="1" a="1"/>
  <c r="C4407" i="7" s="1"/>
  <c r="B4406" i="7"/>
  <c r="C4406" i="7" s="1" a="1"/>
  <c r="C4406" i="7" s="1"/>
  <c r="B4405" i="7"/>
  <c r="C4405" i="7" s="1" a="1"/>
  <c r="C4405" i="7" s="1"/>
  <c r="B4404" i="7"/>
  <c r="C4404" i="7" s="1" a="1"/>
  <c r="C4404" i="7" s="1"/>
  <c r="B4403" i="7"/>
  <c r="C4403" i="7" s="1" a="1"/>
  <c r="C4403" i="7" s="1"/>
  <c r="B4402" i="7"/>
  <c r="C4402" i="7" s="1" a="1"/>
  <c r="C4402" i="7" s="1"/>
  <c r="B4401" i="7"/>
  <c r="C4401" i="7" s="1" a="1"/>
  <c r="C4401" i="7" s="1"/>
  <c r="B4400" i="7"/>
  <c r="C4400" i="7" s="1" a="1"/>
  <c r="C4400" i="7" s="1"/>
  <c r="B4399" i="7"/>
  <c r="C4399" i="7" s="1" a="1"/>
  <c r="C4399" i="7" s="1"/>
  <c r="B4398" i="7"/>
  <c r="C4398" i="7" s="1" a="1"/>
  <c r="C4398" i="7" s="1"/>
  <c r="B4397" i="7"/>
  <c r="C4397" i="7" s="1" a="1"/>
  <c r="C4397" i="7" s="1"/>
  <c r="B4396" i="7"/>
  <c r="C4396" i="7" s="1" a="1"/>
  <c r="C4396" i="7" s="1"/>
  <c r="B4395" i="7"/>
  <c r="C4395" i="7" s="1" a="1"/>
  <c r="C4395" i="7" s="1"/>
  <c r="B4394" i="7"/>
  <c r="C4394" i="7" s="1" a="1"/>
  <c r="C4394" i="7" s="1"/>
  <c r="B4393" i="7"/>
  <c r="C4393" i="7" s="1" a="1"/>
  <c r="C4393" i="7" s="1"/>
  <c r="B4392" i="7"/>
  <c r="C4392" i="7" s="1" a="1"/>
  <c r="C4392" i="7" s="1"/>
  <c r="B4391" i="7"/>
  <c r="C4391" i="7" s="1" a="1"/>
  <c r="C4391" i="7" s="1"/>
  <c r="B4390" i="7"/>
  <c r="C4390" i="7" s="1" a="1"/>
  <c r="C4390" i="7" s="1"/>
  <c r="B4389" i="7"/>
  <c r="C4389" i="7" s="1" a="1"/>
  <c r="C4389" i="7" s="1"/>
  <c r="B4388" i="7"/>
  <c r="C4388" i="7" s="1" a="1"/>
  <c r="C4388" i="7" s="1"/>
  <c r="B4387" i="7"/>
  <c r="C4387" i="7" s="1" a="1"/>
  <c r="C4387" i="7" s="1"/>
  <c r="B4386" i="7"/>
  <c r="C4386" i="7" s="1" a="1"/>
  <c r="C4386" i="7" s="1"/>
  <c r="B4385" i="7"/>
  <c r="C4385" i="7" s="1" a="1"/>
  <c r="C4385" i="7" s="1"/>
  <c r="B4384" i="7"/>
  <c r="C4384" i="7" s="1" a="1"/>
  <c r="C4384" i="7" s="1"/>
  <c r="B4383" i="7"/>
  <c r="C4383" i="7" s="1" a="1"/>
  <c r="C4383" i="7" s="1"/>
  <c r="B4382" i="7"/>
  <c r="C4382" i="7" s="1" a="1"/>
  <c r="C4382" i="7" s="1"/>
  <c r="B4381" i="7"/>
  <c r="C4381" i="7" s="1" a="1"/>
  <c r="C4381" i="7" s="1"/>
  <c r="B4380" i="7"/>
  <c r="C4380" i="7" s="1" a="1"/>
  <c r="C4380" i="7" s="1"/>
  <c r="B4379" i="7"/>
  <c r="C4379" i="7" s="1" a="1"/>
  <c r="C4379" i="7" s="1"/>
  <c r="B4378" i="7"/>
  <c r="C4378" i="7" s="1" a="1"/>
  <c r="C4378" i="7" s="1"/>
  <c r="B4377" i="7"/>
  <c r="C4377" i="7" s="1" a="1"/>
  <c r="C4377" i="7" s="1"/>
  <c r="B4376" i="7"/>
  <c r="C4376" i="7" s="1" a="1"/>
  <c r="C4376" i="7" s="1"/>
  <c r="B4375" i="7"/>
  <c r="C4375" i="7" s="1" a="1"/>
  <c r="C4375" i="7" s="1"/>
  <c r="B4374" i="7"/>
  <c r="C4374" i="7" s="1" a="1"/>
  <c r="C4374" i="7" s="1"/>
  <c r="B4373" i="7"/>
  <c r="C4373" i="7" s="1" a="1"/>
  <c r="C4373" i="7" s="1"/>
  <c r="B4372" i="7"/>
  <c r="C4372" i="7" s="1" a="1"/>
  <c r="C4372" i="7" s="1"/>
  <c r="B4371" i="7"/>
  <c r="C4371" i="7" s="1" a="1"/>
  <c r="C4371" i="7" s="1"/>
  <c r="B4370" i="7"/>
  <c r="C4370" i="7" s="1" a="1"/>
  <c r="C4370" i="7" s="1"/>
  <c r="B4369" i="7"/>
  <c r="C4369" i="7" s="1" a="1"/>
  <c r="C4369" i="7" s="1"/>
  <c r="B4368" i="7"/>
  <c r="C4368" i="7" s="1" a="1"/>
  <c r="C4368" i="7" s="1"/>
  <c r="B4367" i="7"/>
  <c r="C4367" i="7" s="1" a="1"/>
  <c r="C4367" i="7" s="1"/>
  <c r="B4366" i="7"/>
  <c r="C4366" i="7" s="1" a="1"/>
  <c r="C4366" i="7" s="1"/>
  <c r="B4365" i="7"/>
  <c r="C4365" i="7" s="1" a="1"/>
  <c r="C4365" i="7" s="1"/>
  <c r="B4364" i="7"/>
  <c r="C4364" i="7" s="1" a="1"/>
  <c r="C4364" i="7" s="1"/>
  <c r="B4363" i="7"/>
  <c r="C4363" i="7" s="1" a="1"/>
  <c r="C4363" i="7" s="1"/>
  <c r="B4362" i="7"/>
  <c r="C4362" i="7" s="1" a="1"/>
  <c r="C4362" i="7" s="1"/>
  <c r="B4361" i="7"/>
  <c r="C4361" i="7" s="1" a="1"/>
  <c r="C4361" i="7" s="1"/>
  <c r="B4360" i="7"/>
  <c r="C4360" i="7" s="1" a="1"/>
  <c r="C4360" i="7" s="1"/>
  <c r="B4359" i="7"/>
  <c r="C4359" i="7" s="1" a="1"/>
  <c r="C4359" i="7" s="1"/>
  <c r="B4358" i="7"/>
  <c r="C4358" i="7" s="1" a="1"/>
  <c r="C4358" i="7" s="1"/>
  <c r="B4357" i="7"/>
  <c r="C4357" i="7" s="1" a="1"/>
  <c r="C4357" i="7" s="1"/>
  <c r="B4356" i="7"/>
  <c r="C4356" i="7" s="1" a="1"/>
  <c r="C4356" i="7" s="1"/>
  <c r="B4355" i="7"/>
  <c r="C4355" i="7" s="1" a="1"/>
  <c r="C4355" i="7" s="1"/>
  <c r="B4354" i="7"/>
  <c r="C4354" i="7" s="1" a="1"/>
  <c r="C4354" i="7" s="1"/>
  <c r="B4353" i="7"/>
  <c r="C4353" i="7" s="1" a="1"/>
  <c r="C4353" i="7" s="1"/>
  <c r="B4352" i="7"/>
  <c r="C4352" i="7" s="1" a="1"/>
  <c r="C4352" i="7" s="1"/>
  <c r="B4351" i="7"/>
  <c r="C4351" i="7" s="1" a="1"/>
  <c r="C4351" i="7" s="1"/>
  <c r="B4350" i="7"/>
  <c r="C4350" i="7" s="1" a="1"/>
  <c r="C4350" i="7" s="1"/>
  <c r="B4349" i="7"/>
  <c r="C4349" i="7" s="1" a="1"/>
  <c r="C4349" i="7" s="1"/>
  <c r="B4348" i="7"/>
  <c r="C4348" i="7" s="1" a="1"/>
  <c r="C4348" i="7" s="1"/>
  <c r="B4347" i="7"/>
  <c r="C4347" i="7" s="1" a="1"/>
  <c r="C4347" i="7" s="1"/>
  <c r="B4346" i="7"/>
  <c r="C4346" i="7" s="1" a="1"/>
  <c r="C4346" i="7" s="1"/>
  <c r="B4345" i="7"/>
  <c r="C4345" i="7" s="1" a="1"/>
  <c r="C4345" i="7" s="1"/>
  <c r="B4344" i="7"/>
  <c r="C4344" i="7" s="1" a="1"/>
  <c r="C4344" i="7" s="1"/>
  <c r="B4343" i="7"/>
  <c r="C4343" i="7" s="1" a="1"/>
  <c r="C4343" i="7" s="1"/>
  <c r="B4342" i="7"/>
  <c r="C4342" i="7" s="1" a="1"/>
  <c r="C4342" i="7" s="1"/>
  <c r="B4341" i="7"/>
  <c r="C4341" i="7" s="1" a="1"/>
  <c r="C4341" i="7" s="1"/>
  <c r="B4340" i="7"/>
  <c r="C4340" i="7" s="1" a="1"/>
  <c r="C4340" i="7" s="1"/>
  <c r="B4339" i="7"/>
  <c r="C4339" i="7" s="1" a="1"/>
  <c r="C4339" i="7" s="1"/>
  <c r="B4338" i="7"/>
  <c r="C4338" i="7" s="1" a="1"/>
  <c r="C4338" i="7" s="1"/>
  <c r="B4337" i="7"/>
  <c r="C4337" i="7" s="1" a="1"/>
  <c r="C4337" i="7" s="1"/>
  <c r="B4336" i="7"/>
  <c r="C4336" i="7" s="1" a="1"/>
  <c r="C4336" i="7" s="1"/>
  <c r="B4335" i="7"/>
  <c r="C4335" i="7" s="1" a="1"/>
  <c r="C4335" i="7" s="1"/>
  <c r="B4334" i="7"/>
  <c r="C4334" i="7" s="1" a="1"/>
  <c r="C4334" i="7" s="1"/>
  <c r="B4333" i="7"/>
  <c r="C4333" i="7" s="1" a="1"/>
  <c r="C4333" i="7" s="1"/>
  <c r="B4332" i="7"/>
  <c r="C4332" i="7" s="1" a="1"/>
  <c r="C4332" i="7" s="1"/>
  <c r="B4331" i="7"/>
  <c r="C4331" i="7" s="1" a="1"/>
  <c r="C4331" i="7" s="1"/>
  <c r="B4330" i="7"/>
  <c r="C4330" i="7" s="1" a="1"/>
  <c r="C4330" i="7" s="1"/>
  <c r="B4329" i="7"/>
  <c r="C4329" i="7" s="1" a="1"/>
  <c r="C4329" i="7" s="1"/>
  <c r="B4328" i="7"/>
  <c r="C4328" i="7" s="1" a="1"/>
  <c r="C4328" i="7" s="1"/>
  <c r="B4327" i="7"/>
  <c r="C4327" i="7" s="1" a="1"/>
  <c r="C4327" i="7" s="1"/>
  <c r="B4326" i="7"/>
  <c r="C4326" i="7" s="1" a="1"/>
  <c r="C4326" i="7" s="1"/>
  <c r="B4325" i="7"/>
  <c r="C4325" i="7" s="1" a="1"/>
  <c r="C4325" i="7" s="1"/>
  <c r="B4324" i="7"/>
  <c r="C4324" i="7" s="1" a="1"/>
  <c r="C4324" i="7" s="1"/>
  <c r="B4323" i="7"/>
  <c r="C4323" i="7" s="1" a="1"/>
  <c r="C4323" i="7" s="1"/>
  <c r="B4322" i="7"/>
  <c r="C4322" i="7" s="1" a="1"/>
  <c r="C4322" i="7" s="1"/>
  <c r="B4321" i="7"/>
  <c r="C4321" i="7" s="1" a="1"/>
  <c r="C4321" i="7" s="1"/>
  <c r="B4320" i="7"/>
  <c r="C4320" i="7" s="1" a="1"/>
  <c r="C4320" i="7" s="1"/>
  <c r="B4319" i="7"/>
  <c r="C4319" i="7" s="1" a="1"/>
  <c r="C4319" i="7" s="1"/>
  <c r="B4318" i="7"/>
  <c r="C4318" i="7" s="1" a="1"/>
  <c r="C4318" i="7" s="1"/>
  <c r="B4317" i="7"/>
  <c r="C4317" i="7" s="1" a="1"/>
  <c r="C4317" i="7" s="1"/>
  <c r="B4316" i="7"/>
  <c r="C4316" i="7" s="1" a="1"/>
  <c r="C4316" i="7" s="1"/>
  <c r="B4315" i="7"/>
  <c r="C4315" i="7" s="1" a="1"/>
  <c r="C4315" i="7" s="1"/>
  <c r="B4314" i="7"/>
  <c r="C4314" i="7" s="1" a="1"/>
  <c r="C4314" i="7" s="1"/>
  <c r="B4313" i="7"/>
  <c r="C4313" i="7" s="1" a="1"/>
  <c r="C4313" i="7" s="1"/>
  <c r="B4312" i="7"/>
  <c r="C4312" i="7" s="1" a="1"/>
  <c r="C4312" i="7" s="1"/>
  <c r="B4311" i="7"/>
  <c r="C4311" i="7" s="1" a="1"/>
  <c r="C4311" i="7" s="1"/>
  <c r="B4310" i="7"/>
  <c r="C4310" i="7" s="1" a="1"/>
  <c r="C4310" i="7" s="1"/>
  <c r="B4309" i="7"/>
  <c r="C4309" i="7" s="1" a="1"/>
  <c r="C4309" i="7" s="1"/>
  <c r="B4308" i="7"/>
  <c r="C4308" i="7" s="1" a="1"/>
  <c r="C4308" i="7" s="1"/>
  <c r="B4307" i="7"/>
  <c r="C4307" i="7" s="1" a="1"/>
  <c r="C4307" i="7" s="1"/>
  <c r="B4306" i="7"/>
  <c r="C4306" i="7" s="1" a="1"/>
  <c r="C4306" i="7" s="1"/>
  <c r="B4305" i="7"/>
  <c r="C4305" i="7" s="1" a="1"/>
  <c r="C4305" i="7" s="1"/>
  <c r="B4304" i="7"/>
  <c r="C4304" i="7" s="1" a="1"/>
  <c r="C4304" i="7" s="1"/>
  <c r="B4303" i="7"/>
  <c r="C4303" i="7" s="1" a="1"/>
  <c r="C4303" i="7" s="1"/>
  <c r="B4302" i="7"/>
  <c r="C4302" i="7" s="1" a="1"/>
  <c r="C4302" i="7" s="1"/>
  <c r="B4301" i="7"/>
  <c r="C4301" i="7" s="1" a="1"/>
  <c r="C4301" i="7" s="1"/>
  <c r="B4300" i="7"/>
  <c r="C4300" i="7" s="1" a="1"/>
  <c r="C4300" i="7" s="1"/>
  <c r="B4299" i="7"/>
  <c r="C4299" i="7" s="1" a="1"/>
  <c r="C4299" i="7" s="1"/>
  <c r="B4298" i="7"/>
  <c r="C4298" i="7" s="1" a="1"/>
  <c r="C4298" i="7" s="1"/>
  <c r="B4297" i="7"/>
  <c r="C4297" i="7" s="1" a="1"/>
  <c r="C4297" i="7" s="1"/>
  <c r="B4296" i="7"/>
  <c r="C4296" i="7" s="1" a="1"/>
  <c r="C4296" i="7" s="1"/>
  <c r="B4295" i="7"/>
  <c r="C4295" i="7" s="1" a="1"/>
  <c r="C4295" i="7" s="1"/>
  <c r="B4294" i="7"/>
  <c r="C4294" i="7" s="1" a="1"/>
  <c r="C4294" i="7" s="1"/>
  <c r="B4293" i="7"/>
  <c r="C4293" i="7" s="1" a="1"/>
  <c r="C4293" i="7" s="1"/>
  <c r="B4292" i="7"/>
  <c r="C4292" i="7" s="1" a="1"/>
  <c r="C4292" i="7" s="1"/>
  <c r="B4291" i="7"/>
  <c r="C4291" i="7" s="1" a="1"/>
  <c r="C4291" i="7" s="1"/>
  <c r="B4290" i="7"/>
  <c r="C4290" i="7" s="1" a="1"/>
  <c r="C4290" i="7" s="1"/>
  <c r="B4289" i="7"/>
  <c r="C4289" i="7" s="1" a="1"/>
  <c r="C4289" i="7" s="1"/>
  <c r="B4288" i="7"/>
  <c r="C4288" i="7" s="1" a="1"/>
  <c r="C4288" i="7" s="1"/>
  <c r="B4287" i="7"/>
  <c r="C4287" i="7" s="1" a="1"/>
  <c r="C4287" i="7" s="1"/>
  <c r="B4286" i="7"/>
  <c r="C4286" i="7" s="1" a="1"/>
  <c r="C4286" i="7" s="1"/>
  <c r="B4285" i="7"/>
  <c r="C4285" i="7" s="1" a="1"/>
  <c r="C4285" i="7" s="1"/>
  <c r="B4284" i="7"/>
  <c r="C4284" i="7" s="1" a="1"/>
  <c r="C4284" i="7" s="1"/>
  <c r="B4283" i="7"/>
  <c r="C4283" i="7" s="1" a="1"/>
  <c r="C4283" i="7" s="1"/>
  <c r="B4282" i="7"/>
  <c r="C4282" i="7" s="1" a="1"/>
  <c r="C4282" i="7" s="1"/>
  <c r="B4281" i="7"/>
  <c r="C4281" i="7" s="1" a="1"/>
  <c r="C4281" i="7" s="1"/>
  <c r="B4280" i="7"/>
  <c r="C4280" i="7" s="1" a="1"/>
  <c r="C4280" i="7" s="1"/>
  <c r="B4279" i="7"/>
  <c r="C4279" i="7" s="1" a="1"/>
  <c r="C4279" i="7" s="1"/>
  <c r="B4278" i="7"/>
  <c r="C4278" i="7" s="1" a="1"/>
  <c r="C4278" i="7" s="1"/>
  <c r="B4277" i="7"/>
  <c r="C4277" i="7" s="1" a="1"/>
  <c r="C4277" i="7" s="1"/>
  <c r="B4276" i="7"/>
  <c r="C4276" i="7" s="1" a="1"/>
  <c r="C4276" i="7" s="1"/>
  <c r="B4275" i="7"/>
  <c r="C4275" i="7" s="1" a="1"/>
  <c r="C4275" i="7" s="1"/>
  <c r="B4274" i="7"/>
  <c r="C4274" i="7" s="1" a="1"/>
  <c r="C4274" i="7" s="1"/>
  <c r="B4273" i="7"/>
  <c r="C4273" i="7" s="1" a="1"/>
  <c r="C4273" i="7" s="1"/>
  <c r="B4272" i="7"/>
  <c r="C4272" i="7" s="1" a="1"/>
  <c r="C4272" i="7" s="1"/>
  <c r="B4271" i="7"/>
  <c r="C4271" i="7" s="1" a="1"/>
  <c r="C4271" i="7" s="1"/>
  <c r="B4270" i="7"/>
  <c r="C4270" i="7" s="1" a="1"/>
  <c r="C4270" i="7" s="1"/>
  <c r="B4269" i="7"/>
  <c r="C4269" i="7" s="1" a="1"/>
  <c r="C4269" i="7" s="1"/>
  <c r="B4268" i="7"/>
  <c r="C4268" i="7" s="1" a="1"/>
  <c r="C4268" i="7" s="1"/>
  <c r="B4267" i="7"/>
  <c r="C4267" i="7" s="1" a="1"/>
  <c r="C4267" i="7" s="1"/>
  <c r="B4266" i="7"/>
  <c r="C4266" i="7" s="1" a="1"/>
  <c r="C4266" i="7" s="1"/>
  <c r="B4265" i="7"/>
  <c r="C4265" i="7" s="1" a="1"/>
  <c r="C4265" i="7" s="1"/>
  <c r="B4264" i="7"/>
  <c r="C4264" i="7" s="1" a="1"/>
  <c r="C4264" i="7" s="1"/>
  <c r="B4263" i="7"/>
  <c r="C4263" i="7" s="1" a="1"/>
  <c r="C4263" i="7" s="1"/>
  <c r="B4262" i="7"/>
  <c r="C4262" i="7" s="1" a="1"/>
  <c r="C4262" i="7" s="1"/>
  <c r="B4261" i="7"/>
  <c r="C4261" i="7" s="1" a="1"/>
  <c r="C4261" i="7" s="1"/>
  <c r="B4260" i="7"/>
  <c r="C4260" i="7" s="1" a="1"/>
  <c r="C4260" i="7" s="1"/>
  <c r="B4259" i="7"/>
  <c r="C4259" i="7" s="1" a="1"/>
  <c r="C4259" i="7" s="1"/>
  <c r="B4258" i="7"/>
  <c r="C4258" i="7" s="1" a="1"/>
  <c r="C4258" i="7" s="1"/>
  <c r="B4257" i="7"/>
  <c r="C4257" i="7" s="1" a="1"/>
  <c r="C4257" i="7" s="1"/>
  <c r="B4256" i="7"/>
  <c r="C4256" i="7" s="1" a="1"/>
  <c r="C4256" i="7" s="1"/>
  <c r="B4255" i="7"/>
  <c r="C4255" i="7" s="1" a="1"/>
  <c r="C4255" i="7" s="1"/>
  <c r="B4254" i="7"/>
  <c r="C4254" i="7" s="1" a="1"/>
  <c r="C4254" i="7" s="1"/>
  <c r="B4253" i="7"/>
  <c r="C4253" i="7" s="1" a="1"/>
  <c r="C4253" i="7" s="1"/>
  <c r="B4252" i="7"/>
  <c r="C4252" i="7" s="1" a="1"/>
  <c r="C4252" i="7" s="1"/>
  <c r="B4251" i="7"/>
  <c r="C4251" i="7" s="1" a="1"/>
  <c r="C4251" i="7" s="1"/>
  <c r="B4250" i="7"/>
  <c r="C4250" i="7" s="1" a="1"/>
  <c r="C4250" i="7" s="1"/>
  <c r="B4249" i="7"/>
  <c r="C4249" i="7" s="1" a="1"/>
  <c r="C4249" i="7" s="1"/>
  <c r="B4248" i="7"/>
  <c r="C4248" i="7" s="1" a="1"/>
  <c r="C4248" i="7" s="1"/>
  <c r="B4247" i="7"/>
  <c r="C4247" i="7" s="1" a="1"/>
  <c r="C4247" i="7" s="1"/>
  <c r="B4246" i="7"/>
  <c r="C4246" i="7" s="1" a="1"/>
  <c r="C4246" i="7" s="1"/>
  <c r="B4245" i="7"/>
  <c r="C4245" i="7" s="1" a="1"/>
  <c r="C4245" i="7" s="1"/>
  <c r="B4244" i="7"/>
  <c r="C4244" i="7" s="1" a="1"/>
  <c r="C4244" i="7" s="1"/>
  <c r="B4243" i="7"/>
  <c r="C4243" i="7" s="1" a="1"/>
  <c r="C4243" i="7" s="1"/>
  <c r="B4242" i="7"/>
  <c r="C4242" i="7" s="1" a="1"/>
  <c r="C4242" i="7" s="1"/>
  <c r="B4241" i="7"/>
  <c r="C4241" i="7" s="1" a="1"/>
  <c r="C4241" i="7" s="1"/>
  <c r="B4240" i="7"/>
  <c r="C4240" i="7" s="1" a="1"/>
  <c r="C4240" i="7" s="1"/>
  <c r="B4239" i="7"/>
  <c r="C4239" i="7" s="1" a="1"/>
  <c r="C4239" i="7" s="1"/>
  <c r="B4238" i="7"/>
  <c r="C4238" i="7" s="1" a="1"/>
  <c r="C4238" i="7" s="1"/>
  <c r="B4237" i="7"/>
  <c r="C4237" i="7" s="1" a="1"/>
  <c r="C4237" i="7" s="1"/>
  <c r="B4236" i="7"/>
  <c r="C4236" i="7" s="1" a="1"/>
  <c r="C4236" i="7" s="1"/>
  <c r="B4235" i="7"/>
  <c r="C4235" i="7" s="1" a="1"/>
  <c r="C4235" i="7" s="1"/>
  <c r="B4234" i="7"/>
  <c r="C4234" i="7" s="1" a="1"/>
  <c r="C4234" i="7" s="1"/>
  <c r="B4233" i="7"/>
  <c r="C4233" i="7" s="1" a="1"/>
  <c r="C4233" i="7" s="1"/>
  <c r="B4232" i="7"/>
  <c r="C4232" i="7" s="1" a="1"/>
  <c r="C4232" i="7" s="1"/>
  <c r="B4231" i="7"/>
  <c r="C4231" i="7" s="1" a="1"/>
  <c r="C4231" i="7" s="1"/>
  <c r="B4230" i="7"/>
  <c r="C4230" i="7" s="1" a="1"/>
  <c r="C4230" i="7" s="1"/>
  <c r="B4229" i="7"/>
  <c r="C4229" i="7" s="1" a="1"/>
  <c r="C4229" i="7" s="1"/>
  <c r="B4228" i="7"/>
  <c r="C4228" i="7" s="1" a="1"/>
  <c r="C4228" i="7" s="1"/>
  <c r="B4227" i="7"/>
  <c r="C4227" i="7" s="1" a="1"/>
  <c r="C4227" i="7" s="1"/>
  <c r="B4226" i="7"/>
  <c r="C4226" i="7" s="1" a="1"/>
  <c r="C4226" i="7" s="1"/>
  <c r="B4225" i="7"/>
  <c r="C4225" i="7" s="1" a="1"/>
  <c r="C4225" i="7" s="1"/>
  <c r="B4224" i="7"/>
  <c r="C4224" i="7" s="1" a="1"/>
  <c r="C4224" i="7" s="1"/>
  <c r="B4223" i="7"/>
  <c r="C4223" i="7" s="1" a="1"/>
  <c r="C4223" i="7" s="1"/>
  <c r="B4222" i="7"/>
  <c r="C4222" i="7" s="1" a="1"/>
  <c r="C4222" i="7" s="1"/>
  <c r="B4221" i="7"/>
  <c r="C4221" i="7" s="1" a="1"/>
  <c r="C4221" i="7" s="1"/>
  <c r="B4220" i="7"/>
  <c r="C4220" i="7" s="1" a="1"/>
  <c r="C4220" i="7" s="1"/>
  <c r="B4219" i="7"/>
  <c r="C4219" i="7" s="1" a="1"/>
  <c r="C4219" i="7" s="1"/>
  <c r="B4218" i="7"/>
  <c r="C4218" i="7" s="1" a="1"/>
  <c r="C4218" i="7" s="1"/>
  <c r="B4217" i="7"/>
  <c r="C4217" i="7" s="1" a="1"/>
  <c r="C4217" i="7" s="1"/>
  <c r="B4216" i="7"/>
  <c r="C4216" i="7" s="1" a="1"/>
  <c r="C4216" i="7" s="1"/>
  <c r="B4215" i="7"/>
  <c r="C4215" i="7" s="1" a="1"/>
  <c r="C4215" i="7" s="1"/>
  <c r="B4214" i="7"/>
  <c r="C4214" i="7" s="1" a="1"/>
  <c r="C4214" i="7" s="1"/>
  <c r="B4213" i="7"/>
  <c r="C4213" i="7" s="1" a="1"/>
  <c r="C4213" i="7" s="1"/>
  <c r="B4212" i="7"/>
  <c r="C4212" i="7" s="1" a="1"/>
  <c r="C4212" i="7" s="1"/>
  <c r="B4211" i="7"/>
  <c r="C4211" i="7" s="1" a="1"/>
  <c r="C4211" i="7" s="1"/>
  <c r="B4210" i="7"/>
  <c r="C4210" i="7" s="1" a="1"/>
  <c r="C4210" i="7" s="1"/>
  <c r="B4209" i="7"/>
  <c r="C4209" i="7" s="1" a="1"/>
  <c r="C4209" i="7" s="1"/>
  <c r="B4208" i="7"/>
  <c r="C4208" i="7" s="1" a="1"/>
  <c r="C4208" i="7" s="1"/>
  <c r="B4207" i="7"/>
  <c r="C4207" i="7" s="1" a="1"/>
  <c r="C4207" i="7" s="1"/>
  <c r="B4206" i="7"/>
  <c r="C4206" i="7" s="1" a="1"/>
  <c r="C4206" i="7" s="1"/>
  <c r="B4205" i="7"/>
  <c r="C4205" i="7" s="1" a="1"/>
  <c r="C4205" i="7" s="1"/>
  <c r="B4204" i="7"/>
  <c r="C4204" i="7" s="1" a="1"/>
  <c r="C4204" i="7" s="1"/>
  <c r="B4203" i="7"/>
  <c r="C4203" i="7" s="1" a="1"/>
  <c r="C4203" i="7" s="1"/>
  <c r="B4202" i="7"/>
  <c r="C4202" i="7" s="1" a="1"/>
  <c r="C4202" i="7" s="1"/>
  <c r="B4201" i="7"/>
  <c r="C4201" i="7" s="1" a="1"/>
  <c r="C4201" i="7" s="1"/>
  <c r="B4200" i="7"/>
  <c r="C4200" i="7" s="1" a="1"/>
  <c r="C4200" i="7" s="1"/>
  <c r="B4199" i="7"/>
  <c r="C4199" i="7" s="1" a="1"/>
  <c r="C4199" i="7" s="1"/>
  <c r="B4198" i="7"/>
  <c r="C4198" i="7" s="1" a="1"/>
  <c r="C4198" i="7" s="1"/>
  <c r="B4197" i="7"/>
  <c r="C4197" i="7" s="1" a="1"/>
  <c r="C4197" i="7" s="1"/>
  <c r="B4196" i="7"/>
  <c r="C4196" i="7" s="1" a="1"/>
  <c r="C4196" i="7" s="1"/>
  <c r="B4195" i="7"/>
  <c r="C4195" i="7" s="1" a="1"/>
  <c r="C4195" i="7" s="1"/>
  <c r="B4194" i="7"/>
  <c r="C4194" i="7" s="1" a="1"/>
  <c r="C4194" i="7" s="1"/>
  <c r="B4193" i="7"/>
  <c r="C4193" i="7" s="1" a="1"/>
  <c r="C4193" i="7" s="1"/>
  <c r="B4192" i="7"/>
  <c r="C4192" i="7" s="1" a="1"/>
  <c r="C4192" i="7" s="1"/>
  <c r="B4191" i="7"/>
  <c r="C4191" i="7" s="1" a="1"/>
  <c r="C4191" i="7" s="1"/>
  <c r="B4190" i="7"/>
  <c r="C4190" i="7" s="1" a="1"/>
  <c r="C4190" i="7" s="1"/>
  <c r="B4189" i="7"/>
  <c r="C4189" i="7" s="1" a="1"/>
  <c r="C4189" i="7" s="1"/>
  <c r="B4188" i="7"/>
  <c r="C4188" i="7" s="1" a="1"/>
  <c r="C4188" i="7" s="1"/>
  <c r="B4187" i="7"/>
  <c r="C4187" i="7" s="1" a="1"/>
  <c r="C4187" i="7" s="1"/>
  <c r="B4186" i="7"/>
  <c r="C4186" i="7" s="1" a="1"/>
  <c r="C4186" i="7" s="1"/>
  <c r="B4185" i="7"/>
  <c r="C4185" i="7" s="1" a="1"/>
  <c r="C4185" i="7" s="1"/>
  <c r="B4184" i="7"/>
  <c r="C4184" i="7" s="1" a="1"/>
  <c r="C4184" i="7" s="1"/>
  <c r="B4183" i="7"/>
  <c r="C4183" i="7" s="1" a="1"/>
  <c r="C4183" i="7" s="1"/>
  <c r="B4182" i="7"/>
  <c r="C4182" i="7" s="1" a="1"/>
  <c r="C4182" i="7" s="1"/>
  <c r="B4181" i="7"/>
  <c r="C4181" i="7" s="1" a="1"/>
  <c r="C4181" i="7" s="1"/>
  <c r="B4180" i="7"/>
  <c r="C4180" i="7" s="1" a="1"/>
  <c r="C4180" i="7" s="1"/>
  <c r="B4179" i="7"/>
  <c r="C4179" i="7" s="1" a="1"/>
  <c r="C4179" i="7" s="1"/>
  <c r="B4178" i="7"/>
  <c r="C4178" i="7" s="1" a="1"/>
  <c r="C4178" i="7" s="1"/>
  <c r="B4177" i="7"/>
  <c r="C4177" i="7" s="1" a="1"/>
  <c r="C4177" i="7" s="1"/>
  <c r="B4176" i="7"/>
  <c r="C4176" i="7" s="1" a="1"/>
  <c r="C4176" i="7" s="1"/>
  <c r="B4175" i="7"/>
  <c r="C4175" i="7" s="1" a="1"/>
  <c r="C4175" i="7" s="1"/>
  <c r="B4174" i="7"/>
  <c r="C4174" i="7" s="1" a="1"/>
  <c r="C4174" i="7" s="1"/>
  <c r="B4173" i="7"/>
  <c r="C4173" i="7" s="1" a="1"/>
  <c r="C4173" i="7" s="1"/>
  <c r="B4172" i="7"/>
  <c r="C4172" i="7" s="1" a="1"/>
  <c r="C4172" i="7" s="1"/>
  <c r="B4171" i="7"/>
  <c r="C4171" i="7" s="1" a="1"/>
  <c r="C4171" i="7" s="1"/>
  <c r="B4170" i="7"/>
  <c r="C4170" i="7" s="1" a="1"/>
  <c r="C4170" i="7" s="1"/>
  <c r="B4169" i="7"/>
  <c r="C4169" i="7" s="1" a="1"/>
  <c r="C4169" i="7" s="1"/>
  <c r="B4168" i="7"/>
  <c r="C4168" i="7" s="1" a="1"/>
  <c r="C4168" i="7" s="1"/>
  <c r="B4167" i="7"/>
  <c r="C4167" i="7" s="1" a="1"/>
  <c r="C4167" i="7" s="1"/>
  <c r="B4166" i="7"/>
  <c r="C4166" i="7" s="1" a="1"/>
  <c r="C4166" i="7" s="1"/>
  <c r="B4165" i="7"/>
  <c r="C4165" i="7" s="1" a="1"/>
  <c r="C4165" i="7" s="1"/>
  <c r="B4164" i="7"/>
  <c r="C4164" i="7" s="1" a="1"/>
  <c r="C4164" i="7" s="1"/>
  <c r="B4163" i="7"/>
  <c r="C4163" i="7" s="1" a="1"/>
  <c r="C4163" i="7" s="1"/>
  <c r="B4162" i="7"/>
  <c r="C4162" i="7" s="1" a="1"/>
  <c r="C4162" i="7" s="1"/>
  <c r="B4161" i="7"/>
  <c r="C4161" i="7" s="1" a="1"/>
  <c r="C4161" i="7" s="1"/>
  <c r="B4160" i="7"/>
  <c r="C4160" i="7" s="1" a="1"/>
  <c r="C4160" i="7" s="1"/>
  <c r="B4159" i="7"/>
  <c r="C4159" i="7" s="1" a="1"/>
  <c r="C4159" i="7" s="1"/>
  <c r="B4158" i="7"/>
  <c r="C4158" i="7" s="1" a="1"/>
  <c r="C4158" i="7" s="1"/>
  <c r="B4157" i="7"/>
  <c r="C4157" i="7" s="1" a="1"/>
  <c r="C4157" i="7" s="1"/>
  <c r="B4156" i="7"/>
  <c r="C4156" i="7" s="1" a="1"/>
  <c r="C4156" i="7" s="1"/>
  <c r="B4155" i="7"/>
  <c r="C4155" i="7" s="1" a="1"/>
  <c r="C4155" i="7" s="1"/>
  <c r="B4154" i="7"/>
  <c r="C4154" i="7" s="1" a="1"/>
  <c r="C4154" i="7" s="1"/>
  <c r="B4153" i="7"/>
  <c r="C4153" i="7" s="1" a="1"/>
  <c r="C4153" i="7" s="1"/>
  <c r="B4152" i="7"/>
  <c r="C4152" i="7" s="1" a="1"/>
  <c r="C4152" i="7" s="1"/>
  <c r="B4151" i="7"/>
  <c r="C4151" i="7" s="1" a="1"/>
  <c r="C4151" i="7" s="1"/>
  <c r="B4150" i="7"/>
  <c r="C4150" i="7" s="1" a="1"/>
  <c r="C4150" i="7" s="1"/>
  <c r="B4149" i="7"/>
  <c r="C4149" i="7" s="1" a="1"/>
  <c r="C4149" i="7" s="1"/>
  <c r="B4148" i="7"/>
  <c r="C4148" i="7" s="1" a="1"/>
  <c r="C4148" i="7" s="1"/>
  <c r="B4147" i="7"/>
  <c r="C4147" i="7" s="1" a="1"/>
  <c r="C4147" i="7" s="1"/>
  <c r="B4146" i="7"/>
  <c r="C4146" i="7" s="1" a="1"/>
  <c r="C4146" i="7" s="1"/>
  <c r="B4145" i="7"/>
  <c r="C4145" i="7" s="1" a="1"/>
  <c r="C4145" i="7" s="1"/>
  <c r="B4144" i="7"/>
  <c r="C4144" i="7" s="1" a="1"/>
  <c r="C4144" i="7" s="1"/>
  <c r="B4143" i="7"/>
  <c r="C4143" i="7" s="1" a="1"/>
  <c r="C4143" i="7" s="1"/>
  <c r="B4142" i="7"/>
  <c r="C4142" i="7" s="1" a="1"/>
  <c r="C4142" i="7" s="1"/>
  <c r="B4141" i="7"/>
  <c r="C4141" i="7" s="1" a="1"/>
  <c r="C4141" i="7" s="1"/>
  <c r="B4140" i="7"/>
  <c r="C4140" i="7" s="1" a="1"/>
  <c r="C4140" i="7" s="1"/>
  <c r="B4139" i="7"/>
  <c r="C4139" i="7" s="1" a="1"/>
  <c r="C4139" i="7" s="1"/>
  <c r="B4138" i="7"/>
  <c r="C4138" i="7" s="1" a="1"/>
  <c r="C4138" i="7" s="1"/>
  <c r="B4137" i="7"/>
  <c r="C4137" i="7" s="1" a="1"/>
  <c r="C4137" i="7" s="1"/>
  <c r="B4136" i="7"/>
  <c r="C4136" i="7" s="1" a="1"/>
  <c r="C4136" i="7" s="1"/>
  <c r="B4135" i="7"/>
  <c r="C4135" i="7" s="1" a="1"/>
  <c r="C4135" i="7" s="1"/>
  <c r="B4134" i="7"/>
  <c r="C4134" i="7" s="1" a="1"/>
  <c r="C4134" i="7" s="1"/>
  <c r="B4133" i="7"/>
  <c r="C4133" i="7" s="1" a="1"/>
  <c r="C4133" i="7" s="1"/>
  <c r="B4132" i="7"/>
  <c r="C4132" i="7" s="1" a="1"/>
  <c r="C4132" i="7" s="1"/>
  <c r="B4131" i="7"/>
  <c r="C4131" i="7" s="1" a="1"/>
  <c r="C4131" i="7" s="1"/>
  <c r="B4130" i="7"/>
  <c r="C4130" i="7" s="1" a="1"/>
  <c r="C4130" i="7" s="1"/>
  <c r="B4129" i="7"/>
  <c r="C4129" i="7" s="1" a="1"/>
  <c r="C4129" i="7" s="1"/>
  <c r="B4128" i="7"/>
  <c r="C4128" i="7" s="1" a="1"/>
  <c r="C4128" i="7" s="1"/>
  <c r="B4127" i="7"/>
  <c r="C4127" i="7" s="1" a="1"/>
  <c r="C4127" i="7" s="1"/>
  <c r="B4126" i="7"/>
  <c r="C4126" i="7" s="1" a="1"/>
  <c r="C4126" i="7" s="1"/>
  <c r="B4125" i="7"/>
  <c r="C4125" i="7" s="1" a="1"/>
  <c r="C4125" i="7" s="1"/>
  <c r="B4124" i="7"/>
  <c r="C4124" i="7" s="1" a="1"/>
  <c r="C4124" i="7" s="1"/>
  <c r="B4123" i="7"/>
  <c r="C4123" i="7" s="1" a="1"/>
  <c r="C4123" i="7" s="1"/>
  <c r="B4122" i="7"/>
  <c r="C4122" i="7" s="1" a="1"/>
  <c r="C4122" i="7" s="1"/>
  <c r="B4121" i="7"/>
  <c r="C4121" i="7" s="1" a="1"/>
  <c r="C4121" i="7" s="1"/>
  <c r="B4120" i="7"/>
  <c r="C4120" i="7" s="1" a="1"/>
  <c r="C4120" i="7" s="1"/>
  <c r="B4119" i="7"/>
  <c r="C4119" i="7" s="1" a="1"/>
  <c r="C4119" i="7" s="1"/>
  <c r="B4118" i="7"/>
  <c r="C4118" i="7" s="1" a="1"/>
  <c r="C4118" i="7" s="1"/>
  <c r="B4117" i="7"/>
  <c r="C4117" i="7" s="1" a="1"/>
  <c r="C4117" i="7" s="1"/>
  <c r="B4116" i="7"/>
  <c r="C4116" i="7" s="1" a="1"/>
  <c r="C4116" i="7" s="1"/>
  <c r="B4115" i="7"/>
  <c r="C4115" i="7" s="1" a="1"/>
  <c r="C4115" i="7" s="1"/>
  <c r="B4114" i="7"/>
  <c r="C4114" i="7" s="1" a="1"/>
  <c r="C4114" i="7" s="1"/>
  <c r="B4113" i="7"/>
  <c r="C4113" i="7" s="1" a="1"/>
  <c r="C4113" i="7" s="1"/>
  <c r="B4112" i="7"/>
  <c r="C4112" i="7" s="1" a="1"/>
  <c r="C4112" i="7" s="1"/>
  <c r="B4111" i="7"/>
  <c r="C4111" i="7" s="1" a="1"/>
  <c r="C4111" i="7" s="1"/>
  <c r="B4110" i="7"/>
  <c r="C4110" i="7" s="1" a="1"/>
  <c r="C4110" i="7" s="1"/>
  <c r="B4109" i="7"/>
  <c r="C4109" i="7" s="1" a="1"/>
  <c r="C4109" i="7" s="1"/>
  <c r="B4108" i="7"/>
  <c r="C4108" i="7" s="1" a="1"/>
  <c r="C4108" i="7" s="1"/>
  <c r="B4107" i="7"/>
  <c r="C4107" i="7" s="1" a="1"/>
  <c r="C4107" i="7" s="1"/>
  <c r="B4106" i="7"/>
  <c r="C4106" i="7" s="1" a="1"/>
  <c r="C4106" i="7" s="1"/>
  <c r="B4105" i="7"/>
  <c r="C4105" i="7" s="1" a="1"/>
  <c r="C4105" i="7" s="1"/>
  <c r="B4104" i="7"/>
  <c r="C4104" i="7" s="1" a="1"/>
  <c r="C4104" i="7" s="1"/>
  <c r="B4103" i="7"/>
  <c r="C4103" i="7" s="1" a="1"/>
  <c r="C4103" i="7" s="1"/>
  <c r="B4102" i="7"/>
  <c r="C4102" i="7" s="1" a="1"/>
  <c r="C4102" i="7" s="1"/>
  <c r="B4101" i="7"/>
  <c r="C4101" i="7" s="1" a="1"/>
  <c r="C4101" i="7" s="1"/>
  <c r="B4100" i="7"/>
  <c r="C4100" i="7" s="1" a="1"/>
  <c r="C4100" i="7" s="1"/>
  <c r="B4099" i="7"/>
  <c r="C4099" i="7" s="1" a="1"/>
  <c r="C4099" i="7" s="1"/>
  <c r="B4098" i="7"/>
  <c r="C4098" i="7" s="1" a="1"/>
  <c r="C4098" i="7" s="1"/>
  <c r="B4097" i="7"/>
  <c r="C4097" i="7" s="1" a="1"/>
  <c r="C4097" i="7" s="1"/>
  <c r="B4096" i="7"/>
  <c r="C4096" i="7" s="1" a="1"/>
  <c r="C4096" i="7" s="1"/>
  <c r="B4095" i="7"/>
  <c r="C4095" i="7" s="1" a="1"/>
  <c r="C4095" i="7" s="1"/>
  <c r="B4094" i="7"/>
  <c r="C4094" i="7" s="1" a="1"/>
  <c r="C4094" i="7" s="1"/>
  <c r="B4093" i="7"/>
  <c r="C4093" i="7" s="1" a="1"/>
  <c r="C4093" i="7" s="1"/>
  <c r="B4092" i="7"/>
  <c r="C4092" i="7" s="1" a="1"/>
  <c r="C4092" i="7" s="1"/>
  <c r="B4091" i="7"/>
  <c r="C4091" i="7" s="1" a="1"/>
  <c r="C4091" i="7" s="1"/>
  <c r="B4090" i="7"/>
  <c r="C4090" i="7" s="1" a="1"/>
  <c r="C4090" i="7" s="1"/>
  <c r="B4089" i="7"/>
  <c r="C4089" i="7" s="1" a="1"/>
  <c r="C4089" i="7" s="1"/>
  <c r="B4088" i="7"/>
  <c r="C4088" i="7" s="1" a="1"/>
  <c r="C4088" i="7" s="1"/>
  <c r="B4087" i="7"/>
  <c r="C4087" i="7" s="1" a="1"/>
  <c r="C4087" i="7" s="1"/>
  <c r="B4086" i="7"/>
  <c r="C4086" i="7" s="1" a="1"/>
  <c r="C4086" i="7" s="1"/>
  <c r="B4085" i="7"/>
  <c r="C4085" i="7" s="1" a="1"/>
  <c r="C4085" i="7" s="1"/>
  <c r="B4084" i="7"/>
  <c r="C4084" i="7" s="1" a="1"/>
  <c r="C4084" i="7" s="1"/>
  <c r="B4083" i="7"/>
  <c r="C4083" i="7" s="1" a="1"/>
  <c r="C4083" i="7" s="1"/>
  <c r="B4082" i="7"/>
  <c r="C4082" i="7" s="1" a="1"/>
  <c r="C4082" i="7" s="1"/>
  <c r="B4081" i="7"/>
  <c r="C4081" i="7" s="1" a="1"/>
  <c r="C4081" i="7" s="1"/>
  <c r="B4080" i="7"/>
  <c r="C4080" i="7" s="1" a="1"/>
  <c r="C4080" i="7" s="1"/>
  <c r="B4079" i="7"/>
  <c r="C4079" i="7" s="1" a="1"/>
  <c r="C4079" i="7" s="1"/>
  <c r="B4078" i="7"/>
  <c r="C4078" i="7" s="1" a="1"/>
  <c r="C4078" i="7" s="1"/>
  <c r="B4077" i="7"/>
  <c r="C4077" i="7" s="1" a="1"/>
  <c r="C4077" i="7" s="1"/>
  <c r="B4076" i="7"/>
  <c r="C4076" i="7" s="1" a="1"/>
  <c r="C4076" i="7" s="1"/>
  <c r="B4075" i="7"/>
  <c r="C4075" i="7" s="1" a="1"/>
  <c r="C4075" i="7" s="1"/>
  <c r="B4074" i="7"/>
  <c r="C4074" i="7" s="1" a="1"/>
  <c r="C4074" i="7" s="1"/>
  <c r="B4073" i="7"/>
  <c r="C4073" i="7" s="1" a="1"/>
  <c r="C4073" i="7" s="1"/>
  <c r="B4072" i="7"/>
  <c r="C4072" i="7" s="1" a="1"/>
  <c r="C4072" i="7" s="1"/>
  <c r="B4071" i="7"/>
  <c r="C4071" i="7" s="1" a="1"/>
  <c r="C4071" i="7" s="1"/>
  <c r="B4070" i="7"/>
  <c r="C4070" i="7" s="1" a="1"/>
  <c r="C4070" i="7" s="1"/>
  <c r="B4069" i="7"/>
  <c r="C4069" i="7" s="1" a="1"/>
  <c r="C4069" i="7" s="1"/>
  <c r="B4068" i="7"/>
  <c r="C4068" i="7" s="1" a="1"/>
  <c r="C4068" i="7" s="1"/>
  <c r="B4067" i="7"/>
  <c r="C4067" i="7" s="1" a="1"/>
  <c r="C4067" i="7" s="1"/>
  <c r="B4066" i="7"/>
  <c r="C4066" i="7" s="1" a="1"/>
  <c r="C4066" i="7" s="1"/>
  <c r="B4065" i="7"/>
  <c r="C4065" i="7" s="1" a="1"/>
  <c r="C4065" i="7" s="1"/>
  <c r="B4064" i="7"/>
  <c r="C4064" i="7" s="1" a="1"/>
  <c r="C4064" i="7" s="1"/>
  <c r="B4063" i="7"/>
  <c r="C4063" i="7" s="1" a="1"/>
  <c r="C4063" i="7" s="1"/>
  <c r="B4062" i="7"/>
  <c r="C4062" i="7" s="1" a="1"/>
  <c r="C4062" i="7" s="1"/>
  <c r="B4061" i="7"/>
  <c r="C4061" i="7" s="1" a="1"/>
  <c r="C4061" i="7" s="1"/>
  <c r="B4060" i="7"/>
  <c r="C4060" i="7" s="1" a="1"/>
  <c r="C4060" i="7" s="1"/>
  <c r="B4059" i="7"/>
  <c r="C4059" i="7" s="1" a="1"/>
  <c r="C4059" i="7" s="1"/>
  <c r="B4058" i="7"/>
  <c r="C4058" i="7" s="1" a="1"/>
  <c r="C4058" i="7" s="1"/>
  <c r="B4057" i="7"/>
  <c r="C4057" i="7" s="1" a="1"/>
  <c r="C4057" i="7" s="1"/>
  <c r="B4056" i="7"/>
  <c r="C4056" i="7" s="1" a="1"/>
  <c r="C4056" i="7" s="1"/>
  <c r="B4055" i="7"/>
  <c r="C4055" i="7" s="1" a="1"/>
  <c r="C4055" i="7" s="1"/>
  <c r="B4054" i="7"/>
  <c r="C4054" i="7" s="1" a="1"/>
  <c r="C4054" i="7" s="1"/>
  <c r="B4053" i="7"/>
  <c r="C4053" i="7" s="1" a="1"/>
  <c r="C4053" i="7" s="1"/>
  <c r="B4052" i="7"/>
  <c r="C4052" i="7" s="1" a="1"/>
  <c r="C4052" i="7" s="1"/>
  <c r="B4051" i="7"/>
  <c r="C4051" i="7" s="1" a="1"/>
  <c r="C4051" i="7" s="1"/>
  <c r="B4050" i="7"/>
  <c r="C4050" i="7" s="1" a="1"/>
  <c r="C4050" i="7" s="1"/>
  <c r="B4049" i="7"/>
  <c r="C4049" i="7" s="1" a="1"/>
  <c r="C4049" i="7" s="1"/>
  <c r="B4048" i="7"/>
  <c r="C4048" i="7" s="1" a="1"/>
  <c r="C4048" i="7" s="1"/>
  <c r="B4047" i="7"/>
  <c r="C4047" i="7" s="1" a="1"/>
  <c r="C4047" i="7" s="1"/>
  <c r="B4046" i="7"/>
  <c r="C4046" i="7" s="1" a="1"/>
  <c r="C4046" i="7" s="1"/>
  <c r="B4045" i="7"/>
  <c r="C4045" i="7" s="1" a="1"/>
  <c r="C4045" i="7" s="1"/>
  <c r="B4044" i="7"/>
  <c r="C4044" i="7" s="1" a="1"/>
  <c r="C4044" i="7" s="1"/>
  <c r="B4043" i="7"/>
  <c r="C4043" i="7" s="1" a="1"/>
  <c r="C4043" i="7" s="1"/>
  <c r="B4042" i="7"/>
  <c r="C4042" i="7" s="1" a="1"/>
  <c r="C4042" i="7" s="1"/>
  <c r="B4041" i="7"/>
  <c r="C4041" i="7" s="1" a="1"/>
  <c r="C4041" i="7" s="1"/>
  <c r="B4040" i="7"/>
  <c r="C4040" i="7" s="1" a="1"/>
  <c r="C4040" i="7" s="1"/>
  <c r="B4039" i="7"/>
  <c r="C4039" i="7" s="1" a="1"/>
  <c r="C4039" i="7" s="1"/>
  <c r="B4038" i="7"/>
  <c r="C4038" i="7" s="1" a="1"/>
  <c r="C4038" i="7" s="1"/>
  <c r="B4037" i="7"/>
  <c r="C4037" i="7" s="1" a="1"/>
  <c r="C4037" i="7" s="1"/>
  <c r="B4036" i="7"/>
  <c r="C4036" i="7" s="1" a="1"/>
  <c r="C4036" i="7" s="1"/>
  <c r="B4035" i="7"/>
  <c r="C4035" i="7" s="1" a="1"/>
  <c r="C4035" i="7" s="1"/>
  <c r="B4034" i="7"/>
  <c r="C4034" i="7" s="1" a="1"/>
  <c r="C4034" i="7" s="1"/>
  <c r="B4033" i="7"/>
  <c r="C4033" i="7" s="1" a="1"/>
  <c r="C4033" i="7" s="1"/>
  <c r="B4032" i="7"/>
  <c r="C4032" i="7" s="1" a="1"/>
  <c r="C4032" i="7" s="1"/>
  <c r="B4031" i="7"/>
  <c r="C4031" i="7" s="1" a="1"/>
  <c r="C4031" i="7" s="1"/>
  <c r="B4030" i="7"/>
  <c r="C4030" i="7" s="1" a="1"/>
  <c r="C4030" i="7" s="1"/>
  <c r="B4029" i="7"/>
  <c r="C4029" i="7" s="1" a="1"/>
  <c r="C4029" i="7" s="1"/>
  <c r="B4028" i="7"/>
  <c r="C4028" i="7" s="1" a="1"/>
  <c r="C4028" i="7" s="1"/>
  <c r="B4027" i="7"/>
  <c r="C4027" i="7" s="1" a="1"/>
  <c r="C4027" i="7" s="1"/>
  <c r="B4026" i="7"/>
  <c r="C4026" i="7" s="1" a="1"/>
  <c r="C4026" i="7" s="1"/>
  <c r="B4025" i="7"/>
  <c r="C4025" i="7" s="1" a="1"/>
  <c r="C4025" i="7" s="1"/>
  <c r="B4024" i="7"/>
  <c r="C4024" i="7" s="1" a="1"/>
  <c r="C4024" i="7" s="1"/>
  <c r="B4023" i="7"/>
  <c r="C4023" i="7" s="1" a="1"/>
  <c r="C4023" i="7" s="1"/>
  <c r="B4022" i="7"/>
  <c r="C4022" i="7" s="1" a="1"/>
  <c r="C4022" i="7" s="1"/>
  <c r="B4021" i="7"/>
  <c r="C4021" i="7" s="1" a="1"/>
  <c r="C4021" i="7" s="1"/>
  <c r="B4020" i="7"/>
  <c r="C4020" i="7" s="1" a="1"/>
  <c r="C4020" i="7" s="1"/>
  <c r="B4019" i="7"/>
  <c r="C4019" i="7" s="1" a="1"/>
  <c r="C4019" i="7" s="1"/>
  <c r="B4018" i="7"/>
  <c r="C4018" i="7" s="1" a="1"/>
  <c r="C4018" i="7" s="1"/>
  <c r="B4017" i="7"/>
  <c r="C4017" i="7" s="1" a="1"/>
  <c r="C4017" i="7" s="1"/>
  <c r="B4016" i="7"/>
  <c r="C4016" i="7" s="1" a="1"/>
  <c r="C4016" i="7" s="1"/>
  <c r="B4015" i="7"/>
  <c r="C4015" i="7" s="1" a="1"/>
  <c r="C4015" i="7" s="1"/>
  <c r="B4014" i="7"/>
  <c r="C4014" i="7" s="1" a="1"/>
  <c r="C4014" i="7" s="1"/>
  <c r="B4013" i="7"/>
  <c r="C4013" i="7" s="1" a="1"/>
  <c r="C4013" i="7" s="1"/>
  <c r="B4012" i="7"/>
  <c r="C4012" i="7" s="1" a="1"/>
  <c r="C4012" i="7" s="1"/>
  <c r="B4011" i="7"/>
  <c r="C4011" i="7" s="1" a="1"/>
  <c r="C4011" i="7" s="1"/>
  <c r="B4010" i="7"/>
  <c r="C4010" i="7" s="1" a="1"/>
  <c r="C4010" i="7" s="1"/>
  <c r="B4009" i="7"/>
  <c r="C4009" i="7" s="1" a="1"/>
  <c r="C4009" i="7" s="1"/>
  <c r="B4008" i="7"/>
  <c r="C4008" i="7" s="1" a="1"/>
  <c r="C4008" i="7" s="1"/>
  <c r="B4007" i="7"/>
  <c r="C4007" i="7" s="1" a="1"/>
  <c r="C4007" i="7" s="1"/>
  <c r="B4006" i="7"/>
  <c r="C4006" i="7" s="1" a="1"/>
  <c r="C4006" i="7" s="1"/>
  <c r="B4005" i="7"/>
  <c r="C4005" i="7" s="1" a="1"/>
  <c r="C4005" i="7" s="1"/>
  <c r="B4004" i="7"/>
  <c r="C4004" i="7" s="1" a="1"/>
  <c r="C4004" i="7" s="1"/>
  <c r="B4003" i="7"/>
  <c r="C4003" i="7" s="1" a="1"/>
  <c r="C4003" i="7" s="1"/>
  <c r="B4002" i="7"/>
  <c r="C4002" i="7" s="1" a="1"/>
  <c r="C4002" i="7" s="1"/>
  <c r="B4001" i="7"/>
  <c r="C4001" i="7" s="1" a="1"/>
  <c r="C4001" i="7" s="1"/>
  <c r="B4000" i="7"/>
  <c r="C4000" i="7" s="1" a="1"/>
  <c r="C4000" i="7" s="1"/>
  <c r="B3999" i="7"/>
  <c r="C3999" i="7" s="1" a="1"/>
  <c r="C3999" i="7" s="1"/>
  <c r="B3998" i="7"/>
  <c r="C3998" i="7" s="1" a="1"/>
  <c r="C3998" i="7" s="1"/>
  <c r="B3997" i="7"/>
  <c r="C3997" i="7" s="1" a="1"/>
  <c r="C3997" i="7" s="1"/>
  <c r="B3996" i="7"/>
  <c r="C3996" i="7" s="1" a="1"/>
  <c r="C3996" i="7" s="1"/>
  <c r="B3995" i="7"/>
  <c r="C3995" i="7" s="1" a="1"/>
  <c r="C3995" i="7" s="1"/>
  <c r="B3994" i="7"/>
  <c r="C3994" i="7" s="1" a="1"/>
  <c r="C3994" i="7" s="1"/>
  <c r="B3993" i="7"/>
  <c r="C3993" i="7" s="1" a="1"/>
  <c r="C3993" i="7" s="1"/>
  <c r="B3992" i="7"/>
  <c r="C3992" i="7" s="1" a="1"/>
  <c r="C3992" i="7" s="1"/>
  <c r="B3991" i="7"/>
  <c r="C3991" i="7" s="1" a="1"/>
  <c r="C3991" i="7" s="1"/>
  <c r="B3990" i="7"/>
  <c r="C3990" i="7" s="1" a="1"/>
  <c r="C3990" i="7" s="1"/>
  <c r="B3989" i="7"/>
  <c r="C3989" i="7" s="1" a="1"/>
  <c r="C3989" i="7" s="1"/>
  <c r="B3988" i="7"/>
  <c r="C3988" i="7" s="1" a="1"/>
  <c r="C3988" i="7" s="1"/>
  <c r="B3987" i="7"/>
  <c r="C3987" i="7" s="1" a="1"/>
  <c r="C3987" i="7" s="1"/>
  <c r="B3986" i="7"/>
  <c r="C3986" i="7" s="1" a="1"/>
  <c r="C3986" i="7" s="1"/>
  <c r="B3985" i="7"/>
  <c r="C3985" i="7" s="1" a="1"/>
  <c r="C3985" i="7" s="1"/>
  <c r="B3984" i="7"/>
  <c r="C3984" i="7" s="1" a="1"/>
  <c r="C3984" i="7" s="1"/>
  <c r="B3983" i="7"/>
  <c r="C3983" i="7" s="1" a="1"/>
  <c r="C3983" i="7" s="1"/>
  <c r="B3982" i="7"/>
  <c r="C3982" i="7" s="1" a="1"/>
  <c r="C3982" i="7" s="1"/>
  <c r="B3981" i="7"/>
  <c r="C3981" i="7" s="1" a="1"/>
  <c r="C3981" i="7" s="1"/>
  <c r="B3980" i="7"/>
  <c r="C3980" i="7" s="1" a="1"/>
  <c r="C3980" i="7" s="1"/>
  <c r="B3979" i="7"/>
  <c r="C3979" i="7" s="1" a="1"/>
  <c r="C3979" i="7" s="1"/>
  <c r="B3978" i="7"/>
  <c r="C3978" i="7" s="1" a="1"/>
  <c r="C3978" i="7" s="1"/>
  <c r="B3977" i="7"/>
  <c r="C3977" i="7" s="1" a="1"/>
  <c r="C3977" i="7" s="1"/>
  <c r="B3976" i="7"/>
  <c r="C3976" i="7" s="1" a="1"/>
  <c r="C3976" i="7" s="1"/>
  <c r="B3975" i="7"/>
  <c r="C3975" i="7" s="1" a="1"/>
  <c r="C3975" i="7" s="1"/>
  <c r="B3974" i="7"/>
  <c r="C3974" i="7" s="1" a="1"/>
  <c r="C3974" i="7" s="1"/>
  <c r="B3973" i="7"/>
  <c r="C3973" i="7" s="1" a="1"/>
  <c r="C3973" i="7" s="1"/>
  <c r="B3972" i="7"/>
  <c r="C3972" i="7" s="1" a="1"/>
  <c r="C3972" i="7" s="1"/>
  <c r="B3971" i="7"/>
  <c r="C3971" i="7" s="1" a="1"/>
  <c r="C3971" i="7" s="1"/>
  <c r="B3970" i="7"/>
  <c r="C3970" i="7" s="1" a="1"/>
  <c r="C3970" i="7" s="1"/>
  <c r="B3969" i="7"/>
  <c r="C3969" i="7" s="1" a="1"/>
  <c r="C3969" i="7" s="1"/>
  <c r="B3968" i="7"/>
  <c r="C3968" i="7" s="1" a="1"/>
  <c r="C3968" i="7" s="1"/>
  <c r="B3967" i="7"/>
  <c r="C3967" i="7" s="1" a="1"/>
  <c r="C3967" i="7" s="1"/>
  <c r="B3966" i="7"/>
  <c r="C3966" i="7" s="1" a="1"/>
  <c r="C3966" i="7" s="1"/>
  <c r="B3965" i="7"/>
  <c r="C3965" i="7" s="1" a="1"/>
  <c r="C3965" i="7" s="1"/>
  <c r="B3964" i="7"/>
  <c r="C3964" i="7" s="1" a="1"/>
  <c r="C3964" i="7" s="1"/>
  <c r="B3963" i="7"/>
  <c r="C3963" i="7" s="1" a="1"/>
  <c r="C3963" i="7" s="1"/>
  <c r="B3962" i="7"/>
  <c r="C3962" i="7" s="1" a="1"/>
  <c r="C3962" i="7" s="1"/>
  <c r="B3961" i="7"/>
  <c r="C3961" i="7" s="1" a="1"/>
  <c r="C3961" i="7" s="1"/>
  <c r="B3960" i="7"/>
  <c r="C3960" i="7" s="1" a="1"/>
  <c r="C3960" i="7" s="1"/>
  <c r="B3959" i="7"/>
  <c r="C3959" i="7" s="1" a="1"/>
  <c r="C3959" i="7" s="1"/>
  <c r="B3958" i="7"/>
  <c r="C3958" i="7" s="1" a="1"/>
  <c r="C3958" i="7" s="1"/>
  <c r="B3957" i="7"/>
  <c r="C3957" i="7" s="1" a="1"/>
  <c r="C3957" i="7" s="1"/>
  <c r="B3956" i="7"/>
  <c r="C3956" i="7" s="1" a="1"/>
  <c r="C3956" i="7" s="1"/>
  <c r="B3955" i="7"/>
  <c r="C3955" i="7" s="1" a="1"/>
  <c r="C3955" i="7" s="1"/>
  <c r="B3954" i="7"/>
  <c r="C3954" i="7" s="1" a="1"/>
  <c r="C3954" i="7" s="1"/>
  <c r="B3953" i="7"/>
  <c r="C3953" i="7" s="1" a="1"/>
  <c r="C3953" i="7" s="1"/>
  <c r="B3952" i="7"/>
  <c r="C3952" i="7" s="1" a="1"/>
  <c r="C3952" i="7" s="1"/>
  <c r="B3951" i="7"/>
  <c r="C3951" i="7" s="1" a="1"/>
  <c r="C3951" i="7" s="1"/>
  <c r="B3950" i="7"/>
  <c r="C3950" i="7" s="1" a="1"/>
  <c r="C3950" i="7" s="1"/>
  <c r="B3949" i="7"/>
  <c r="C3949" i="7" s="1" a="1"/>
  <c r="C3949" i="7" s="1"/>
  <c r="B3948" i="7"/>
  <c r="C3948" i="7" s="1" a="1"/>
  <c r="C3948" i="7" s="1"/>
  <c r="B3947" i="7"/>
  <c r="C3947" i="7" s="1" a="1"/>
  <c r="C3947" i="7" s="1"/>
  <c r="B3946" i="7"/>
  <c r="C3946" i="7" s="1" a="1"/>
  <c r="C3946" i="7" s="1"/>
  <c r="B3945" i="7"/>
  <c r="C3945" i="7" s="1" a="1"/>
  <c r="C3945" i="7" s="1"/>
  <c r="B3944" i="7"/>
  <c r="C3944" i="7" s="1" a="1"/>
  <c r="C3944" i="7" s="1"/>
  <c r="B3943" i="7"/>
  <c r="C3943" i="7" s="1" a="1"/>
  <c r="C3943" i="7" s="1"/>
  <c r="B3942" i="7"/>
  <c r="C3942" i="7" s="1" a="1"/>
  <c r="C3942" i="7" s="1"/>
  <c r="B3941" i="7"/>
  <c r="C3941" i="7" s="1" a="1"/>
  <c r="C3941" i="7" s="1"/>
  <c r="B3940" i="7"/>
  <c r="C3940" i="7" s="1" a="1"/>
  <c r="C3940" i="7" s="1"/>
  <c r="B3939" i="7"/>
  <c r="C3939" i="7" s="1" a="1"/>
  <c r="C3939" i="7" s="1"/>
  <c r="B3938" i="7"/>
  <c r="C3938" i="7" s="1" a="1"/>
  <c r="C3938" i="7" s="1"/>
  <c r="B3937" i="7"/>
  <c r="C3937" i="7" s="1" a="1"/>
  <c r="C3937" i="7" s="1"/>
  <c r="B3936" i="7"/>
  <c r="C3936" i="7" s="1" a="1"/>
  <c r="C3936" i="7" s="1"/>
  <c r="B3935" i="7"/>
  <c r="C3935" i="7" s="1" a="1"/>
  <c r="C3935" i="7" s="1"/>
  <c r="B3934" i="7"/>
  <c r="C3934" i="7" s="1" a="1"/>
  <c r="C3934" i="7" s="1"/>
  <c r="B3933" i="7"/>
  <c r="C3933" i="7" s="1" a="1"/>
  <c r="C3933" i="7" s="1"/>
  <c r="B3932" i="7"/>
  <c r="C3932" i="7" s="1" a="1"/>
  <c r="C3932" i="7" s="1"/>
  <c r="B3931" i="7"/>
  <c r="C3931" i="7" s="1" a="1"/>
  <c r="C3931" i="7" s="1"/>
  <c r="B3930" i="7"/>
  <c r="C3930" i="7" s="1" a="1"/>
  <c r="C3930" i="7" s="1"/>
  <c r="B3929" i="7"/>
  <c r="C3929" i="7" s="1" a="1"/>
  <c r="C3929" i="7" s="1"/>
  <c r="B3928" i="7"/>
  <c r="C3928" i="7" s="1" a="1"/>
  <c r="C3928" i="7" s="1"/>
  <c r="B3927" i="7"/>
  <c r="C3927" i="7" s="1" a="1"/>
  <c r="C3927" i="7" s="1"/>
  <c r="B3926" i="7"/>
  <c r="C3926" i="7" s="1" a="1"/>
  <c r="C3926" i="7" s="1"/>
  <c r="B3925" i="7"/>
  <c r="C3925" i="7" s="1" a="1"/>
  <c r="C3925" i="7" s="1"/>
  <c r="B3924" i="7"/>
  <c r="C3924" i="7" s="1" a="1"/>
  <c r="C3924" i="7" s="1"/>
  <c r="B3923" i="7"/>
  <c r="C3923" i="7" s="1" a="1"/>
  <c r="C3923" i="7" s="1"/>
  <c r="B3922" i="7"/>
  <c r="C3922" i="7" s="1" a="1"/>
  <c r="C3922" i="7" s="1"/>
  <c r="B3921" i="7"/>
  <c r="C3921" i="7" s="1" a="1"/>
  <c r="C3921" i="7" s="1"/>
  <c r="B3920" i="7"/>
  <c r="C3920" i="7" s="1" a="1"/>
  <c r="C3920" i="7" s="1"/>
  <c r="B3919" i="7"/>
  <c r="C3919" i="7" s="1" a="1"/>
  <c r="C3919" i="7" s="1"/>
  <c r="B3918" i="7"/>
  <c r="C3918" i="7" s="1" a="1"/>
  <c r="C3918" i="7" s="1"/>
  <c r="B3917" i="7"/>
  <c r="C3917" i="7" s="1" a="1"/>
  <c r="C3917" i="7" s="1"/>
  <c r="B3916" i="7"/>
  <c r="C3916" i="7" s="1" a="1"/>
  <c r="C3916" i="7" s="1"/>
  <c r="B3915" i="7"/>
  <c r="C3915" i="7" s="1" a="1"/>
  <c r="C3915" i="7" s="1"/>
  <c r="B3914" i="7"/>
  <c r="C3914" i="7" s="1" a="1"/>
  <c r="C3914" i="7" s="1"/>
  <c r="B3913" i="7"/>
  <c r="C3913" i="7" s="1" a="1"/>
  <c r="C3913" i="7" s="1"/>
  <c r="B3912" i="7"/>
  <c r="C3912" i="7" s="1" a="1"/>
  <c r="C3912" i="7" s="1"/>
  <c r="B3911" i="7"/>
  <c r="C3911" i="7" s="1" a="1"/>
  <c r="C3911" i="7" s="1"/>
  <c r="B3910" i="7"/>
  <c r="C3910" i="7" s="1" a="1"/>
  <c r="C3910" i="7" s="1"/>
  <c r="B3909" i="7"/>
  <c r="C3909" i="7" s="1" a="1"/>
  <c r="C3909" i="7" s="1"/>
  <c r="B3908" i="7"/>
  <c r="C3908" i="7" s="1" a="1"/>
  <c r="C3908" i="7" s="1"/>
  <c r="B3907" i="7"/>
  <c r="C3907" i="7" s="1" a="1"/>
  <c r="C3907" i="7" s="1"/>
  <c r="B3906" i="7"/>
  <c r="C3906" i="7" s="1" a="1"/>
  <c r="C3906" i="7" s="1"/>
  <c r="B3905" i="7"/>
  <c r="C3905" i="7" s="1" a="1"/>
  <c r="C3905" i="7" s="1"/>
  <c r="B3904" i="7"/>
  <c r="C3904" i="7" s="1" a="1"/>
  <c r="C3904" i="7" s="1"/>
  <c r="B3903" i="7"/>
  <c r="C3903" i="7" s="1" a="1"/>
  <c r="C3903" i="7" s="1"/>
  <c r="B3902" i="7"/>
  <c r="C3902" i="7" s="1" a="1"/>
  <c r="C3902" i="7" s="1"/>
  <c r="B3901" i="7"/>
  <c r="C3901" i="7" s="1" a="1"/>
  <c r="C3901" i="7" s="1"/>
  <c r="B3900" i="7"/>
  <c r="C3900" i="7" s="1" a="1"/>
  <c r="C3900" i="7" s="1"/>
  <c r="B3899" i="7"/>
  <c r="C3899" i="7" s="1" a="1"/>
  <c r="C3899" i="7" s="1"/>
  <c r="B3898" i="7"/>
  <c r="C3898" i="7" s="1" a="1"/>
  <c r="C3898" i="7" s="1"/>
  <c r="B3897" i="7"/>
  <c r="C3897" i="7" s="1" a="1"/>
  <c r="C3897" i="7" s="1"/>
  <c r="B3896" i="7"/>
  <c r="C3896" i="7" s="1" a="1"/>
  <c r="C3896" i="7" s="1"/>
  <c r="B3895" i="7"/>
  <c r="C3895" i="7" s="1" a="1"/>
  <c r="C3895" i="7" s="1"/>
  <c r="B3894" i="7"/>
  <c r="C3894" i="7" s="1" a="1"/>
  <c r="C3894" i="7" s="1"/>
  <c r="B3893" i="7"/>
  <c r="C3893" i="7" s="1" a="1"/>
  <c r="C3893" i="7" s="1"/>
  <c r="B3892" i="7"/>
  <c r="C3892" i="7" s="1" a="1"/>
  <c r="C3892" i="7" s="1"/>
  <c r="B3891" i="7"/>
  <c r="C3891" i="7" s="1" a="1"/>
  <c r="C3891" i="7" s="1"/>
  <c r="B3890" i="7"/>
  <c r="C3890" i="7" s="1" a="1"/>
  <c r="C3890" i="7" s="1"/>
  <c r="B3889" i="7"/>
  <c r="C3889" i="7" s="1" a="1"/>
  <c r="C3889" i="7" s="1"/>
  <c r="B3888" i="7"/>
  <c r="C3888" i="7" s="1" a="1"/>
  <c r="C3888" i="7" s="1"/>
  <c r="B3887" i="7"/>
  <c r="C3887" i="7" s="1" a="1"/>
  <c r="C3887" i="7" s="1"/>
  <c r="B3886" i="7"/>
  <c r="C3886" i="7" s="1" a="1"/>
  <c r="C3886" i="7" s="1"/>
  <c r="B3885" i="7"/>
  <c r="C3885" i="7" s="1" a="1"/>
  <c r="C3885" i="7" s="1"/>
  <c r="B3884" i="7"/>
  <c r="C3884" i="7" s="1" a="1"/>
  <c r="C3884" i="7" s="1"/>
  <c r="B3883" i="7"/>
  <c r="C3883" i="7" s="1" a="1"/>
  <c r="C3883" i="7" s="1"/>
  <c r="B3882" i="7"/>
  <c r="C3882" i="7" s="1" a="1"/>
  <c r="C3882" i="7" s="1"/>
  <c r="B3881" i="7"/>
  <c r="C3881" i="7" s="1" a="1"/>
  <c r="C3881" i="7" s="1"/>
  <c r="B3880" i="7"/>
  <c r="C3880" i="7" s="1" a="1"/>
  <c r="C3880" i="7" s="1"/>
  <c r="B3879" i="7"/>
  <c r="C3879" i="7" s="1" a="1"/>
  <c r="C3879" i="7" s="1"/>
  <c r="B3878" i="7"/>
  <c r="C3878" i="7" s="1" a="1"/>
  <c r="C3878" i="7" s="1"/>
  <c r="B3877" i="7"/>
  <c r="C3877" i="7" s="1" a="1"/>
  <c r="C3877" i="7" s="1"/>
  <c r="B3876" i="7"/>
  <c r="C3876" i="7" s="1" a="1"/>
  <c r="C3876" i="7" s="1"/>
  <c r="B3875" i="7"/>
  <c r="C3875" i="7" s="1" a="1"/>
  <c r="C3875" i="7" s="1"/>
  <c r="B3874" i="7"/>
  <c r="C3874" i="7" s="1" a="1"/>
  <c r="C3874" i="7" s="1"/>
  <c r="B3873" i="7"/>
  <c r="C3873" i="7" s="1" a="1"/>
  <c r="C3873" i="7" s="1"/>
  <c r="B3872" i="7"/>
  <c r="C3872" i="7" s="1" a="1"/>
  <c r="C3872" i="7" s="1"/>
  <c r="B3871" i="7"/>
  <c r="C3871" i="7" s="1" a="1"/>
  <c r="C3871" i="7" s="1"/>
  <c r="B3870" i="7"/>
  <c r="C3870" i="7" s="1" a="1"/>
  <c r="C3870" i="7" s="1"/>
  <c r="B3869" i="7"/>
  <c r="C3869" i="7" s="1" a="1"/>
  <c r="C3869" i="7" s="1"/>
  <c r="B3868" i="7"/>
  <c r="C3868" i="7" s="1" a="1"/>
  <c r="C3868" i="7" s="1"/>
  <c r="B3867" i="7"/>
  <c r="C3867" i="7" s="1" a="1"/>
  <c r="C3867" i="7" s="1"/>
  <c r="B3866" i="7"/>
  <c r="C3866" i="7" s="1" a="1"/>
  <c r="C3866" i="7" s="1"/>
  <c r="B3865" i="7"/>
  <c r="C3865" i="7" s="1" a="1"/>
  <c r="C3865" i="7" s="1"/>
  <c r="B3864" i="7"/>
  <c r="C3864" i="7" s="1" a="1"/>
  <c r="C3864" i="7" s="1"/>
  <c r="B3863" i="7"/>
  <c r="C3863" i="7" s="1" a="1"/>
  <c r="C3863" i="7" s="1"/>
  <c r="B3862" i="7"/>
  <c r="C3862" i="7" s="1" a="1"/>
  <c r="C3862" i="7" s="1"/>
  <c r="B3861" i="7"/>
  <c r="C3861" i="7" s="1" a="1"/>
  <c r="C3861" i="7" s="1"/>
  <c r="B3860" i="7"/>
  <c r="C3860" i="7" s="1" a="1"/>
  <c r="C3860" i="7" s="1"/>
  <c r="B3859" i="7"/>
  <c r="C3859" i="7" s="1" a="1"/>
  <c r="C3859" i="7" s="1"/>
  <c r="B3858" i="7"/>
  <c r="C3858" i="7" s="1" a="1"/>
  <c r="C3858" i="7" s="1"/>
  <c r="B3857" i="7"/>
  <c r="C3857" i="7" s="1" a="1"/>
  <c r="C3857" i="7" s="1"/>
  <c r="B3856" i="7"/>
  <c r="C3856" i="7" s="1" a="1"/>
  <c r="C3856" i="7" s="1"/>
  <c r="B3855" i="7"/>
  <c r="C3855" i="7" s="1" a="1"/>
  <c r="C3855" i="7" s="1"/>
  <c r="B3854" i="7"/>
  <c r="C3854" i="7" s="1" a="1"/>
  <c r="C3854" i="7" s="1"/>
  <c r="B3853" i="7"/>
  <c r="C3853" i="7" s="1" a="1"/>
  <c r="C3853" i="7" s="1"/>
  <c r="B3852" i="7"/>
  <c r="C3852" i="7" s="1" a="1"/>
  <c r="C3852" i="7" s="1"/>
  <c r="B3851" i="7"/>
  <c r="C3851" i="7" s="1" a="1"/>
  <c r="C3851" i="7" s="1"/>
  <c r="B3850" i="7"/>
  <c r="C3850" i="7" s="1" a="1"/>
  <c r="C3850" i="7" s="1"/>
  <c r="B3849" i="7"/>
  <c r="C3849" i="7" s="1" a="1"/>
  <c r="C3849" i="7" s="1"/>
  <c r="B3848" i="7"/>
  <c r="C3848" i="7" s="1" a="1"/>
  <c r="C3848" i="7" s="1"/>
  <c r="B3847" i="7"/>
  <c r="C3847" i="7" s="1" a="1"/>
  <c r="C3847" i="7" s="1"/>
  <c r="B3846" i="7"/>
  <c r="C3846" i="7" s="1" a="1"/>
  <c r="C3846" i="7" s="1"/>
  <c r="B3845" i="7"/>
  <c r="C3845" i="7" s="1" a="1"/>
  <c r="C3845" i="7" s="1"/>
  <c r="B3844" i="7"/>
  <c r="C3844" i="7" s="1" a="1"/>
  <c r="C3844" i="7" s="1"/>
  <c r="B3843" i="7"/>
  <c r="C3843" i="7" s="1" a="1"/>
  <c r="C3843" i="7" s="1"/>
  <c r="B3842" i="7"/>
  <c r="C3842" i="7" s="1" a="1"/>
  <c r="C3842" i="7" s="1"/>
  <c r="B3841" i="7"/>
  <c r="C3841" i="7" s="1" a="1"/>
  <c r="C3841" i="7" s="1"/>
  <c r="B3840" i="7"/>
  <c r="C3840" i="7" s="1" a="1"/>
  <c r="C3840" i="7" s="1"/>
  <c r="B3839" i="7"/>
  <c r="C3839" i="7" s="1" a="1"/>
  <c r="C3839" i="7" s="1"/>
  <c r="B3838" i="7"/>
  <c r="C3838" i="7" s="1" a="1"/>
  <c r="C3838" i="7" s="1"/>
  <c r="B3837" i="7"/>
  <c r="C3837" i="7" s="1" a="1"/>
  <c r="C3837" i="7" s="1"/>
  <c r="B3836" i="7"/>
  <c r="C3836" i="7" s="1" a="1"/>
  <c r="C3836" i="7" s="1"/>
  <c r="B3835" i="7"/>
  <c r="C3835" i="7" s="1" a="1"/>
  <c r="C3835" i="7" s="1"/>
  <c r="B3834" i="7"/>
  <c r="C3834" i="7" s="1" a="1"/>
  <c r="C3834" i="7" s="1"/>
  <c r="B3833" i="7"/>
  <c r="C3833" i="7" s="1" a="1"/>
  <c r="C3833" i="7" s="1"/>
  <c r="B3832" i="7"/>
  <c r="C3832" i="7" s="1" a="1"/>
  <c r="C3832" i="7" s="1"/>
  <c r="B3831" i="7"/>
  <c r="C3831" i="7" s="1" a="1"/>
  <c r="C3831" i="7" s="1"/>
  <c r="B3830" i="7"/>
  <c r="C3830" i="7" s="1" a="1"/>
  <c r="C3830" i="7" s="1"/>
  <c r="B3829" i="7"/>
  <c r="C3829" i="7" s="1" a="1"/>
  <c r="C3829" i="7" s="1"/>
  <c r="B3828" i="7"/>
  <c r="C3828" i="7" s="1" a="1"/>
  <c r="C3828" i="7" s="1"/>
  <c r="B3827" i="7"/>
  <c r="C3827" i="7" s="1" a="1"/>
  <c r="C3827" i="7" s="1"/>
  <c r="B3826" i="7"/>
  <c r="C3826" i="7" s="1" a="1"/>
  <c r="C3826" i="7" s="1"/>
  <c r="B3825" i="7"/>
  <c r="C3825" i="7" s="1" a="1"/>
  <c r="C3825" i="7" s="1"/>
  <c r="B3824" i="7"/>
  <c r="C3824" i="7" s="1" a="1"/>
  <c r="C3824" i="7" s="1"/>
  <c r="B3823" i="7"/>
  <c r="C3823" i="7" s="1" a="1"/>
  <c r="C3823" i="7" s="1"/>
  <c r="B3822" i="7"/>
  <c r="C3822" i="7" s="1" a="1"/>
  <c r="C3822" i="7" s="1"/>
  <c r="B3821" i="7"/>
  <c r="C3821" i="7" s="1" a="1"/>
  <c r="C3821" i="7" s="1"/>
  <c r="B3820" i="7"/>
  <c r="C3820" i="7" s="1" a="1"/>
  <c r="C3820" i="7" s="1"/>
  <c r="B3819" i="7"/>
  <c r="C3819" i="7" s="1" a="1"/>
  <c r="C3819" i="7" s="1"/>
  <c r="B3818" i="7"/>
  <c r="C3818" i="7" s="1" a="1"/>
  <c r="C3818" i="7" s="1"/>
  <c r="B3817" i="7"/>
  <c r="C3817" i="7" s="1" a="1"/>
  <c r="C3817" i="7" s="1"/>
  <c r="B3816" i="7"/>
  <c r="C3816" i="7" s="1" a="1"/>
  <c r="C3816" i="7" s="1"/>
  <c r="B3815" i="7"/>
  <c r="C3815" i="7" s="1" a="1"/>
  <c r="C3815" i="7" s="1"/>
  <c r="B3814" i="7"/>
  <c r="C3814" i="7" s="1" a="1"/>
  <c r="C3814" i="7" s="1"/>
  <c r="B3813" i="7"/>
  <c r="C3813" i="7" s="1" a="1"/>
  <c r="C3813" i="7" s="1"/>
  <c r="B3812" i="7"/>
  <c r="C3812" i="7" s="1" a="1"/>
  <c r="C3812" i="7" s="1"/>
  <c r="B3811" i="7"/>
  <c r="C3811" i="7" s="1" a="1"/>
  <c r="C3811" i="7" s="1"/>
  <c r="B3810" i="7"/>
  <c r="C3810" i="7" s="1" a="1"/>
  <c r="C3810" i="7" s="1"/>
  <c r="B3809" i="7"/>
  <c r="C3809" i="7" s="1" a="1"/>
  <c r="C3809" i="7" s="1"/>
  <c r="B3808" i="7"/>
  <c r="C3808" i="7" s="1" a="1"/>
  <c r="C3808" i="7" s="1"/>
  <c r="B3807" i="7"/>
  <c r="C3807" i="7" s="1" a="1"/>
  <c r="C3807" i="7" s="1"/>
  <c r="B3806" i="7"/>
  <c r="C3806" i="7" s="1" a="1"/>
  <c r="C3806" i="7" s="1"/>
  <c r="B3805" i="7"/>
  <c r="C3805" i="7" s="1" a="1"/>
  <c r="C3805" i="7" s="1"/>
  <c r="B3804" i="7"/>
  <c r="C3804" i="7" s="1" a="1"/>
  <c r="C3804" i="7" s="1"/>
  <c r="B3803" i="7"/>
  <c r="C3803" i="7" s="1" a="1"/>
  <c r="C3803" i="7" s="1"/>
  <c r="B3802" i="7"/>
  <c r="C3802" i="7" s="1" a="1"/>
  <c r="C3802" i="7" s="1"/>
  <c r="B3801" i="7"/>
  <c r="C3801" i="7" s="1" a="1"/>
  <c r="C3801" i="7" s="1"/>
  <c r="B3800" i="7"/>
  <c r="C3800" i="7" s="1" a="1"/>
  <c r="C3800" i="7" s="1"/>
  <c r="B3799" i="7"/>
  <c r="C3799" i="7" s="1" a="1"/>
  <c r="C3799" i="7" s="1"/>
  <c r="B3798" i="7"/>
  <c r="C3798" i="7" s="1" a="1"/>
  <c r="C3798" i="7" s="1"/>
  <c r="B3797" i="7"/>
  <c r="C3797" i="7" s="1" a="1"/>
  <c r="C3797" i="7" s="1"/>
  <c r="B3796" i="7"/>
  <c r="C3796" i="7" s="1" a="1"/>
  <c r="C3796" i="7" s="1"/>
  <c r="B3795" i="7"/>
  <c r="C3795" i="7" s="1" a="1"/>
  <c r="C3795" i="7" s="1"/>
  <c r="B3794" i="7"/>
  <c r="C3794" i="7" s="1" a="1"/>
  <c r="C3794" i="7" s="1"/>
  <c r="B3793" i="7"/>
  <c r="C3793" i="7" s="1" a="1"/>
  <c r="C3793" i="7" s="1"/>
  <c r="B3792" i="7"/>
  <c r="C3792" i="7" s="1" a="1"/>
  <c r="C3792" i="7" s="1"/>
  <c r="B3791" i="7"/>
  <c r="C3791" i="7" s="1" a="1"/>
  <c r="C3791" i="7" s="1"/>
  <c r="B3790" i="7"/>
  <c r="C3790" i="7" s="1" a="1"/>
  <c r="C3790" i="7" s="1"/>
  <c r="B3789" i="7"/>
  <c r="C3789" i="7" s="1" a="1"/>
  <c r="C3789" i="7" s="1"/>
  <c r="B3788" i="7"/>
  <c r="C3788" i="7" s="1" a="1"/>
  <c r="C3788" i="7" s="1"/>
  <c r="B3787" i="7"/>
  <c r="C3787" i="7" s="1" a="1"/>
  <c r="C3787" i="7" s="1"/>
  <c r="B3786" i="7"/>
  <c r="C3786" i="7" s="1" a="1"/>
  <c r="C3786" i="7" s="1"/>
  <c r="B3785" i="7"/>
  <c r="C3785" i="7" s="1" a="1"/>
  <c r="C3785" i="7" s="1"/>
  <c r="B3784" i="7"/>
  <c r="C3784" i="7" s="1" a="1"/>
  <c r="C3784" i="7" s="1"/>
  <c r="B3783" i="7"/>
  <c r="C3783" i="7" s="1" a="1"/>
  <c r="C3783" i="7" s="1"/>
  <c r="B3782" i="7"/>
  <c r="C3782" i="7" s="1" a="1"/>
  <c r="C3782" i="7" s="1"/>
  <c r="B3781" i="7"/>
  <c r="C3781" i="7" s="1" a="1"/>
  <c r="C3781" i="7" s="1"/>
  <c r="B3780" i="7"/>
  <c r="C3780" i="7" s="1" a="1"/>
  <c r="C3780" i="7" s="1"/>
  <c r="B3779" i="7"/>
  <c r="C3779" i="7" s="1" a="1"/>
  <c r="C3779" i="7" s="1"/>
  <c r="B3778" i="7"/>
  <c r="C3778" i="7" s="1" a="1"/>
  <c r="C3778" i="7" s="1"/>
  <c r="B3777" i="7"/>
  <c r="C3777" i="7" s="1" a="1"/>
  <c r="C3777" i="7" s="1"/>
  <c r="B3776" i="7"/>
  <c r="C3776" i="7" s="1" a="1"/>
  <c r="C3776" i="7" s="1"/>
  <c r="B3775" i="7"/>
  <c r="C3775" i="7" s="1" a="1"/>
  <c r="C3775" i="7" s="1"/>
  <c r="B3774" i="7"/>
  <c r="C3774" i="7" s="1" a="1"/>
  <c r="C3774" i="7" s="1"/>
  <c r="B3773" i="7"/>
  <c r="C3773" i="7" s="1" a="1"/>
  <c r="C3773" i="7" s="1"/>
  <c r="B3772" i="7"/>
  <c r="C3772" i="7" s="1" a="1"/>
  <c r="C3772" i="7" s="1"/>
  <c r="B3771" i="7"/>
  <c r="C3771" i="7" s="1" a="1"/>
  <c r="C3771" i="7" s="1"/>
  <c r="B3770" i="7"/>
  <c r="C3770" i="7" s="1" a="1"/>
  <c r="C3770" i="7" s="1"/>
  <c r="B3769" i="7"/>
  <c r="C3769" i="7" s="1" a="1"/>
  <c r="C3769" i="7" s="1"/>
  <c r="B3768" i="7"/>
  <c r="C3768" i="7" s="1" a="1"/>
  <c r="C3768" i="7" s="1"/>
  <c r="B3767" i="7"/>
  <c r="C3767" i="7" s="1" a="1"/>
  <c r="C3767" i="7" s="1"/>
  <c r="B3766" i="7"/>
  <c r="C3766" i="7" s="1" a="1"/>
  <c r="C3766" i="7" s="1"/>
  <c r="B3765" i="7"/>
  <c r="C3765" i="7" s="1" a="1"/>
  <c r="C3765" i="7" s="1"/>
  <c r="B3764" i="7"/>
  <c r="C3764" i="7" s="1" a="1"/>
  <c r="C3764" i="7" s="1"/>
  <c r="B3763" i="7"/>
  <c r="C3763" i="7" s="1" a="1"/>
  <c r="C3763" i="7" s="1"/>
  <c r="B3762" i="7"/>
  <c r="C3762" i="7" s="1" a="1"/>
  <c r="C3762" i="7" s="1"/>
  <c r="B3761" i="7"/>
  <c r="C3761" i="7" s="1" a="1"/>
  <c r="C3761" i="7" s="1"/>
  <c r="B3760" i="7"/>
  <c r="C3760" i="7" s="1" a="1"/>
  <c r="C3760" i="7" s="1"/>
  <c r="B3759" i="7"/>
  <c r="C3759" i="7" s="1" a="1"/>
  <c r="C3759" i="7" s="1"/>
  <c r="B3758" i="7"/>
  <c r="C3758" i="7" s="1" a="1"/>
  <c r="C3758" i="7" s="1"/>
  <c r="B3757" i="7"/>
  <c r="C3757" i="7" s="1" a="1"/>
  <c r="C3757" i="7" s="1"/>
  <c r="B3756" i="7"/>
  <c r="C3756" i="7" s="1" a="1"/>
  <c r="C3756" i="7" s="1"/>
  <c r="B3755" i="7"/>
  <c r="C3755" i="7" s="1" a="1"/>
  <c r="C3755" i="7" s="1"/>
  <c r="B3754" i="7"/>
  <c r="C3754" i="7" s="1" a="1"/>
  <c r="C3754" i="7" s="1"/>
  <c r="B3753" i="7"/>
  <c r="C3753" i="7" s="1" a="1"/>
  <c r="C3753" i="7" s="1"/>
  <c r="B3752" i="7"/>
  <c r="C3752" i="7" s="1" a="1"/>
  <c r="C3752" i="7" s="1"/>
  <c r="B3751" i="7"/>
  <c r="C3751" i="7" s="1" a="1"/>
  <c r="C3751" i="7" s="1"/>
  <c r="B3750" i="7"/>
  <c r="C3750" i="7" s="1" a="1"/>
  <c r="C3750" i="7" s="1"/>
  <c r="B3749" i="7"/>
  <c r="C3749" i="7" s="1" a="1"/>
  <c r="C3749" i="7" s="1"/>
  <c r="B3748" i="7"/>
  <c r="C3748" i="7" s="1" a="1"/>
  <c r="C3748" i="7" s="1"/>
  <c r="B3747" i="7"/>
  <c r="C3747" i="7" s="1" a="1"/>
  <c r="C3747" i="7" s="1"/>
  <c r="B3746" i="7"/>
  <c r="C3746" i="7" s="1" a="1"/>
  <c r="C3746" i="7" s="1"/>
  <c r="B3745" i="7"/>
  <c r="C3745" i="7" s="1" a="1"/>
  <c r="C3745" i="7" s="1"/>
  <c r="B3744" i="7"/>
  <c r="C3744" i="7" s="1" a="1"/>
  <c r="C3744" i="7" s="1"/>
  <c r="B3743" i="7"/>
  <c r="C3743" i="7" s="1" a="1"/>
  <c r="C3743" i="7" s="1"/>
  <c r="B3742" i="7"/>
  <c r="C3742" i="7" s="1" a="1"/>
  <c r="C3742" i="7" s="1"/>
  <c r="B3741" i="7"/>
  <c r="C3741" i="7" s="1" a="1"/>
  <c r="C3741" i="7" s="1"/>
  <c r="B3740" i="7"/>
  <c r="C3740" i="7" s="1" a="1"/>
  <c r="C3740" i="7" s="1"/>
  <c r="B3739" i="7"/>
  <c r="C3739" i="7" s="1" a="1"/>
  <c r="C3739" i="7" s="1"/>
  <c r="B3738" i="7"/>
  <c r="C3738" i="7" s="1" a="1"/>
  <c r="C3738" i="7" s="1"/>
  <c r="B3737" i="7"/>
  <c r="C3737" i="7" s="1" a="1"/>
  <c r="C3737" i="7" s="1"/>
  <c r="B3736" i="7"/>
  <c r="C3736" i="7" s="1" a="1"/>
  <c r="C3736" i="7" s="1"/>
  <c r="B3735" i="7"/>
  <c r="C3735" i="7" s="1" a="1"/>
  <c r="C3735" i="7" s="1"/>
  <c r="B3734" i="7"/>
  <c r="C3734" i="7" s="1" a="1"/>
  <c r="C3734" i="7" s="1"/>
  <c r="B3733" i="7"/>
  <c r="C3733" i="7" s="1" a="1"/>
  <c r="C3733" i="7" s="1"/>
  <c r="B3732" i="7"/>
  <c r="C3732" i="7" s="1" a="1"/>
  <c r="C3732" i="7" s="1"/>
  <c r="B3731" i="7"/>
  <c r="C3731" i="7" s="1" a="1"/>
  <c r="C3731" i="7" s="1"/>
  <c r="B3730" i="7"/>
  <c r="C3730" i="7" s="1" a="1"/>
  <c r="C3730" i="7" s="1"/>
  <c r="B3729" i="7"/>
  <c r="C3729" i="7" s="1" a="1"/>
  <c r="C3729" i="7" s="1"/>
  <c r="B3728" i="7"/>
  <c r="C3728" i="7" s="1" a="1"/>
  <c r="C3728" i="7" s="1"/>
  <c r="B3727" i="7"/>
  <c r="C3727" i="7" s="1" a="1"/>
  <c r="C3727" i="7" s="1"/>
  <c r="B3726" i="7"/>
  <c r="C3726" i="7" s="1" a="1"/>
  <c r="C3726" i="7" s="1"/>
  <c r="B3725" i="7"/>
  <c r="C3725" i="7" s="1" a="1"/>
  <c r="C3725" i="7" s="1"/>
  <c r="B3724" i="7"/>
  <c r="C3724" i="7" s="1" a="1"/>
  <c r="C3724" i="7" s="1"/>
  <c r="B3723" i="7"/>
  <c r="C3723" i="7" s="1" a="1"/>
  <c r="C3723" i="7" s="1"/>
  <c r="B3722" i="7"/>
  <c r="C3722" i="7" s="1" a="1"/>
  <c r="C3722" i="7" s="1"/>
  <c r="B3721" i="7"/>
  <c r="C3721" i="7" s="1" a="1"/>
  <c r="C3721" i="7" s="1"/>
  <c r="B3720" i="7"/>
  <c r="C3720" i="7" s="1" a="1"/>
  <c r="C3720" i="7" s="1"/>
  <c r="B3719" i="7"/>
  <c r="C3719" i="7" s="1" a="1"/>
  <c r="C3719" i="7" s="1"/>
  <c r="B3718" i="7"/>
  <c r="C3718" i="7" s="1" a="1"/>
  <c r="C3718" i="7" s="1"/>
  <c r="B3717" i="7"/>
  <c r="C3717" i="7" s="1" a="1"/>
  <c r="C3717" i="7" s="1"/>
  <c r="B3716" i="7"/>
  <c r="C3716" i="7" s="1" a="1"/>
  <c r="C3716" i="7" s="1"/>
  <c r="B3715" i="7"/>
  <c r="C3715" i="7" s="1" a="1"/>
  <c r="C3715" i="7" s="1"/>
  <c r="B3714" i="7"/>
  <c r="C3714" i="7" s="1" a="1"/>
  <c r="C3714" i="7" s="1"/>
  <c r="B3713" i="7"/>
  <c r="C3713" i="7" s="1" a="1"/>
  <c r="C3713" i="7" s="1"/>
  <c r="B3712" i="7"/>
  <c r="C3712" i="7" s="1" a="1"/>
  <c r="C3712" i="7" s="1"/>
  <c r="B3711" i="7"/>
  <c r="C3711" i="7" s="1" a="1"/>
  <c r="C3711" i="7" s="1"/>
  <c r="B3710" i="7"/>
  <c r="C3710" i="7" s="1" a="1"/>
  <c r="C3710" i="7" s="1"/>
  <c r="B3709" i="7"/>
  <c r="C3709" i="7" s="1" a="1"/>
  <c r="C3709" i="7" s="1"/>
  <c r="B3708" i="7"/>
  <c r="C3708" i="7" s="1" a="1"/>
  <c r="C3708" i="7" s="1"/>
  <c r="B3707" i="7"/>
  <c r="C3707" i="7" s="1" a="1"/>
  <c r="C3707" i="7" s="1"/>
  <c r="B3706" i="7"/>
  <c r="C3706" i="7" s="1" a="1"/>
  <c r="C3706" i="7" s="1"/>
  <c r="B3705" i="7"/>
  <c r="C3705" i="7" s="1" a="1"/>
  <c r="C3705" i="7" s="1"/>
  <c r="B3704" i="7"/>
  <c r="C3704" i="7" s="1" a="1"/>
  <c r="C3704" i="7" s="1"/>
  <c r="B3703" i="7"/>
  <c r="C3703" i="7" s="1" a="1"/>
  <c r="C3703" i="7" s="1"/>
  <c r="B3702" i="7"/>
  <c r="C3702" i="7" s="1" a="1"/>
  <c r="C3702" i="7" s="1"/>
  <c r="B3701" i="7"/>
  <c r="C3701" i="7" s="1" a="1"/>
  <c r="C3701" i="7" s="1"/>
  <c r="B3700" i="7"/>
  <c r="C3700" i="7" s="1" a="1"/>
  <c r="C3700" i="7" s="1"/>
  <c r="B3699" i="7"/>
  <c r="C3699" i="7" s="1" a="1"/>
  <c r="C3699" i="7" s="1"/>
  <c r="B3698" i="7"/>
  <c r="C3698" i="7" s="1" a="1"/>
  <c r="C3698" i="7" s="1"/>
  <c r="B3697" i="7"/>
  <c r="C3697" i="7" s="1" a="1"/>
  <c r="C3697" i="7" s="1"/>
  <c r="B3696" i="7"/>
  <c r="C3696" i="7" s="1" a="1"/>
  <c r="C3696" i="7" s="1"/>
  <c r="B3695" i="7"/>
  <c r="C3695" i="7" s="1" a="1"/>
  <c r="C3695" i="7" s="1"/>
  <c r="B3694" i="7"/>
  <c r="C3694" i="7" s="1" a="1"/>
  <c r="C3694" i="7" s="1"/>
  <c r="B3693" i="7"/>
  <c r="C3693" i="7" s="1" a="1"/>
  <c r="C3693" i="7" s="1"/>
  <c r="B3692" i="7"/>
  <c r="C3692" i="7" s="1" a="1"/>
  <c r="C3692" i="7" s="1"/>
  <c r="B3691" i="7"/>
  <c r="C3691" i="7" s="1" a="1"/>
  <c r="C3691" i="7" s="1"/>
  <c r="B3690" i="7"/>
  <c r="C3690" i="7" s="1" a="1"/>
  <c r="C3690" i="7" s="1"/>
  <c r="B3689" i="7"/>
  <c r="C3689" i="7" s="1" a="1"/>
  <c r="C3689" i="7" s="1"/>
  <c r="B3688" i="7"/>
  <c r="C3688" i="7" s="1" a="1"/>
  <c r="C3688" i="7" s="1"/>
  <c r="B3687" i="7"/>
  <c r="C3687" i="7" s="1" a="1"/>
  <c r="C3687" i="7" s="1"/>
  <c r="B3686" i="7"/>
  <c r="C3686" i="7" s="1" a="1"/>
  <c r="C3686" i="7" s="1"/>
  <c r="B3685" i="7"/>
  <c r="C3685" i="7" s="1" a="1"/>
  <c r="C3685" i="7" s="1"/>
  <c r="B3684" i="7"/>
  <c r="C3684" i="7" s="1" a="1"/>
  <c r="C3684" i="7" s="1"/>
  <c r="B3683" i="7"/>
  <c r="C3683" i="7" s="1" a="1"/>
  <c r="C3683" i="7" s="1"/>
  <c r="B3682" i="7"/>
  <c r="C3682" i="7" s="1" a="1"/>
  <c r="C3682" i="7" s="1"/>
  <c r="B3681" i="7"/>
  <c r="C3681" i="7" s="1" a="1"/>
  <c r="C3681" i="7" s="1"/>
  <c r="B3680" i="7"/>
  <c r="C3680" i="7" s="1" a="1"/>
  <c r="C3680" i="7" s="1"/>
  <c r="B3679" i="7"/>
  <c r="C3679" i="7" s="1" a="1"/>
  <c r="C3679" i="7" s="1"/>
  <c r="B3678" i="7"/>
  <c r="C3678" i="7" s="1" a="1"/>
  <c r="C3678" i="7" s="1"/>
  <c r="B3677" i="7"/>
  <c r="C3677" i="7" s="1" a="1"/>
  <c r="C3677" i="7" s="1"/>
  <c r="B3676" i="7"/>
  <c r="C3676" i="7" s="1" a="1"/>
  <c r="C3676" i="7" s="1"/>
  <c r="B3675" i="7"/>
  <c r="C3675" i="7" s="1" a="1"/>
  <c r="C3675" i="7" s="1"/>
  <c r="B3674" i="7"/>
  <c r="C3674" i="7" s="1" a="1"/>
  <c r="C3674" i="7" s="1"/>
  <c r="B3673" i="7"/>
  <c r="C3673" i="7" s="1" a="1"/>
  <c r="C3673" i="7" s="1"/>
  <c r="B3672" i="7"/>
  <c r="C3672" i="7" s="1" a="1"/>
  <c r="C3672" i="7" s="1"/>
  <c r="B3671" i="7"/>
  <c r="C3671" i="7" s="1" a="1"/>
  <c r="C3671" i="7" s="1"/>
  <c r="B3670" i="7"/>
  <c r="C3670" i="7" s="1" a="1"/>
  <c r="C3670" i="7" s="1"/>
  <c r="B3669" i="7"/>
  <c r="C3669" i="7" s="1" a="1"/>
  <c r="C3669" i="7" s="1"/>
  <c r="B3668" i="7"/>
  <c r="C3668" i="7" s="1" a="1"/>
  <c r="C3668" i="7" s="1"/>
  <c r="B3667" i="7"/>
  <c r="C3667" i="7" s="1" a="1"/>
  <c r="C3667" i="7" s="1"/>
  <c r="B3666" i="7"/>
  <c r="C3666" i="7" s="1" a="1"/>
  <c r="C3666" i="7" s="1"/>
  <c r="B3665" i="7"/>
  <c r="C3665" i="7" s="1" a="1"/>
  <c r="C3665" i="7" s="1"/>
  <c r="B3664" i="7"/>
  <c r="C3664" i="7" s="1" a="1"/>
  <c r="C3664" i="7" s="1"/>
  <c r="B3663" i="7"/>
  <c r="C3663" i="7" s="1" a="1"/>
  <c r="C3663" i="7" s="1"/>
  <c r="B3662" i="7"/>
  <c r="C3662" i="7" s="1" a="1"/>
  <c r="C3662" i="7" s="1"/>
  <c r="B3661" i="7"/>
  <c r="C3661" i="7" s="1" a="1"/>
  <c r="C3661" i="7" s="1"/>
  <c r="B3660" i="7"/>
  <c r="C3660" i="7" s="1" a="1"/>
  <c r="C3660" i="7" s="1"/>
  <c r="B3659" i="7"/>
  <c r="C3659" i="7" s="1" a="1"/>
  <c r="C3659" i="7" s="1"/>
  <c r="B3658" i="7"/>
  <c r="C3658" i="7" s="1" a="1"/>
  <c r="C3658" i="7" s="1"/>
  <c r="B3657" i="7"/>
  <c r="C3657" i="7" s="1" a="1"/>
  <c r="C3657" i="7" s="1"/>
  <c r="B3656" i="7"/>
  <c r="C3656" i="7" s="1" a="1"/>
  <c r="C3656" i="7" s="1"/>
  <c r="B3655" i="7"/>
  <c r="C3655" i="7" s="1" a="1"/>
  <c r="C3655" i="7" s="1"/>
  <c r="B3654" i="7"/>
  <c r="C3654" i="7" s="1" a="1"/>
  <c r="C3654" i="7" s="1"/>
  <c r="B3653" i="7"/>
  <c r="C3653" i="7" s="1" a="1"/>
  <c r="C3653" i="7" s="1"/>
  <c r="B3652" i="7"/>
  <c r="C3652" i="7" s="1" a="1"/>
  <c r="C3652" i="7" s="1"/>
  <c r="B3651" i="7"/>
  <c r="C3651" i="7" s="1" a="1"/>
  <c r="C3651" i="7" s="1"/>
  <c r="B3650" i="7"/>
  <c r="C3650" i="7" s="1" a="1"/>
  <c r="C3650" i="7" s="1"/>
  <c r="B3649" i="7"/>
  <c r="C3649" i="7" s="1" a="1"/>
  <c r="C3649" i="7" s="1"/>
  <c r="B3648" i="7"/>
  <c r="C3648" i="7" s="1" a="1"/>
  <c r="C3648" i="7" s="1"/>
  <c r="B3647" i="7"/>
  <c r="C3647" i="7" s="1" a="1"/>
  <c r="C3647" i="7" s="1"/>
  <c r="B3646" i="7"/>
  <c r="C3646" i="7" s="1" a="1"/>
  <c r="C3646" i="7" s="1"/>
  <c r="B3645" i="7"/>
  <c r="C3645" i="7" s="1" a="1"/>
  <c r="C3645" i="7" s="1"/>
  <c r="B3644" i="7"/>
  <c r="C3644" i="7" s="1" a="1"/>
  <c r="C3644" i="7" s="1"/>
  <c r="B3643" i="7"/>
  <c r="C3643" i="7" s="1" a="1"/>
  <c r="C3643" i="7" s="1"/>
  <c r="B3642" i="7"/>
  <c r="C3642" i="7" s="1" a="1"/>
  <c r="C3642" i="7" s="1"/>
  <c r="B3641" i="7"/>
  <c r="C3641" i="7" s="1" a="1"/>
  <c r="C3641" i="7" s="1"/>
  <c r="B3640" i="7"/>
  <c r="C3640" i="7" s="1" a="1"/>
  <c r="C3640" i="7" s="1"/>
  <c r="B3639" i="7"/>
  <c r="C3639" i="7" s="1" a="1"/>
  <c r="C3639" i="7" s="1"/>
  <c r="B3638" i="7"/>
  <c r="C3638" i="7" s="1" a="1"/>
  <c r="C3638" i="7" s="1"/>
  <c r="B3637" i="7"/>
  <c r="C3637" i="7" s="1" a="1"/>
  <c r="C3637" i="7" s="1"/>
  <c r="B3636" i="7"/>
  <c r="C3636" i="7" s="1" a="1"/>
  <c r="C3636" i="7" s="1"/>
  <c r="B3635" i="7"/>
  <c r="C3635" i="7" s="1" a="1"/>
  <c r="C3635" i="7" s="1"/>
  <c r="B3634" i="7"/>
  <c r="C3634" i="7" s="1" a="1"/>
  <c r="C3634" i="7" s="1"/>
  <c r="B3633" i="7"/>
  <c r="C3633" i="7" s="1" a="1"/>
  <c r="C3633" i="7" s="1"/>
  <c r="B3632" i="7"/>
  <c r="C3632" i="7" s="1" a="1"/>
  <c r="C3632" i="7" s="1"/>
  <c r="B3631" i="7"/>
  <c r="C3631" i="7" s="1" a="1"/>
  <c r="C3631" i="7" s="1"/>
  <c r="B3630" i="7"/>
  <c r="C3630" i="7" s="1" a="1"/>
  <c r="C3630" i="7" s="1"/>
  <c r="B3629" i="7"/>
  <c r="C3629" i="7" s="1" a="1"/>
  <c r="C3629" i="7" s="1"/>
  <c r="B3628" i="7"/>
  <c r="C3628" i="7" s="1" a="1"/>
  <c r="C3628" i="7" s="1"/>
  <c r="B3627" i="7"/>
  <c r="C3627" i="7" s="1" a="1"/>
  <c r="C3627" i="7" s="1"/>
  <c r="B3626" i="7"/>
  <c r="C3626" i="7" s="1" a="1"/>
  <c r="C3626" i="7" s="1"/>
  <c r="B3625" i="7"/>
  <c r="C3625" i="7" s="1" a="1"/>
  <c r="C3625" i="7" s="1"/>
  <c r="B3624" i="7"/>
  <c r="C3624" i="7" s="1" a="1"/>
  <c r="C3624" i="7" s="1"/>
  <c r="B3623" i="7"/>
  <c r="C3623" i="7" s="1" a="1"/>
  <c r="C3623" i="7" s="1"/>
  <c r="B3622" i="7"/>
  <c r="C3622" i="7" s="1" a="1"/>
  <c r="C3622" i="7" s="1"/>
  <c r="B3621" i="7"/>
  <c r="C3621" i="7" s="1" a="1"/>
  <c r="C3621" i="7" s="1"/>
  <c r="B3620" i="7"/>
  <c r="C3620" i="7" s="1" a="1"/>
  <c r="C3620" i="7" s="1"/>
  <c r="B3619" i="7"/>
  <c r="C3619" i="7" s="1" a="1"/>
  <c r="C3619" i="7" s="1"/>
  <c r="B3618" i="7"/>
  <c r="C3618" i="7" s="1" a="1"/>
  <c r="C3618" i="7" s="1"/>
  <c r="B3617" i="7"/>
  <c r="C3617" i="7" s="1" a="1"/>
  <c r="C3617" i="7" s="1"/>
  <c r="B3616" i="7"/>
  <c r="C3616" i="7" s="1" a="1"/>
  <c r="C3616" i="7" s="1"/>
  <c r="B3615" i="7"/>
  <c r="C3615" i="7" s="1" a="1"/>
  <c r="C3615" i="7" s="1"/>
  <c r="B3614" i="7"/>
  <c r="C3614" i="7" s="1" a="1"/>
  <c r="C3614" i="7" s="1"/>
  <c r="B3613" i="7"/>
  <c r="C3613" i="7" s="1" a="1"/>
  <c r="C3613" i="7" s="1"/>
  <c r="B3612" i="7"/>
  <c r="C3612" i="7" s="1" a="1"/>
  <c r="C3612" i="7" s="1"/>
  <c r="B3611" i="7"/>
  <c r="C3611" i="7" s="1" a="1"/>
  <c r="C3611" i="7" s="1"/>
  <c r="B3610" i="7"/>
  <c r="C3610" i="7" s="1" a="1"/>
  <c r="C3610" i="7" s="1"/>
  <c r="B3609" i="7"/>
  <c r="C3609" i="7" s="1" a="1"/>
  <c r="C3609" i="7" s="1"/>
  <c r="B3608" i="7"/>
  <c r="C3608" i="7" s="1" a="1"/>
  <c r="C3608" i="7" s="1"/>
  <c r="B3607" i="7"/>
  <c r="C3607" i="7" s="1" a="1"/>
  <c r="C3607" i="7" s="1"/>
  <c r="B3606" i="7"/>
  <c r="C3606" i="7" s="1" a="1"/>
  <c r="C3606" i="7" s="1"/>
  <c r="B3605" i="7"/>
  <c r="C3605" i="7" s="1" a="1"/>
  <c r="C3605" i="7" s="1"/>
  <c r="B3604" i="7"/>
  <c r="C3604" i="7" s="1" a="1"/>
  <c r="C3604" i="7" s="1"/>
  <c r="B3603" i="7"/>
  <c r="C3603" i="7" s="1" a="1"/>
  <c r="C3603" i="7" s="1"/>
  <c r="B3602" i="7"/>
  <c r="C3602" i="7" s="1" a="1"/>
  <c r="C3602" i="7" s="1"/>
  <c r="B3601" i="7"/>
  <c r="C3601" i="7" s="1" a="1"/>
  <c r="C3601" i="7" s="1"/>
  <c r="B3600" i="7"/>
  <c r="C3600" i="7" s="1" a="1"/>
  <c r="C3600" i="7" s="1"/>
  <c r="B3599" i="7"/>
  <c r="C3599" i="7" s="1" a="1"/>
  <c r="C3599" i="7" s="1"/>
  <c r="B3598" i="7"/>
  <c r="C3598" i="7" s="1" a="1"/>
  <c r="C3598" i="7" s="1"/>
  <c r="B3597" i="7"/>
  <c r="C3597" i="7" s="1" a="1"/>
  <c r="C3597" i="7" s="1"/>
  <c r="B3596" i="7"/>
  <c r="C3596" i="7" s="1" a="1"/>
  <c r="C3596" i="7" s="1"/>
  <c r="B3595" i="7"/>
  <c r="C3595" i="7" s="1" a="1"/>
  <c r="C3595" i="7" s="1"/>
  <c r="B3594" i="7"/>
  <c r="C3594" i="7" s="1" a="1"/>
  <c r="C3594" i="7" s="1"/>
  <c r="B3593" i="7"/>
  <c r="C3593" i="7" s="1" a="1"/>
  <c r="C3593" i="7" s="1"/>
  <c r="B3592" i="7"/>
  <c r="C3592" i="7" s="1" a="1"/>
  <c r="C3592" i="7" s="1"/>
  <c r="B3591" i="7"/>
  <c r="C3591" i="7" s="1" a="1"/>
  <c r="C3591" i="7" s="1"/>
  <c r="B3590" i="7"/>
  <c r="C3590" i="7" s="1" a="1"/>
  <c r="C3590" i="7" s="1"/>
  <c r="B3589" i="7"/>
  <c r="C3589" i="7" s="1" a="1"/>
  <c r="C3589" i="7" s="1"/>
  <c r="B3588" i="7"/>
  <c r="C3588" i="7" s="1" a="1"/>
  <c r="C3588" i="7" s="1"/>
  <c r="B3587" i="7"/>
  <c r="C3587" i="7" s="1" a="1"/>
  <c r="C3587" i="7" s="1"/>
  <c r="B3586" i="7"/>
  <c r="C3586" i="7" s="1" a="1"/>
  <c r="C3586" i="7" s="1"/>
  <c r="B3585" i="7"/>
  <c r="C3585" i="7" s="1" a="1"/>
  <c r="C3585" i="7" s="1"/>
  <c r="B3584" i="7"/>
  <c r="C3584" i="7" s="1" a="1"/>
  <c r="C3584" i="7" s="1"/>
  <c r="B3583" i="7"/>
  <c r="C3583" i="7" s="1" a="1"/>
  <c r="C3583" i="7" s="1"/>
  <c r="B3582" i="7"/>
  <c r="C3582" i="7" s="1" a="1"/>
  <c r="C3582" i="7" s="1"/>
  <c r="B3581" i="7"/>
  <c r="C3581" i="7" s="1" a="1"/>
  <c r="C3581" i="7" s="1"/>
  <c r="B3580" i="7"/>
  <c r="C3580" i="7" s="1" a="1"/>
  <c r="C3580" i="7" s="1"/>
  <c r="B3579" i="7"/>
  <c r="C3579" i="7" s="1" a="1"/>
  <c r="C3579" i="7" s="1"/>
  <c r="B3578" i="7"/>
  <c r="C3578" i="7" s="1" a="1"/>
  <c r="C3578" i="7" s="1"/>
  <c r="B3577" i="7"/>
  <c r="C3577" i="7" s="1" a="1"/>
  <c r="C3577" i="7" s="1"/>
  <c r="B3576" i="7"/>
  <c r="C3576" i="7" s="1" a="1"/>
  <c r="C3576" i="7" s="1"/>
  <c r="B3575" i="7"/>
  <c r="C3575" i="7" s="1" a="1"/>
  <c r="C3575" i="7" s="1"/>
  <c r="B3574" i="7"/>
  <c r="C3574" i="7" s="1" a="1"/>
  <c r="C3574" i="7" s="1"/>
  <c r="B3573" i="7"/>
  <c r="C3573" i="7" s="1" a="1"/>
  <c r="C3573" i="7" s="1"/>
  <c r="B3572" i="7"/>
  <c r="C3572" i="7" s="1" a="1"/>
  <c r="C3572" i="7" s="1"/>
  <c r="B3571" i="7"/>
  <c r="C3571" i="7" s="1" a="1"/>
  <c r="C3571" i="7" s="1"/>
  <c r="B3570" i="7"/>
  <c r="C3570" i="7" s="1" a="1"/>
  <c r="C3570" i="7" s="1"/>
  <c r="B3569" i="7"/>
  <c r="C3569" i="7" s="1" a="1"/>
  <c r="C3569" i="7" s="1"/>
  <c r="B3568" i="7"/>
  <c r="C3568" i="7" s="1" a="1"/>
  <c r="C3568" i="7" s="1"/>
  <c r="B3567" i="7"/>
  <c r="C3567" i="7" s="1" a="1"/>
  <c r="C3567" i="7" s="1"/>
  <c r="B3566" i="7"/>
  <c r="C3566" i="7" s="1" a="1"/>
  <c r="C3566" i="7" s="1"/>
  <c r="B3565" i="7"/>
  <c r="C3565" i="7" s="1" a="1"/>
  <c r="C3565" i="7" s="1"/>
  <c r="B3564" i="7"/>
  <c r="C3564" i="7" s="1" a="1"/>
  <c r="C3564" i="7" s="1"/>
  <c r="B3563" i="7"/>
  <c r="C3563" i="7" s="1" a="1"/>
  <c r="C3563" i="7" s="1"/>
  <c r="B3562" i="7"/>
  <c r="C3562" i="7" s="1" a="1"/>
  <c r="C3562" i="7" s="1"/>
  <c r="B3561" i="7"/>
  <c r="C3561" i="7" s="1" a="1"/>
  <c r="C3561" i="7" s="1"/>
  <c r="B3560" i="7"/>
  <c r="C3560" i="7" s="1" a="1"/>
  <c r="C3560" i="7" s="1"/>
  <c r="B3559" i="7"/>
  <c r="C3559" i="7" s="1" a="1"/>
  <c r="C3559" i="7" s="1"/>
  <c r="B3558" i="7"/>
  <c r="C3558" i="7" s="1" a="1"/>
  <c r="C3558" i="7" s="1"/>
  <c r="B3557" i="7"/>
  <c r="C3557" i="7" s="1" a="1"/>
  <c r="C3557" i="7" s="1"/>
  <c r="B3556" i="7"/>
  <c r="C3556" i="7" s="1" a="1"/>
  <c r="C3556" i="7" s="1"/>
  <c r="B3555" i="7"/>
  <c r="C3555" i="7" s="1" a="1"/>
  <c r="C3555" i="7" s="1"/>
  <c r="B3554" i="7"/>
  <c r="C3554" i="7" s="1" a="1"/>
  <c r="C3554" i="7" s="1"/>
  <c r="B3553" i="7"/>
  <c r="C3553" i="7" s="1" a="1"/>
  <c r="C3553" i="7" s="1"/>
  <c r="B3552" i="7"/>
  <c r="C3552" i="7" s="1" a="1"/>
  <c r="C3552" i="7" s="1"/>
  <c r="B3551" i="7"/>
  <c r="C3551" i="7" s="1" a="1"/>
  <c r="C3551" i="7" s="1"/>
  <c r="B3550" i="7"/>
  <c r="C3550" i="7" s="1" a="1"/>
  <c r="C3550" i="7" s="1"/>
  <c r="B3549" i="7"/>
  <c r="C3549" i="7" s="1" a="1"/>
  <c r="C3549" i="7" s="1"/>
  <c r="B3548" i="7"/>
  <c r="C3548" i="7" s="1" a="1"/>
  <c r="C3548" i="7" s="1"/>
  <c r="B3547" i="7"/>
  <c r="C3547" i="7" s="1" a="1"/>
  <c r="C3547" i="7" s="1"/>
  <c r="B3546" i="7"/>
  <c r="C3546" i="7" s="1" a="1"/>
  <c r="C3546" i="7" s="1"/>
  <c r="B3545" i="7"/>
  <c r="C3545" i="7" s="1" a="1"/>
  <c r="C3545" i="7" s="1"/>
  <c r="B3544" i="7"/>
  <c r="C3544" i="7" s="1" a="1"/>
  <c r="C3544" i="7" s="1"/>
  <c r="B3543" i="7"/>
  <c r="C3543" i="7" s="1" a="1"/>
  <c r="C3543" i="7" s="1"/>
  <c r="B3542" i="7"/>
  <c r="C3542" i="7" s="1" a="1"/>
  <c r="C3542" i="7" s="1"/>
  <c r="B3541" i="7"/>
  <c r="C3541" i="7" s="1" a="1"/>
  <c r="C3541" i="7" s="1"/>
  <c r="B3540" i="7"/>
  <c r="C3540" i="7" s="1" a="1"/>
  <c r="C3540" i="7" s="1"/>
  <c r="B3539" i="7"/>
  <c r="C3539" i="7" s="1" a="1"/>
  <c r="C3539" i="7" s="1"/>
  <c r="B3538" i="7"/>
  <c r="C3538" i="7" s="1" a="1"/>
  <c r="C3538" i="7" s="1"/>
  <c r="B3537" i="7"/>
  <c r="C3537" i="7" s="1" a="1"/>
  <c r="C3537" i="7" s="1"/>
  <c r="B3536" i="7"/>
  <c r="C3536" i="7" s="1" a="1"/>
  <c r="C3536" i="7" s="1"/>
  <c r="B3535" i="7"/>
  <c r="C3535" i="7" s="1" a="1"/>
  <c r="C3535" i="7" s="1"/>
  <c r="B3534" i="7"/>
  <c r="C3534" i="7" s="1" a="1"/>
  <c r="C3534" i="7" s="1"/>
  <c r="B3533" i="7"/>
  <c r="C3533" i="7" s="1" a="1"/>
  <c r="C3533" i="7" s="1"/>
  <c r="B3532" i="7"/>
  <c r="C3532" i="7" s="1" a="1"/>
  <c r="C3532" i="7" s="1"/>
  <c r="B3531" i="7"/>
  <c r="C3531" i="7" s="1" a="1"/>
  <c r="C3531" i="7" s="1"/>
  <c r="B3530" i="7"/>
  <c r="C3530" i="7" s="1" a="1"/>
  <c r="C3530" i="7" s="1"/>
  <c r="B3529" i="7"/>
  <c r="C3529" i="7" s="1" a="1"/>
  <c r="C3529" i="7" s="1"/>
  <c r="B3528" i="7"/>
  <c r="C3528" i="7" s="1" a="1"/>
  <c r="C3528" i="7" s="1"/>
  <c r="B3527" i="7"/>
  <c r="C3527" i="7" s="1" a="1"/>
  <c r="C3527" i="7" s="1"/>
  <c r="B3526" i="7"/>
  <c r="C3526" i="7" s="1" a="1"/>
  <c r="C3526" i="7" s="1"/>
  <c r="B3525" i="7"/>
  <c r="C3525" i="7" s="1" a="1"/>
  <c r="C3525" i="7" s="1"/>
  <c r="B3524" i="7"/>
  <c r="C3524" i="7" s="1" a="1"/>
  <c r="C3524" i="7" s="1"/>
  <c r="B3523" i="7"/>
  <c r="C3523" i="7" s="1" a="1"/>
  <c r="C3523" i="7" s="1"/>
  <c r="B3522" i="7"/>
  <c r="C3522" i="7" s="1" a="1"/>
  <c r="C3522" i="7" s="1"/>
  <c r="B3521" i="7"/>
  <c r="C3521" i="7" s="1" a="1"/>
  <c r="C3521" i="7" s="1"/>
  <c r="B3520" i="7"/>
  <c r="C3520" i="7" s="1" a="1"/>
  <c r="C3520" i="7" s="1"/>
  <c r="B3519" i="7"/>
  <c r="C3519" i="7" s="1" a="1"/>
  <c r="C3519" i="7" s="1"/>
  <c r="B3518" i="7"/>
  <c r="C3518" i="7" s="1" a="1"/>
  <c r="C3518" i="7" s="1"/>
  <c r="B3517" i="7"/>
  <c r="C3517" i="7" s="1" a="1"/>
  <c r="C3517" i="7" s="1"/>
  <c r="B3516" i="7"/>
  <c r="C3516" i="7" s="1" a="1"/>
  <c r="C3516" i="7" s="1"/>
  <c r="B3515" i="7"/>
  <c r="C3515" i="7" s="1" a="1"/>
  <c r="C3515" i="7" s="1"/>
  <c r="B3514" i="7"/>
  <c r="C3514" i="7" s="1" a="1"/>
  <c r="C3514" i="7" s="1"/>
  <c r="B3513" i="7"/>
  <c r="C3513" i="7" s="1" a="1"/>
  <c r="C3513" i="7" s="1"/>
  <c r="B3512" i="7"/>
  <c r="C3512" i="7" s="1" a="1"/>
  <c r="C3512" i="7" s="1"/>
  <c r="B3511" i="7"/>
  <c r="C3511" i="7" s="1" a="1"/>
  <c r="C3511" i="7" s="1"/>
  <c r="B3510" i="7"/>
  <c r="C3510" i="7" s="1" a="1"/>
  <c r="C3510" i="7" s="1"/>
  <c r="B3509" i="7"/>
  <c r="C3509" i="7" s="1" a="1"/>
  <c r="C3509" i="7" s="1"/>
  <c r="B3508" i="7"/>
  <c r="C3508" i="7" s="1" a="1"/>
  <c r="C3508" i="7" s="1"/>
  <c r="B3507" i="7"/>
  <c r="C3507" i="7" s="1" a="1"/>
  <c r="C3507" i="7" s="1"/>
  <c r="B3506" i="7"/>
  <c r="C3506" i="7" s="1" a="1"/>
  <c r="C3506" i="7" s="1"/>
  <c r="B3505" i="7"/>
  <c r="C3505" i="7" s="1" a="1"/>
  <c r="C3505" i="7" s="1"/>
  <c r="B3504" i="7"/>
  <c r="C3504" i="7" s="1" a="1"/>
  <c r="C3504" i="7" s="1"/>
  <c r="B3503" i="7"/>
  <c r="C3503" i="7" s="1" a="1"/>
  <c r="C3503" i="7" s="1"/>
  <c r="B3502" i="7"/>
  <c r="C3502" i="7" s="1" a="1"/>
  <c r="C3502" i="7" s="1"/>
  <c r="B3501" i="7"/>
  <c r="C3501" i="7" s="1" a="1"/>
  <c r="C3501" i="7" s="1"/>
  <c r="B3500" i="7"/>
  <c r="C3500" i="7" s="1" a="1"/>
  <c r="C3500" i="7" s="1"/>
  <c r="B3499" i="7"/>
  <c r="C3499" i="7" s="1" a="1"/>
  <c r="C3499" i="7" s="1"/>
  <c r="B3498" i="7"/>
  <c r="C3498" i="7" s="1" a="1"/>
  <c r="C3498" i="7" s="1"/>
  <c r="B3497" i="7"/>
  <c r="C3497" i="7" s="1" a="1"/>
  <c r="C3497" i="7" s="1"/>
  <c r="B3496" i="7"/>
  <c r="C3496" i="7" s="1" a="1"/>
  <c r="C3496" i="7" s="1"/>
  <c r="B3495" i="7"/>
  <c r="C3495" i="7" s="1" a="1"/>
  <c r="C3495" i="7" s="1"/>
  <c r="B3494" i="7"/>
  <c r="C3494" i="7" s="1" a="1"/>
  <c r="C3494" i="7" s="1"/>
  <c r="B3493" i="7"/>
  <c r="C3493" i="7" s="1" a="1"/>
  <c r="C3493" i="7" s="1"/>
  <c r="B3492" i="7"/>
  <c r="C3492" i="7" s="1" a="1"/>
  <c r="C3492" i="7" s="1"/>
  <c r="B3491" i="7"/>
  <c r="C3491" i="7" s="1" a="1"/>
  <c r="C3491" i="7" s="1"/>
  <c r="B3490" i="7"/>
  <c r="C3490" i="7" s="1" a="1"/>
  <c r="C3490" i="7" s="1"/>
  <c r="B3489" i="7"/>
  <c r="C3489" i="7" s="1" a="1"/>
  <c r="C3489" i="7" s="1"/>
  <c r="B3488" i="7"/>
  <c r="C3488" i="7" s="1" a="1"/>
  <c r="C3488" i="7" s="1"/>
  <c r="B3487" i="7"/>
  <c r="C3487" i="7" s="1" a="1"/>
  <c r="C3487" i="7" s="1"/>
  <c r="B3486" i="7"/>
  <c r="C3486" i="7" s="1" a="1"/>
  <c r="C3486" i="7" s="1"/>
  <c r="B3485" i="7"/>
  <c r="C3485" i="7" s="1" a="1"/>
  <c r="C3485" i="7" s="1"/>
  <c r="B3484" i="7"/>
  <c r="C3484" i="7" s="1" a="1"/>
  <c r="C3484" i="7" s="1"/>
  <c r="B3483" i="7"/>
  <c r="C3483" i="7" s="1" a="1"/>
  <c r="C3483" i="7" s="1"/>
  <c r="B3482" i="7"/>
  <c r="C3482" i="7" s="1" a="1"/>
  <c r="C3482" i="7" s="1"/>
  <c r="B3481" i="7"/>
  <c r="C3481" i="7" s="1" a="1"/>
  <c r="C3481" i="7" s="1"/>
  <c r="B3480" i="7"/>
  <c r="C3480" i="7" s="1" a="1"/>
  <c r="C3480" i="7" s="1"/>
  <c r="B3479" i="7"/>
  <c r="C3479" i="7" s="1" a="1"/>
  <c r="C3479" i="7" s="1"/>
  <c r="B3478" i="7"/>
  <c r="C3478" i="7" s="1" a="1"/>
  <c r="C3478" i="7" s="1"/>
  <c r="B3477" i="7"/>
  <c r="C3477" i="7" s="1" a="1"/>
  <c r="C3477" i="7" s="1"/>
  <c r="B3476" i="7"/>
  <c r="C3476" i="7" s="1" a="1"/>
  <c r="C3476" i="7" s="1"/>
  <c r="B3475" i="7"/>
  <c r="C3475" i="7" s="1" a="1"/>
  <c r="C3475" i="7" s="1"/>
  <c r="B3474" i="7"/>
  <c r="C3474" i="7" s="1" a="1"/>
  <c r="C3474" i="7" s="1"/>
  <c r="B3473" i="7"/>
  <c r="C3473" i="7" s="1" a="1"/>
  <c r="C3473" i="7" s="1"/>
  <c r="B3472" i="7"/>
  <c r="C3472" i="7" s="1" a="1"/>
  <c r="C3472" i="7" s="1"/>
  <c r="B3471" i="7"/>
  <c r="C3471" i="7" s="1" a="1"/>
  <c r="C3471" i="7" s="1"/>
  <c r="B3470" i="7"/>
  <c r="C3470" i="7" s="1" a="1"/>
  <c r="C3470" i="7" s="1"/>
  <c r="B3469" i="7"/>
  <c r="C3469" i="7" s="1" a="1"/>
  <c r="C3469" i="7" s="1"/>
  <c r="B3468" i="7"/>
  <c r="C3468" i="7" s="1" a="1"/>
  <c r="C3468" i="7" s="1"/>
  <c r="B3467" i="7"/>
  <c r="C3467" i="7" s="1" a="1"/>
  <c r="C3467" i="7" s="1"/>
  <c r="B3466" i="7"/>
  <c r="C3466" i="7" s="1" a="1"/>
  <c r="C3466" i="7" s="1"/>
  <c r="B3465" i="7"/>
  <c r="C3465" i="7" s="1" a="1"/>
  <c r="C3465" i="7" s="1"/>
  <c r="B3464" i="7"/>
  <c r="C3464" i="7" s="1" a="1"/>
  <c r="C3464" i="7" s="1"/>
  <c r="B3463" i="7"/>
  <c r="C3463" i="7" s="1" a="1"/>
  <c r="C3463" i="7" s="1"/>
  <c r="B3462" i="7"/>
  <c r="C3462" i="7" s="1" a="1"/>
  <c r="C3462" i="7" s="1"/>
  <c r="B3461" i="7"/>
  <c r="C3461" i="7" s="1" a="1"/>
  <c r="C3461" i="7" s="1"/>
  <c r="B3460" i="7"/>
  <c r="C3460" i="7" s="1" a="1"/>
  <c r="C3460" i="7" s="1"/>
  <c r="B3459" i="7"/>
  <c r="C3459" i="7" s="1" a="1"/>
  <c r="C3459" i="7" s="1"/>
  <c r="B3458" i="7"/>
  <c r="C3458" i="7" s="1" a="1"/>
  <c r="C3458" i="7" s="1"/>
  <c r="B3457" i="7"/>
  <c r="C3457" i="7" s="1" a="1"/>
  <c r="C3457" i="7" s="1"/>
  <c r="B3456" i="7"/>
  <c r="C3456" i="7" s="1" a="1"/>
  <c r="C3456" i="7" s="1"/>
  <c r="B3455" i="7"/>
  <c r="C3455" i="7" s="1" a="1"/>
  <c r="C3455" i="7" s="1"/>
  <c r="B3454" i="7"/>
  <c r="C3454" i="7" s="1" a="1"/>
  <c r="C3454" i="7" s="1"/>
  <c r="B3453" i="7"/>
  <c r="C3453" i="7" s="1" a="1"/>
  <c r="C3453" i="7" s="1"/>
  <c r="B3452" i="7"/>
  <c r="C3452" i="7" s="1" a="1"/>
  <c r="C3452" i="7" s="1"/>
  <c r="B3451" i="7"/>
  <c r="C3451" i="7" s="1" a="1"/>
  <c r="C3451" i="7" s="1"/>
  <c r="B3450" i="7"/>
  <c r="C3450" i="7" s="1" a="1"/>
  <c r="C3450" i="7" s="1"/>
  <c r="B3449" i="7"/>
  <c r="C3449" i="7" s="1" a="1"/>
  <c r="C3449" i="7" s="1"/>
  <c r="B3448" i="7"/>
  <c r="C3448" i="7" s="1" a="1"/>
  <c r="C3448" i="7" s="1"/>
  <c r="B3447" i="7"/>
  <c r="C3447" i="7" s="1" a="1"/>
  <c r="C3447" i="7" s="1"/>
  <c r="B3446" i="7"/>
  <c r="C3446" i="7" s="1" a="1"/>
  <c r="C3446" i="7" s="1"/>
  <c r="B3445" i="7"/>
  <c r="C3445" i="7" s="1" a="1"/>
  <c r="C3445" i="7" s="1"/>
  <c r="B3444" i="7"/>
  <c r="C3444" i="7" s="1" a="1"/>
  <c r="C3444" i="7" s="1"/>
  <c r="B3443" i="7"/>
  <c r="C3443" i="7" s="1" a="1"/>
  <c r="C3443" i="7" s="1"/>
  <c r="B3442" i="7"/>
  <c r="C3442" i="7" s="1" a="1"/>
  <c r="C3442" i="7" s="1"/>
  <c r="B3441" i="7"/>
  <c r="C3441" i="7" s="1" a="1"/>
  <c r="C3441" i="7" s="1"/>
  <c r="B3440" i="7"/>
  <c r="C3440" i="7" s="1" a="1"/>
  <c r="C3440" i="7" s="1"/>
  <c r="B3439" i="7"/>
  <c r="C3439" i="7" s="1" a="1"/>
  <c r="C3439" i="7" s="1"/>
  <c r="B3438" i="7"/>
  <c r="C3438" i="7" s="1" a="1"/>
  <c r="C3438" i="7" s="1"/>
  <c r="B3437" i="7"/>
  <c r="C3437" i="7" s="1" a="1"/>
  <c r="C3437" i="7" s="1"/>
  <c r="B3436" i="7"/>
  <c r="C3436" i="7" s="1" a="1"/>
  <c r="C3436" i="7" s="1"/>
  <c r="B3435" i="7"/>
  <c r="C3435" i="7" s="1" a="1"/>
  <c r="C3435" i="7" s="1"/>
  <c r="B3434" i="7"/>
  <c r="C3434" i="7" s="1" a="1"/>
  <c r="C3434" i="7" s="1"/>
  <c r="B3433" i="7"/>
  <c r="C3433" i="7" s="1" a="1"/>
  <c r="C3433" i="7" s="1"/>
  <c r="B3432" i="7"/>
  <c r="C3432" i="7" s="1" a="1"/>
  <c r="C3432" i="7" s="1"/>
  <c r="B3431" i="7"/>
  <c r="C3431" i="7" s="1" a="1"/>
  <c r="C3431" i="7" s="1"/>
  <c r="B3430" i="7"/>
  <c r="C3430" i="7" s="1" a="1"/>
  <c r="C3430" i="7" s="1"/>
  <c r="B3429" i="7"/>
  <c r="C3429" i="7" s="1" a="1"/>
  <c r="C3429" i="7" s="1"/>
  <c r="B3428" i="7"/>
  <c r="C3428" i="7" s="1" a="1"/>
  <c r="C3428" i="7" s="1"/>
  <c r="B3427" i="7"/>
  <c r="C3427" i="7" s="1" a="1"/>
  <c r="C3427" i="7" s="1"/>
  <c r="B3426" i="7"/>
  <c r="C3426" i="7" s="1" a="1"/>
  <c r="C3426" i="7" s="1"/>
  <c r="B3425" i="7"/>
  <c r="C3425" i="7" s="1" a="1"/>
  <c r="C3425" i="7" s="1"/>
  <c r="B3424" i="7"/>
  <c r="C3424" i="7" s="1" a="1"/>
  <c r="C3424" i="7" s="1"/>
  <c r="B3423" i="7"/>
  <c r="C3423" i="7" s="1" a="1"/>
  <c r="C3423" i="7" s="1"/>
  <c r="B3422" i="7"/>
  <c r="C3422" i="7" s="1" a="1"/>
  <c r="C3422" i="7" s="1"/>
  <c r="B3421" i="7"/>
  <c r="C3421" i="7" s="1" a="1"/>
  <c r="C3421" i="7" s="1"/>
  <c r="B3420" i="7"/>
  <c r="C3420" i="7" s="1" a="1"/>
  <c r="C3420" i="7" s="1"/>
  <c r="B3419" i="7"/>
  <c r="C3419" i="7" s="1" a="1"/>
  <c r="C3419" i="7" s="1"/>
  <c r="B3418" i="7"/>
  <c r="C3418" i="7" s="1" a="1"/>
  <c r="C3418" i="7" s="1"/>
  <c r="B3417" i="7"/>
  <c r="C3417" i="7" s="1" a="1"/>
  <c r="C3417" i="7" s="1"/>
  <c r="B3416" i="7"/>
  <c r="C3416" i="7" s="1" a="1"/>
  <c r="C3416" i="7" s="1"/>
  <c r="B3415" i="7"/>
  <c r="C3415" i="7" s="1" a="1"/>
  <c r="C3415" i="7" s="1"/>
  <c r="B3414" i="7"/>
  <c r="C3414" i="7" s="1" a="1"/>
  <c r="C3414" i="7" s="1"/>
  <c r="B3413" i="7"/>
  <c r="C3413" i="7" s="1" a="1"/>
  <c r="C3413" i="7" s="1"/>
  <c r="B3412" i="7"/>
  <c r="C3412" i="7" s="1" a="1"/>
  <c r="C3412" i="7" s="1"/>
  <c r="B3411" i="7"/>
  <c r="C3411" i="7" s="1" a="1"/>
  <c r="C3411" i="7" s="1"/>
  <c r="B3410" i="7"/>
  <c r="C3410" i="7" s="1" a="1"/>
  <c r="C3410" i="7" s="1"/>
  <c r="B3409" i="7"/>
  <c r="C3409" i="7" s="1" a="1"/>
  <c r="C3409" i="7" s="1"/>
  <c r="B3408" i="7"/>
  <c r="C3408" i="7" s="1" a="1"/>
  <c r="C3408" i="7" s="1"/>
  <c r="B3407" i="7"/>
  <c r="C3407" i="7" s="1" a="1"/>
  <c r="C3407" i="7" s="1"/>
  <c r="B3406" i="7"/>
  <c r="C3406" i="7" s="1" a="1"/>
  <c r="C3406" i="7" s="1"/>
  <c r="B3405" i="7"/>
  <c r="C3405" i="7" s="1" a="1"/>
  <c r="C3405" i="7" s="1"/>
  <c r="B3404" i="7"/>
  <c r="C3404" i="7" s="1" a="1"/>
  <c r="C3404" i="7" s="1"/>
  <c r="B3403" i="7"/>
  <c r="C3403" i="7" s="1" a="1"/>
  <c r="C3403" i="7" s="1"/>
  <c r="B3402" i="7"/>
  <c r="C3402" i="7" s="1" a="1"/>
  <c r="C3402" i="7" s="1"/>
  <c r="B3401" i="7"/>
  <c r="C3401" i="7" s="1" a="1"/>
  <c r="C3401" i="7" s="1"/>
  <c r="B3400" i="7"/>
  <c r="C3400" i="7" s="1" a="1"/>
  <c r="C3400" i="7" s="1"/>
  <c r="B3399" i="7"/>
  <c r="C3399" i="7" s="1" a="1"/>
  <c r="C3399" i="7" s="1"/>
  <c r="B3398" i="7"/>
  <c r="C3398" i="7" s="1" a="1"/>
  <c r="C3398" i="7" s="1"/>
  <c r="B3397" i="7"/>
  <c r="C3397" i="7" s="1" a="1"/>
  <c r="C3397" i="7" s="1"/>
  <c r="B3396" i="7"/>
  <c r="C3396" i="7" s="1" a="1"/>
  <c r="C3396" i="7" s="1"/>
  <c r="B3395" i="7"/>
  <c r="C3395" i="7" s="1" a="1"/>
  <c r="C3395" i="7" s="1"/>
  <c r="B3394" i="7"/>
  <c r="C3394" i="7" s="1" a="1"/>
  <c r="C3394" i="7" s="1"/>
  <c r="B3393" i="7"/>
  <c r="C3393" i="7" s="1" a="1"/>
  <c r="C3393" i="7" s="1"/>
  <c r="B3392" i="7"/>
  <c r="C3392" i="7" s="1" a="1"/>
  <c r="C3392" i="7" s="1"/>
  <c r="B3391" i="7"/>
  <c r="C3391" i="7" s="1" a="1"/>
  <c r="C3391" i="7" s="1"/>
  <c r="B3390" i="7"/>
  <c r="C3390" i="7" s="1" a="1"/>
  <c r="C3390" i="7" s="1"/>
  <c r="B3389" i="7"/>
  <c r="C3389" i="7" s="1" a="1"/>
  <c r="C3389" i="7" s="1"/>
  <c r="B3388" i="7"/>
  <c r="C3388" i="7" s="1" a="1"/>
  <c r="C3388" i="7" s="1"/>
  <c r="B3387" i="7"/>
  <c r="C3387" i="7" s="1" a="1"/>
  <c r="C3387" i="7" s="1"/>
  <c r="B3386" i="7"/>
  <c r="C3386" i="7" s="1" a="1"/>
  <c r="C3386" i="7" s="1"/>
  <c r="B3385" i="7"/>
  <c r="C3385" i="7" s="1" a="1"/>
  <c r="C3385" i="7" s="1"/>
  <c r="B3384" i="7"/>
  <c r="C3384" i="7" s="1" a="1"/>
  <c r="C3384" i="7" s="1"/>
  <c r="B3383" i="7"/>
  <c r="C3383" i="7" s="1" a="1"/>
  <c r="C3383" i="7" s="1"/>
  <c r="B3382" i="7"/>
  <c r="C3382" i="7" s="1" a="1"/>
  <c r="C3382" i="7" s="1"/>
  <c r="B3381" i="7"/>
  <c r="C3381" i="7" s="1" a="1"/>
  <c r="C3381" i="7" s="1"/>
  <c r="B3380" i="7"/>
  <c r="C3380" i="7" s="1" a="1"/>
  <c r="C3380" i="7" s="1"/>
  <c r="B3379" i="7"/>
  <c r="C3379" i="7" s="1" a="1"/>
  <c r="C3379" i="7" s="1"/>
  <c r="B3378" i="7"/>
  <c r="C3378" i="7" s="1" a="1"/>
  <c r="C3378" i="7" s="1"/>
  <c r="B3377" i="7"/>
  <c r="C3377" i="7" s="1" a="1"/>
  <c r="C3377" i="7" s="1"/>
  <c r="B3376" i="7"/>
  <c r="C3376" i="7" s="1" a="1"/>
  <c r="C3376" i="7" s="1"/>
  <c r="B3375" i="7"/>
  <c r="C3375" i="7" s="1" a="1"/>
  <c r="C3375" i="7" s="1"/>
  <c r="B3374" i="7"/>
  <c r="C3374" i="7" s="1" a="1"/>
  <c r="C3374" i="7" s="1"/>
  <c r="B3373" i="7"/>
  <c r="C3373" i="7" s="1" a="1"/>
  <c r="C3373" i="7" s="1"/>
  <c r="B3372" i="7"/>
  <c r="C3372" i="7" s="1" a="1"/>
  <c r="C3372" i="7" s="1"/>
  <c r="B3371" i="7"/>
  <c r="C3371" i="7" s="1" a="1"/>
  <c r="C3371" i="7" s="1"/>
  <c r="B3370" i="7"/>
  <c r="C3370" i="7" s="1" a="1"/>
  <c r="C3370" i="7" s="1"/>
  <c r="B3369" i="7"/>
  <c r="C3369" i="7" s="1" a="1"/>
  <c r="C3369" i="7" s="1"/>
  <c r="B3368" i="7"/>
  <c r="C3368" i="7" s="1" a="1"/>
  <c r="C3368" i="7" s="1"/>
  <c r="B3367" i="7"/>
  <c r="C3367" i="7" s="1" a="1"/>
  <c r="C3367" i="7" s="1"/>
  <c r="B3366" i="7"/>
  <c r="C3366" i="7" s="1" a="1"/>
  <c r="C3366" i="7" s="1"/>
  <c r="B3365" i="7"/>
  <c r="C3365" i="7" s="1" a="1"/>
  <c r="C3365" i="7" s="1"/>
  <c r="B3364" i="7"/>
  <c r="C3364" i="7" s="1" a="1"/>
  <c r="C3364" i="7" s="1"/>
  <c r="B3363" i="7"/>
  <c r="C3363" i="7" s="1" a="1"/>
  <c r="C3363" i="7" s="1"/>
  <c r="B3362" i="7"/>
  <c r="C3362" i="7" s="1" a="1"/>
  <c r="C3362" i="7" s="1"/>
  <c r="B3361" i="7"/>
  <c r="C3361" i="7" s="1" a="1"/>
  <c r="C3361" i="7" s="1"/>
  <c r="B3360" i="7"/>
  <c r="C3360" i="7" s="1" a="1"/>
  <c r="C3360" i="7" s="1"/>
  <c r="B3359" i="7"/>
  <c r="C3359" i="7" s="1" a="1"/>
  <c r="C3359" i="7" s="1"/>
  <c r="B3358" i="7"/>
  <c r="C3358" i="7" s="1" a="1"/>
  <c r="C3358" i="7" s="1"/>
  <c r="B3357" i="7"/>
  <c r="C3357" i="7" s="1" a="1"/>
  <c r="C3357" i="7" s="1"/>
  <c r="B3356" i="7"/>
  <c r="C3356" i="7" s="1" a="1"/>
  <c r="C3356" i="7" s="1"/>
  <c r="B3355" i="7"/>
  <c r="C3355" i="7" s="1" a="1"/>
  <c r="C3355" i="7" s="1"/>
  <c r="B3354" i="7"/>
  <c r="C3354" i="7" s="1" a="1"/>
  <c r="C3354" i="7" s="1"/>
  <c r="B3353" i="7"/>
  <c r="C3353" i="7" s="1" a="1"/>
  <c r="C3353" i="7" s="1"/>
  <c r="B3352" i="7"/>
  <c r="C3352" i="7" s="1" a="1"/>
  <c r="C3352" i="7" s="1"/>
  <c r="B3351" i="7"/>
  <c r="C3351" i="7" s="1" a="1"/>
  <c r="C3351" i="7" s="1"/>
  <c r="B3350" i="7"/>
  <c r="C3350" i="7" s="1" a="1"/>
  <c r="C3350" i="7" s="1"/>
  <c r="B3349" i="7"/>
  <c r="C3349" i="7" s="1" a="1"/>
  <c r="C3349" i="7" s="1"/>
  <c r="B3348" i="7"/>
  <c r="C3348" i="7" s="1" a="1"/>
  <c r="C3348" i="7" s="1"/>
  <c r="B3347" i="7"/>
  <c r="C3347" i="7" s="1" a="1"/>
  <c r="C3347" i="7" s="1"/>
  <c r="B3346" i="7"/>
  <c r="C3346" i="7" s="1" a="1"/>
  <c r="C3346" i="7" s="1"/>
  <c r="B3345" i="7"/>
  <c r="C3345" i="7" s="1" a="1"/>
  <c r="C3345" i="7" s="1"/>
  <c r="B3344" i="7"/>
  <c r="C3344" i="7" s="1" a="1"/>
  <c r="C3344" i="7" s="1"/>
  <c r="B3343" i="7"/>
  <c r="C3343" i="7" s="1" a="1"/>
  <c r="C3343" i="7" s="1"/>
  <c r="B3342" i="7"/>
  <c r="C3342" i="7" s="1" a="1"/>
  <c r="C3342" i="7" s="1"/>
  <c r="B3341" i="7"/>
  <c r="C3341" i="7" s="1" a="1"/>
  <c r="C3341" i="7" s="1"/>
  <c r="B3340" i="7"/>
  <c r="C3340" i="7" s="1" a="1"/>
  <c r="C3340" i="7" s="1"/>
  <c r="B3339" i="7"/>
  <c r="C3339" i="7" s="1" a="1"/>
  <c r="C3339" i="7" s="1"/>
  <c r="B3338" i="7"/>
  <c r="C3338" i="7" s="1" a="1"/>
  <c r="C3338" i="7" s="1"/>
  <c r="B3337" i="7"/>
  <c r="C3337" i="7" s="1" a="1"/>
  <c r="C3337" i="7" s="1"/>
  <c r="B3336" i="7"/>
  <c r="C3336" i="7" s="1" a="1"/>
  <c r="C3336" i="7" s="1"/>
  <c r="B3335" i="7"/>
  <c r="C3335" i="7" s="1" a="1"/>
  <c r="C3335" i="7" s="1"/>
  <c r="B3334" i="7"/>
  <c r="C3334" i="7" s="1" a="1"/>
  <c r="C3334" i="7" s="1"/>
  <c r="B3333" i="7"/>
  <c r="C3333" i="7" s="1" a="1"/>
  <c r="C3333" i="7" s="1"/>
  <c r="B3332" i="7"/>
  <c r="C3332" i="7" s="1" a="1"/>
  <c r="C3332" i="7" s="1"/>
  <c r="B3331" i="7"/>
  <c r="C3331" i="7" s="1" a="1"/>
  <c r="C3331" i="7" s="1"/>
  <c r="B3330" i="7"/>
  <c r="C3330" i="7" s="1" a="1"/>
  <c r="C3330" i="7" s="1"/>
  <c r="B3329" i="7"/>
  <c r="C3329" i="7" s="1" a="1"/>
  <c r="C3329" i="7" s="1"/>
  <c r="B3328" i="7"/>
  <c r="C3328" i="7" s="1" a="1"/>
  <c r="C3328" i="7" s="1"/>
  <c r="B3327" i="7"/>
  <c r="C3327" i="7" s="1" a="1"/>
  <c r="C3327" i="7" s="1"/>
  <c r="B3326" i="7"/>
  <c r="C3326" i="7" s="1" a="1"/>
  <c r="C3326" i="7" s="1"/>
  <c r="B3325" i="7"/>
  <c r="C3325" i="7" s="1" a="1"/>
  <c r="C3325" i="7" s="1"/>
  <c r="B3324" i="7"/>
  <c r="C3324" i="7" s="1" a="1"/>
  <c r="C3324" i="7" s="1"/>
  <c r="B3323" i="7"/>
  <c r="C3323" i="7" s="1" a="1"/>
  <c r="C3323" i="7" s="1"/>
  <c r="B3322" i="7"/>
  <c r="C3322" i="7" s="1" a="1"/>
  <c r="C3322" i="7" s="1"/>
  <c r="B3321" i="7"/>
  <c r="C3321" i="7" s="1" a="1"/>
  <c r="C3321" i="7" s="1"/>
  <c r="B3320" i="7"/>
  <c r="C3320" i="7" s="1" a="1"/>
  <c r="C3320" i="7" s="1"/>
  <c r="B3319" i="7"/>
  <c r="C3319" i="7" s="1" a="1"/>
  <c r="C3319" i="7" s="1"/>
  <c r="B3318" i="7"/>
  <c r="C3318" i="7" s="1" a="1"/>
  <c r="C3318" i="7" s="1"/>
  <c r="B3317" i="7"/>
  <c r="C3317" i="7" s="1" a="1"/>
  <c r="C3317" i="7" s="1"/>
  <c r="B3316" i="7"/>
  <c r="C3316" i="7" s="1" a="1"/>
  <c r="C3316" i="7" s="1"/>
  <c r="B3315" i="7"/>
  <c r="C3315" i="7" s="1" a="1"/>
  <c r="C3315" i="7" s="1"/>
  <c r="B3314" i="7"/>
  <c r="C3314" i="7" s="1" a="1"/>
  <c r="C3314" i="7" s="1"/>
  <c r="B3313" i="7"/>
  <c r="C3313" i="7" s="1" a="1"/>
  <c r="C3313" i="7" s="1"/>
  <c r="B3312" i="7"/>
  <c r="C3312" i="7" s="1" a="1"/>
  <c r="C3312" i="7" s="1"/>
  <c r="B3311" i="7"/>
  <c r="C3311" i="7" s="1" a="1"/>
  <c r="C3311" i="7" s="1"/>
  <c r="B3310" i="7"/>
  <c r="C3310" i="7" s="1" a="1"/>
  <c r="C3310" i="7" s="1"/>
  <c r="B3309" i="7"/>
  <c r="C3309" i="7" s="1" a="1"/>
  <c r="C3309" i="7" s="1"/>
  <c r="B3308" i="7"/>
  <c r="C3308" i="7" s="1" a="1"/>
  <c r="C3308" i="7" s="1"/>
  <c r="B3307" i="7"/>
  <c r="C3307" i="7" s="1" a="1"/>
  <c r="C3307" i="7" s="1"/>
  <c r="B3306" i="7"/>
  <c r="C3306" i="7" s="1" a="1"/>
  <c r="C3306" i="7" s="1"/>
  <c r="B3305" i="7"/>
  <c r="C3305" i="7" s="1" a="1"/>
  <c r="C3305" i="7" s="1"/>
  <c r="B3304" i="7"/>
  <c r="C3304" i="7" s="1" a="1"/>
  <c r="C3304" i="7" s="1"/>
  <c r="B3303" i="7"/>
  <c r="C3303" i="7" s="1" a="1"/>
  <c r="C3303" i="7" s="1"/>
  <c r="B3302" i="7"/>
  <c r="C3302" i="7" s="1" a="1"/>
  <c r="C3302" i="7" s="1"/>
  <c r="B3301" i="7"/>
  <c r="C3301" i="7" s="1" a="1"/>
  <c r="C3301" i="7" s="1"/>
  <c r="B3300" i="7"/>
  <c r="C3300" i="7" s="1" a="1"/>
  <c r="C3300" i="7" s="1"/>
  <c r="B3299" i="7"/>
  <c r="C3299" i="7" s="1" a="1"/>
  <c r="C3299" i="7" s="1"/>
  <c r="B3298" i="7"/>
  <c r="C3298" i="7" s="1" a="1"/>
  <c r="C3298" i="7" s="1"/>
  <c r="B3297" i="7"/>
  <c r="C3297" i="7" s="1" a="1"/>
  <c r="C3297" i="7" s="1"/>
  <c r="B3296" i="7"/>
  <c r="C3296" i="7" s="1" a="1"/>
  <c r="C3296" i="7" s="1"/>
  <c r="B3295" i="7"/>
  <c r="C3295" i="7" s="1" a="1"/>
  <c r="C3295" i="7" s="1"/>
  <c r="B3294" i="7"/>
  <c r="C3294" i="7" s="1" a="1"/>
  <c r="C3294" i="7" s="1"/>
  <c r="B3293" i="7"/>
  <c r="C3293" i="7" s="1" a="1"/>
  <c r="C3293" i="7" s="1"/>
  <c r="B3292" i="7"/>
  <c r="C3292" i="7" s="1" a="1"/>
  <c r="C3292" i="7" s="1"/>
  <c r="B3291" i="7"/>
  <c r="C3291" i="7" s="1" a="1"/>
  <c r="C3291" i="7" s="1"/>
  <c r="B3290" i="7"/>
  <c r="C3290" i="7" s="1" a="1"/>
  <c r="C3290" i="7" s="1"/>
  <c r="B3289" i="7"/>
  <c r="C3289" i="7" s="1" a="1"/>
  <c r="C3289" i="7" s="1"/>
  <c r="B3288" i="7"/>
  <c r="C3288" i="7" s="1" a="1"/>
  <c r="C3288" i="7" s="1"/>
  <c r="B3287" i="7"/>
  <c r="C3287" i="7" s="1" a="1"/>
  <c r="C3287" i="7" s="1"/>
  <c r="B3286" i="7"/>
  <c r="C3286" i="7" s="1" a="1"/>
  <c r="C3286" i="7" s="1"/>
  <c r="B3285" i="7"/>
  <c r="C3285" i="7" s="1" a="1"/>
  <c r="C3285" i="7" s="1"/>
  <c r="B3284" i="7"/>
  <c r="C3284" i="7" s="1" a="1"/>
  <c r="C3284" i="7" s="1"/>
  <c r="B3283" i="7"/>
  <c r="C3283" i="7" s="1" a="1"/>
  <c r="C3283" i="7" s="1"/>
  <c r="B3282" i="7"/>
  <c r="C3282" i="7" s="1" a="1"/>
  <c r="C3282" i="7" s="1"/>
  <c r="B3281" i="7"/>
  <c r="C3281" i="7" s="1" a="1"/>
  <c r="C3281" i="7" s="1"/>
  <c r="B3280" i="7"/>
  <c r="C3280" i="7" s="1" a="1"/>
  <c r="C3280" i="7" s="1"/>
  <c r="B3279" i="7"/>
  <c r="C3279" i="7" s="1" a="1"/>
  <c r="C3279" i="7" s="1"/>
  <c r="B3278" i="7"/>
  <c r="C3278" i="7" s="1" a="1"/>
  <c r="C3278" i="7" s="1"/>
  <c r="B3277" i="7"/>
  <c r="C3277" i="7" s="1" a="1"/>
  <c r="C3277" i="7" s="1"/>
  <c r="B3276" i="7"/>
  <c r="C3276" i="7" s="1" a="1"/>
  <c r="C3276" i="7" s="1"/>
  <c r="B3275" i="7"/>
  <c r="C3275" i="7" s="1" a="1"/>
  <c r="C3275" i="7" s="1"/>
  <c r="B3274" i="7"/>
  <c r="C3274" i="7" s="1" a="1"/>
  <c r="C3274" i="7" s="1"/>
  <c r="B3273" i="7"/>
  <c r="C3273" i="7" s="1" a="1"/>
  <c r="C3273" i="7" s="1"/>
  <c r="B3272" i="7"/>
  <c r="C3272" i="7" s="1" a="1"/>
  <c r="C3272" i="7" s="1"/>
  <c r="B3271" i="7"/>
  <c r="C3271" i="7" s="1" a="1"/>
  <c r="C3271" i="7" s="1"/>
  <c r="B3270" i="7"/>
  <c r="C3270" i="7" s="1" a="1"/>
  <c r="C3270" i="7" s="1"/>
  <c r="B3269" i="7"/>
  <c r="C3269" i="7" s="1" a="1"/>
  <c r="C3269" i="7" s="1"/>
  <c r="B3268" i="7"/>
  <c r="C3268" i="7" s="1" a="1"/>
  <c r="C3268" i="7" s="1"/>
  <c r="B3267" i="7"/>
  <c r="C3267" i="7" s="1" a="1"/>
  <c r="C3267" i="7" s="1"/>
  <c r="B3266" i="7"/>
  <c r="C3266" i="7" s="1" a="1"/>
  <c r="C3266" i="7" s="1"/>
  <c r="B3265" i="7"/>
  <c r="C3265" i="7" s="1" a="1"/>
  <c r="C3265" i="7" s="1"/>
  <c r="B3264" i="7"/>
  <c r="C3264" i="7" s="1" a="1"/>
  <c r="C3264" i="7" s="1"/>
  <c r="B3263" i="7"/>
  <c r="C3263" i="7" s="1" a="1"/>
  <c r="C3263" i="7" s="1"/>
  <c r="B3262" i="7"/>
  <c r="C3262" i="7" s="1" a="1"/>
  <c r="C3262" i="7" s="1"/>
  <c r="B3261" i="7"/>
  <c r="C3261" i="7" s="1" a="1"/>
  <c r="C3261" i="7" s="1"/>
  <c r="B3260" i="7"/>
  <c r="C3260" i="7" s="1" a="1"/>
  <c r="C3260" i="7" s="1"/>
  <c r="B3259" i="7"/>
  <c r="C3259" i="7" s="1" a="1"/>
  <c r="C3259" i="7" s="1"/>
  <c r="B3258" i="7"/>
  <c r="C3258" i="7" s="1" a="1"/>
  <c r="C3258" i="7" s="1"/>
  <c r="B3257" i="7"/>
  <c r="C3257" i="7" s="1" a="1"/>
  <c r="C3257" i="7" s="1"/>
  <c r="B3256" i="7"/>
  <c r="C3256" i="7" s="1" a="1"/>
  <c r="C3256" i="7" s="1"/>
  <c r="B3255" i="7"/>
  <c r="C3255" i="7" s="1" a="1"/>
  <c r="C3255" i="7" s="1"/>
  <c r="B3254" i="7"/>
  <c r="C3254" i="7" s="1" a="1"/>
  <c r="C3254" i="7" s="1"/>
  <c r="B3253" i="7"/>
  <c r="C3253" i="7" s="1" a="1"/>
  <c r="C3253" i="7" s="1"/>
  <c r="B3252" i="7"/>
  <c r="C3252" i="7" s="1" a="1"/>
  <c r="C3252" i="7" s="1"/>
  <c r="B3251" i="7"/>
  <c r="C3251" i="7" s="1" a="1"/>
  <c r="C3251" i="7" s="1"/>
  <c r="B3250" i="7"/>
  <c r="C3250" i="7" s="1" a="1"/>
  <c r="C3250" i="7" s="1"/>
  <c r="B3249" i="7"/>
  <c r="C3249" i="7" s="1" a="1"/>
  <c r="C3249" i="7" s="1"/>
  <c r="B3248" i="7"/>
  <c r="C3248" i="7" s="1" a="1"/>
  <c r="C3248" i="7" s="1"/>
  <c r="B3247" i="7"/>
  <c r="C3247" i="7" s="1" a="1"/>
  <c r="C3247" i="7" s="1"/>
  <c r="B3246" i="7"/>
  <c r="C3246" i="7" s="1" a="1"/>
  <c r="C3246" i="7" s="1"/>
  <c r="B3245" i="7"/>
  <c r="C3245" i="7" s="1" a="1"/>
  <c r="C3245" i="7" s="1"/>
  <c r="B3244" i="7"/>
  <c r="C3244" i="7" s="1" a="1"/>
  <c r="C3244" i="7" s="1"/>
  <c r="B3243" i="7"/>
  <c r="C3243" i="7" s="1" a="1"/>
  <c r="C3243" i="7" s="1"/>
  <c r="B3242" i="7"/>
  <c r="C3242" i="7" s="1" a="1"/>
  <c r="C3242" i="7" s="1"/>
  <c r="B3241" i="7"/>
  <c r="C3241" i="7" s="1" a="1"/>
  <c r="C3241" i="7" s="1"/>
  <c r="B3240" i="7"/>
  <c r="C3240" i="7" s="1" a="1"/>
  <c r="C3240" i="7" s="1"/>
  <c r="B3239" i="7"/>
  <c r="C3239" i="7" s="1" a="1"/>
  <c r="C3239" i="7" s="1"/>
  <c r="B3238" i="7"/>
  <c r="C3238" i="7" s="1" a="1"/>
  <c r="C3238" i="7" s="1"/>
  <c r="B3237" i="7"/>
  <c r="C3237" i="7" s="1" a="1"/>
  <c r="C3237" i="7" s="1"/>
  <c r="B3236" i="7"/>
  <c r="C3236" i="7" s="1" a="1"/>
  <c r="C3236" i="7" s="1"/>
  <c r="B3235" i="7"/>
  <c r="C3235" i="7" s="1" a="1"/>
  <c r="C3235" i="7" s="1"/>
  <c r="B3234" i="7"/>
  <c r="C3234" i="7" s="1" a="1"/>
  <c r="C3234" i="7" s="1"/>
  <c r="B3233" i="7"/>
  <c r="C3233" i="7" s="1" a="1"/>
  <c r="C3233" i="7" s="1"/>
  <c r="B3232" i="7"/>
  <c r="C3232" i="7" s="1" a="1"/>
  <c r="C3232" i="7" s="1"/>
  <c r="B3231" i="7"/>
  <c r="C3231" i="7" s="1" a="1"/>
  <c r="C3231" i="7" s="1"/>
  <c r="B3230" i="7"/>
  <c r="C3230" i="7" s="1" a="1"/>
  <c r="C3230" i="7" s="1"/>
  <c r="B3229" i="7"/>
  <c r="C3229" i="7" s="1" a="1"/>
  <c r="C3229" i="7" s="1"/>
  <c r="B3228" i="7"/>
  <c r="C3228" i="7" s="1" a="1"/>
  <c r="C3228" i="7" s="1"/>
  <c r="B3227" i="7"/>
  <c r="C3227" i="7" s="1" a="1"/>
  <c r="C3227" i="7" s="1"/>
  <c r="B3226" i="7"/>
  <c r="C3226" i="7" s="1" a="1"/>
  <c r="C3226" i="7" s="1"/>
  <c r="B3225" i="7"/>
  <c r="C3225" i="7" s="1" a="1"/>
  <c r="C3225" i="7" s="1"/>
  <c r="B3224" i="7"/>
  <c r="C3224" i="7" s="1" a="1"/>
  <c r="C3224" i="7" s="1"/>
  <c r="B3223" i="7"/>
  <c r="C3223" i="7" s="1" a="1"/>
  <c r="C3223" i="7" s="1"/>
  <c r="B3222" i="7"/>
  <c r="C3222" i="7" s="1" a="1"/>
  <c r="C3222" i="7" s="1"/>
  <c r="B3221" i="7"/>
  <c r="C3221" i="7" s="1" a="1"/>
  <c r="C3221" i="7" s="1"/>
  <c r="B3220" i="7"/>
  <c r="C3220" i="7" s="1" a="1"/>
  <c r="C3220" i="7" s="1"/>
  <c r="B3219" i="7"/>
  <c r="C3219" i="7" s="1" a="1"/>
  <c r="C3219" i="7" s="1"/>
  <c r="B3218" i="7"/>
  <c r="C3218" i="7" s="1" a="1"/>
  <c r="C3218" i="7" s="1"/>
  <c r="B3217" i="7"/>
  <c r="C3217" i="7" s="1" a="1"/>
  <c r="C3217" i="7" s="1"/>
  <c r="B3216" i="7"/>
  <c r="C3216" i="7" s="1" a="1"/>
  <c r="C3216" i="7" s="1"/>
  <c r="B3215" i="7"/>
  <c r="C3215" i="7" s="1" a="1"/>
  <c r="C3215" i="7" s="1"/>
  <c r="B3214" i="7"/>
  <c r="C3214" i="7" s="1" a="1"/>
  <c r="C3214" i="7" s="1"/>
  <c r="B3213" i="7"/>
  <c r="C3213" i="7" s="1" a="1"/>
  <c r="C3213" i="7" s="1"/>
  <c r="B3212" i="7"/>
  <c r="C3212" i="7" s="1" a="1"/>
  <c r="C3212" i="7" s="1"/>
  <c r="B3211" i="7"/>
  <c r="C3211" i="7" s="1" a="1"/>
  <c r="C3211" i="7" s="1"/>
  <c r="B3210" i="7"/>
  <c r="C3210" i="7" s="1" a="1"/>
  <c r="C3210" i="7" s="1"/>
  <c r="B3209" i="7"/>
  <c r="C3209" i="7" s="1" a="1"/>
  <c r="C3209" i="7" s="1"/>
  <c r="B3208" i="7"/>
  <c r="C3208" i="7" s="1" a="1"/>
  <c r="C3208" i="7" s="1"/>
  <c r="B3207" i="7"/>
  <c r="C3207" i="7" s="1" a="1"/>
  <c r="C3207" i="7" s="1"/>
  <c r="B3206" i="7"/>
  <c r="C3206" i="7" s="1" a="1"/>
  <c r="C3206" i="7" s="1"/>
  <c r="B3205" i="7"/>
  <c r="C3205" i="7" s="1" a="1"/>
  <c r="C3205" i="7" s="1"/>
  <c r="B3204" i="7"/>
  <c r="C3204" i="7" s="1" a="1"/>
  <c r="C3204" i="7" s="1"/>
  <c r="B3203" i="7"/>
  <c r="C3203" i="7" s="1" a="1"/>
  <c r="C3203" i="7" s="1"/>
  <c r="B3202" i="7"/>
  <c r="C3202" i="7" s="1" a="1"/>
  <c r="C3202" i="7" s="1"/>
  <c r="B3201" i="7"/>
  <c r="C3201" i="7" s="1" a="1"/>
  <c r="C3201" i="7" s="1"/>
  <c r="B3200" i="7"/>
  <c r="C3200" i="7" s="1" a="1"/>
  <c r="C3200" i="7" s="1"/>
  <c r="B3199" i="7"/>
  <c r="C3199" i="7" s="1" a="1"/>
  <c r="C3199" i="7" s="1"/>
  <c r="B3198" i="7"/>
  <c r="C3198" i="7" s="1" a="1"/>
  <c r="C3198" i="7" s="1"/>
  <c r="B3197" i="7"/>
  <c r="C3197" i="7" s="1" a="1"/>
  <c r="C3197" i="7" s="1"/>
  <c r="B3196" i="7"/>
  <c r="C3196" i="7" s="1" a="1"/>
  <c r="C3196" i="7" s="1"/>
  <c r="B3195" i="7"/>
  <c r="C3195" i="7" s="1" a="1"/>
  <c r="C3195" i="7" s="1"/>
  <c r="B3194" i="7"/>
  <c r="C3194" i="7" s="1" a="1"/>
  <c r="C3194" i="7" s="1"/>
  <c r="B3193" i="7"/>
  <c r="C3193" i="7" s="1" a="1"/>
  <c r="C3193" i="7" s="1"/>
  <c r="B3192" i="7"/>
  <c r="C3192" i="7" s="1" a="1"/>
  <c r="C3192" i="7" s="1"/>
  <c r="B3191" i="7"/>
  <c r="C3191" i="7" s="1" a="1"/>
  <c r="C3191" i="7" s="1"/>
  <c r="B3190" i="7"/>
  <c r="C3190" i="7" s="1" a="1"/>
  <c r="C3190" i="7" s="1"/>
  <c r="B3189" i="7"/>
  <c r="C3189" i="7" s="1" a="1"/>
  <c r="C3189" i="7" s="1"/>
  <c r="B3188" i="7"/>
  <c r="C3188" i="7" s="1" a="1"/>
  <c r="C3188" i="7" s="1"/>
  <c r="B3187" i="7"/>
  <c r="C3187" i="7" s="1" a="1"/>
  <c r="C3187" i="7" s="1"/>
  <c r="B3186" i="7"/>
  <c r="C3186" i="7" s="1" a="1"/>
  <c r="C3186" i="7" s="1"/>
  <c r="B3185" i="7"/>
  <c r="C3185" i="7" s="1" a="1"/>
  <c r="C3185" i="7" s="1"/>
  <c r="B3184" i="7"/>
  <c r="C3184" i="7" s="1" a="1"/>
  <c r="C3184" i="7" s="1"/>
  <c r="B3183" i="7"/>
  <c r="C3183" i="7" s="1" a="1"/>
  <c r="C3183" i="7" s="1"/>
  <c r="B3182" i="7"/>
  <c r="C3182" i="7" s="1" a="1"/>
  <c r="C3182" i="7" s="1"/>
  <c r="B3181" i="7"/>
  <c r="C3181" i="7" s="1" a="1"/>
  <c r="C3181" i="7" s="1"/>
  <c r="B3180" i="7"/>
  <c r="C3180" i="7" s="1" a="1"/>
  <c r="C3180" i="7" s="1"/>
  <c r="B3179" i="7"/>
  <c r="C3179" i="7" s="1" a="1"/>
  <c r="C3179" i="7" s="1"/>
  <c r="B3178" i="7"/>
  <c r="C3178" i="7" s="1" a="1"/>
  <c r="C3178" i="7" s="1"/>
  <c r="B3177" i="7"/>
  <c r="C3177" i="7" s="1" a="1"/>
  <c r="C3177" i="7" s="1"/>
  <c r="B3176" i="7"/>
  <c r="C3176" i="7" s="1" a="1"/>
  <c r="C3176" i="7" s="1"/>
  <c r="B3175" i="7"/>
  <c r="C3175" i="7" s="1" a="1"/>
  <c r="C3175" i="7" s="1"/>
  <c r="B3174" i="7"/>
  <c r="C3174" i="7" s="1" a="1"/>
  <c r="C3174" i="7" s="1"/>
  <c r="B3173" i="7"/>
  <c r="C3173" i="7" s="1" a="1"/>
  <c r="C3173" i="7" s="1"/>
  <c r="B3172" i="7"/>
  <c r="C3172" i="7" s="1" a="1"/>
  <c r="C3172" i="7" s="1"/>
  <c r="B3171" i="7"/>
  <c r="C3171" i="7" s="1" a="1"/>
  <c r="C3171" i="7" s="1"/>
  <c r="B3170" i="7"/>
  <c r="C3170" i="7" s="1" a="1"/>
  <c r="C3170" i="7" s="1"/>
  <c r="B3169" i="7"/>
  <c r="C3169" i="7" s="1" a="1"/>
  <c r="C3169" i="7" s="1"/>
  <c r="B3168" i="7"/>
  <c r="C3168" i="7" s="1" a="1"/>
  <c r="C3168" i="7" s="1"/>
  <c r="B3167" i="7"/>
  <c r="C3167" i="7" s="1" a="1"/>
  <c r="C3167" i="7" s="1"/>
  <c r="B3166" i="7"/>
  <c r="C3166" i="7" s="1" a="1"/>
  <c r="C3166" i="7" s="1"/>
  <c r="B3165" i="7"/>
  <c r="C3165" i="7" s="1" a="1"/>
  <c r="C3165" i="7" s="1"/>
  <c r="B3164" i="7"/>
  <c r="C3164" i="7" s="1" a="1"/>
  <c r="C3164" i="7" s="1"/>
  <c r="B3163" i="7"/>
  <c r="C3163" i="7" s="1" a="1"/>
  <c r="C3163" i="7" s="1"/>
  <c r="B3162" i="7"/>
  <c r="C3162" i="7" s="1" a="1"/>
  <c r="C3162" i="7" s="1"/>
  <c r="B3161" i="7"/>
  <c r="C3161" i="7" s="1" a="1"/>
  <c r="C3161" i="7" s="1"/>
  <c r="B3160" i="7"/>
  <c r="C3160" i="7" s="1" a="1"/>
  <c r="C3160" i="7" s="1"/>
  <c r="B3159" i="7"/>
  <c r="C3159" i="7" s="1" a="1"/>
  <c r="C3159" i="7" s="1"/>
  <c r="B3158" i="7"/>
  <c r="C3158" i="7" s="1" a="1"/>
  <c r="C3158" i="7" s="1"/>
  <c r="B3157" i="7"/>
  <c r="C3157" i="7" s="1" a="1"/>
  <c r="C3157" i="7" s="1"/>
  <c r="B3156" i="7"/>
  <c r="C3156" i="7" s="1" a="1"/>
  <c r="C3156" i="7" s="1"/>
  <c r="B3155" i="7"/>
  <c r="C3155" i="7" s="1" a="1"/>
  <c r="C3155" i="7" s="1"/>
  <c r="B3154" i="7"/>
  <c r="C3154" i="7" s="1" a="1"/>
  <c r="C3154" i="7" s="1"/>
  <c r="B3153" i="7"/>
  <c r="C3153" i="7" s="1" a="1"/>
  <c r="C3153" i="7" s="1"/>
  <c r="B3152" i="7"/>
  <c r="C3152" i="7" s="1" a="1"/>
  <c r="C3152" i="7" s="1"/>
  <c r="B3151" i="7"/>
  <c r="C3151" i="7" s="1" a="1"/>
  <c r="C3151" i="7" s="1"/>
  <c r="B3150" i="7"/>
  <c r="C3150" i="7" s="1" a="1"/>
  <c r="C3150" i="7" s="1"/>
  <c r="B3149" i="7"/>
  <c r="C3149" i="7" s="1" a="1"/>
  <c r="C3149" i="7" s="1"/>
  <c r="B3148" i="7"/>
  <c r="C3148" i="7" s="1" a="1"/>
  <c r="C3148" i="7" s="1"/>
  <c r="B3147" i="7"/>
  <c r="C3147" i="7" s="1" a="1"/>
  <c r="C3147" i="7" s="1"/>
  <c r="B3146" i="7"/>
  <c r="C3146" i="7" s="1" a="1"/>
  <c r="C3146" i="7" s="1"/>
  <c r="B3145" i="7"/>
  <c r="C3145" i="7" s="1" a="1"/>
  <c r="C3145" i="7" s="1"/>
  <c r="B3144" i="7"/>
  <c r="C3144" i="7" s="1" a="1"/>
  <c r="C3144" i="7" s="1"/>
  <c r="B3143" i="7"/>
  <c r="C3143" i="7" s="1" a="1"/>
  <c r="C3143" i="7" s="1"/>
  <c r="B3142" i="7"/>
  <c r="C3142" i="7" s="1" a="1"/>
  <c r="C3142" i="7" s="1"/>
  <c r="B3141" i="7"/>
  <c r="C3141" i="7" s="1" a="1"/>
  <c r="C3141" i="7" s="1"/>
  <c r="B3140" i="7"/>
  <c r="C3140" i="7" s="1" a="1"/>
  <c r="C3140" i="7" s="1"/>
  <c r="B3139" i="7"/>
  <c r="C3139" i="7" s="1" a="1"/>
  <c r="C3139" i="7" s="1"/>
  <c r="B3138" i="7"/>
  <c r="C3138" i="7" s="1" a="1"/>
  <c r="C3138" i="7" s="1"/>
  <c r="B3137" i="7"/>
  <c r="C3137" i="7" s="1" a="1"/>
  <c r="C3137" i="7" s="1"/>
  <c r="B3136" i="7"/>
  <c r="C3136" i="7" s="1" a="1"/>
  <c r="C3136" i="7" s="1"/>
  <c r="B3135" i="7"/>
  <c r="C3135" i="7" s="1" a="1"/>
  <c r="C3135" i="7" s="1"/>
  <c r="B3134" i="7"/>
  <c r="C3134" i="7" s="1" a="1"/>
  <c r="C3134" i="7" s="1"/>
  <c r="B3133" i="7"/>
  <c r="C3133" i="7" s="1" a="1"/>
  <c r="C3133" i="7" s="1"/>
  <c r="B3132" i="7"/>
  <c r="C3132" i="7" s="1" a="1"/>
  <c r="C3132" i="7" s="1"/>
  <c r="B3131" i="7"/>
  <c r="C3131" i="7" s="1" a="1"/>
  <c r="C3131" i="7" s="1"/>
  <c r="B3130" i="7"/>
  <c r="C3130" i="7" s="1" a="1"/>
  <c r="C3130" i="7" s="1"/>
  <c r="B3129" i="7"/>
  <c r="C3129" i="7" s="1" a="1"/>
  <c r="C3129" i="7" s="1"/>
  <c r="B3128" i="7"/>
  <c r="C3128" i="7" s="1" a="1"/>
  <c r="C3128" i="7" s="1"/>
  <c r="B3127" i="7"/>
  <c r="C3127" i="7" s="1" a="1"/>
  <c r="C3127" i="7" s="1"/>
  <c r="B3126" i="7"/>
  <c r="C3126" i="7" s="1" a="1"/>
  <c r="C3126" i="7" s="1"/>
  <c r="B3125" i="7"/>
  <c r="C3125" i="7" s="1" a="1"/>
  <c r="C3125" i="7" s="1"/>
  <c r="B3124" i="7"/>
  <c r="C3124" i="7" s="1" a="1"/>
  <c r="C3124" i="7" s="1"/>
  <c r="B3123" i="7"/>
  <c r="C3123" i="7" s="1" a="1"/>
  <c r="C3123" i="7" s="1"/>
  <c r="B3122" i="7"/>
  <c r="C3122" i="7" s="1" a="1"/>
  <c r="C3122" i="7" s="1"/>
  <c r="B3121" i="7"/>
  <c r="C3121" i="7" s="1" a="1"/>
  <c r="C3121" i="7" s="1"/>
  <c r="B3120" i="7"/>
  <c r="C3120" i="7" s="1" a="1"/>
  <c r="C3120" i="7" s="1"/>
  <c r="B3119" i="7"/>
  <c r="C3119" i="7" s="1" a="1"/>
  <c r="C3119" i="7" s="1"/>
  <c r="B3118" i="7"/>
  <c r="C3118" i="7" s="1" a="1"/>
  <c r="C3118" i="7" s="1"/>
  <c r="B3117" i="7"/>
  <c r="C3117" i="7" s="1" a="1"/>
  <c r="C3117" i="7" s="1"/>
  <c r="B3116" i="7"/>
  <c r="C3116" i="7" s="1" a="1"/>
  <c r="C3116" i="7" s="1"/>
  <c r="B3115" i="7"/>
  <c r="C3115" i="7" s="1" a="1"/>
  <c r="C3115" i="7" s="1"/>
  <c r="B3114" i="7"/>
  <c r="C3114" i="7" s="1" a="1"/>
  <c r="C3114" i="7" s="1"/>
  <c r="B3113" i="7"/>
  <c r="C3113" i="7" s="1" a="1"/>
  <c r="C3113" i="7" s="1"/>
  <c r="B3112" i="7"/>
  <c r="C3112" i="7" s="1" a="1"/>
  <c r="C3112" i="7" s="1"/>
  <c r="B3111" i="7"/>
  <c r="C3111" i="7" s="1" a="1"/>
  <c r="C3111" i="7" s="1"/>
  <c r="B3110" i="7"/>
  <c r="C3110" i="7" s="1" a="1"/>
  <c r="C3110" i="7" s="1"/>
  <c r="B3109" i="7"/>
  <c r="C3109" i="7" s="1" a="1"/>
  <c r="C3109" i="7" s="1"/>
  <c r="B3108" i="7"/>
  <c r="C3108" i="7" s="1" a="1"/>
  <c r="C3108" i="7" s="1"/>
  <c r="B3107" i="7"/>
  <c r="C3107" i="7" s="1" a="1"/>
  <c r="C3107" i="7" s="1"/>
  <c r="B3106" i="7"/>
  <c r="C3106" i="7" s="1" a="1"/>
  <c r="C3106" i="7" s="1"/>
  <c r="B3105" i="7"/>
  <c r="C3105" i="7" s="1" a="1"/>
  <c r="C3105" i="7" s="1"/>
  <c r="B3104" i="7"/>
  <c r="C3104" i="7" s="1" a="1"/>
  <c r="C3104" i="7" s="1"/>
  <c r="B3103" i="7"/>
  <c r="C3103" i="7" s="1" a="1"/>
  <c r="C3103" i="7" s="1"/>
  <c r="B3102" i="7"/>
  <c r="C3102" i="7" s="1" a="1"/>
  <c r="C3102" i="7" s="1"/>
  <c r="B3101" i="7"/>
  <c r="C3101" i="7" s="1" a="1"/>
  <c r="C3101" i="7" s="1"/>
  <c r="B3100" i="7"/>
  <c r="C3100" i="7" s="1" a="1"/>
  <c r="C3100" i="7" s="1"/>
  <c r="B3099" i="7"/>
  <c r="C3099" i="7" s="1" a="1"/>
  <c r="C3099" i="7" s="1"/>
  <c r="B3098" i="7"/>
  <c r="C3098" i="7" s="1" a="1"/>
  <c r="C3098" i="7" s="1"/>
  <c r="B3097" i="7"/>
  <c r="C3097" i="7" s="1" a="1"/>
  <c r="C3097" i="7" s="1"/>
  <c r="B3096" i="7"/>
  <c r="C3096" i="7" s="1" a="1"/>
  <c r="C3096" i="7" s="1"/>
  <c r="B3095" i="7"/>
  <c r="C3095" i="7" s="1" a="1"/>
  <c r="C3095" i="7" s="1"/>
  <c r="B3094" i="7"/>
  <c r="C3094" i="7" s="1" a="1"/>
  <c r="C3094" i="7" s="1"/>
  <c r="B3093" i="7"/>
  <c r="C3093" i="7" s="1" a="1"/>
  <c r="C3093" i="7" s="1"/>
  <c r="B3092" i="7"/>
  <c r="C3092" i="7" s="1" a="1"/>
  <c r="C3092" i="7" s="1"/>
  <c r="B3091" i="7"/>
  <c r="C3091" i="7" s="1" a="1"/>
  <c r="C3091" i="7" s="1"/>
  <c r="B3090" i="7"/>
  <c r="C3090" i="7" s="1" a="1"/>
  <c r="C3090" i="7" s="1"/>
  <c r="B3089" i="7"/>
  <c r="C3089" i="7" s="1" a="1"/>
  <c r="C3089" i="7" s="1"/>
  <c r="B3088" i="7"/>
  <c r="C3088" i="7" s="1" a="1"/>
  <c r="C3088" i="7" s="1"/>
  <c r="B3087" i="7"/>
  <c r="C3087" i="7" s="1" a="1"/>
  <c r="C3087" i="7" s="1"/>
  <c r="B3086" i="7"/>
  <c r="C3086" i="7" s="1" a="1"/>
  <c r="C3086" i="7" s="1"/>
  <c r="B3085" i="7"/>
  <c r="C3085" i="7" s="1" a="1"/>
  <c r="C3085" i="7" s="1"/>
  <c r="B3084" i="7"/>
  <c r="C3084" i="7" s="1" a="1"/>
  <c r="C3084" i="7" s="1"/>
  <c r="B3083" i="7"/>
  <c r="C3083" i="7" s="1" a="1"/>
  <c r="C3083" i="7" s="1"/>
  <c r="B3082" i="7"/>
  <c r="C3082" i="7" s="1" a="1"/>
  <c r="C3082" i="7" s="1"/>
  <c r="B3081" i="7"/>
  <c r="C3081" i="7" s="1" a="1"/>
  <c r="C3081" i="7" s="1"/>
  <c r="B3080" i="7"/>
  <c r="C3080" i="7" s="1" a="1"/>
  <c r="C3080" i="7" s="1"/>
  <c r="B3079" i="7"/>
  <c r="C3079" i="7" s="1" a="1"/>
  <c r="C3079" i="7" s="1"/>
  <c r="B3078" i="7"/>
  <c r="C3078" i="7" s="1" a="1"/>
  <c r="C3078" i="7" s="1"/>
  <c r="B3077" i="7"/>
  <c r="C3077" i="7" s="1" a="1"/>
  <c r="C3077" i="7" s="1"/>
  <c r="B3076" i="7"/>
  <c r="C3076" i="7" s="1" a="1"/>
  <c r="C3076" i="7" s="1"/>
  <c r="B3075" i="7"/>
  <c r="C3075" i="7" s="1" a="1"/>
  <c r="C3075" i="7" s="1"/>
  <c r="B3074" i="7"/>
  <c r="C3074" i="7" s="1" a="1"/>
  <c r="C3074" i="7" s="1"/>
  <c r="B3073" i="7"/>
  <c r="C3073" i="7" s="1" a="1"/>
  <c r="C3073" i="7" s="1"/>
  <c r="B3072" i="7"/>
  <c r="C3072" i="7" s="1" a="1"/>
  <c r="C3072" i="7" s="1"/>
  <c r="B3071" i="7"/>
  <c r="C3071" i="7" s="1" a="1"/>
  <c r="C3071" i="7" s="1"/>
  <c r="B3070" i="7"/>
  <c r="C3070" i="7" s="1" a="1"/>
  <c r="C3070" i="7" s="1"/>
  <c r="B3069" i="7"/>
  <c r="C3069" i="7" s="1" a="1"/>
  <c r="C3069" i="7" s="1"/>
  <c r="B3068" i="7"/>
  <c r="C3068" i="7" s="1" a="1"/>
  <c r="C3068" i="7" s="1"/>
  <c r="B3067" i="7"/>
  <c r="C3067" i="7" s="1" a="1"/>
  <c r="C3067" i="7" s="1"/>
  <c r="B3066" i="7"/>
  <c r="C3066" i="7" s="1" a="1"/>
  <c r="C3066" i="7" s="1"/>
  <c r="B3065" i="7"/>
  <c r="C3065" i="7" s="1" a="1"/>
  <c r="C3065" i="7" s="1"/>
  <c r="B3064" i="7"/>
  <c r="C3064" i="7" s="1" a="1"/>
  <c r="C3064" i="7" s="1"/>
  <c r="B3063" i="7"/>
  <c r="C3063" i="7" s="1" a="1"/>
  <c r="C3063" i="7" s="1"/>
  <c r="B3062" i="7"/>
  <c r="C3062" i="7" s="1" a="1"/>
  <c r="C3062" i="7" s="1"/>
  <c r="B3061" i="7"/>
  <c r="C3061" i="7" s="1" a="1"/>
  <c r="C3061" i="7" s="1"/>
  <c r="B3060" i="7"/>
  <c r="C3060" i="7" s="1" a="1"/>
  <c r="C3060" i="7" s="1"/>
  <c r="B3059" i="7"/>
  <c r="C3059" i="7" s="1" a="1"/>
  <c r="C3059" i="7" s="1"/>
  <c r="B3058" i="7"/>
  <c r="C3058" i="7" s="1" a="1"/>
  <c r="C3058" i="7" s="1"/>
  <c r="B3057" i="7"/>
  <c r="C3057" i="7" s="1" a="1"/>
  <c r="C3057" i="7" s="1"/>
  <c r="B3056" i="7"/>
  <c r="C3056" i="7" s="1" a="1"/>
  <c r="C3056" i="7" s="1"/>
  <c r="B3055" i="7"/>
  <c r="C3055" i="7" s="1" a="1"/>
  <c r="C3055" i="7" s="1"/>
  <c r="B3054" i="7"/>
  <c r="C3054" i="7" s="1" a="1"/>
  <c r="C3054" i="7" s="1"/>
  <c r="B3053" i="7"/>
  <c r="C3053" i="7" s="1" a="1"/>
  <c r="C3053" i="7" s="1"/>
  <c r="B3052" i="7"/>
  <c r="C3052" i="7" s="1" a="1"/>
  <c r="C3052" i="7" s="1"/>
  <c r="B3051" i="7"/>
  <c r="C3051" i="7" s="1" a="1"/>
  <c r="C3051" i="7" s="1"/>
  <c r="B3050" i="7"/>
  <c r="C3050" i="7" s="1" a="1"/>
  <c r="C3050" i="7" s="1"/>
  <c r="B3049" i="7"/>
  <c r="C3049" i="7" s="1" a="1"/>
  <c r="C3049" i="7" s="1"/>
  <c r="B3048" i="7"/>
  <c r="C3048" i="7" s="1" a="1"/>
  <c r="C3048" i="7" s="1"/>
  <c r="B3047" i="7"/>
  <c r="C3047" i="7" s="1" a="1"/>
  <c r="C3047" i="7" s="1"/>
  <c r="B3046" i="7"/>
  <c r="C3046" i="7" s="1" a="1"/>
  <c r="C3046" i="7" s="1"/>
  <c r="B3045" i="7"/>
  <c r="C3045" i="7" s="1" a="1"/>
  <c r="C3045" i="7" s="1"/>
  <c r="B3044" i="7"/>
  <c r="C3044" i="7" s="1" a="1"/>
  <c r="C3044" i="7" s="1"/>
  <c r="B3043" i="7"/>
  <c r="C3043" i="7" s="1" a="1"/>
  <c r="C3043" i="7" s="1"/>
  <c r="B3042" i="7"/>
  <c r="C3042" i="7" s="1" a="1"/>
  <c r="C3042" i="7" s="1"/>
  <c r="B3041" i="7"/>
  <c r="C3041" i="7" s="1" a="1"/>
  <c r="C3041" i="7" s="1"/>
  <c r="B3040" i="7"/>
  <c r="C3040" i="7" s="1" a="1"/>
  <c r="C3040" i="7" s="1"/>
  <c r="B3039" i="7"/>
  <c r="C3039" i="7" s="1" a="1"/>
  <c r="C3039" i="7" s="1"/>
  <c r="B3038" i="7"/>
  <c r="C3038" i="7" s="1" a="1"/>
  <c r="C3038" i="7" s="1"/>
  <c r="B3037" i="7"/>
  <c r="C3037" i="7" s="1" a="1"/>
  <c r="C3037" i="7" s="1"/>
  <c r="B3036" i="7"/>
  <c r="C3036" i="7" s="1" a="1"/>
  <c r="C3036" i="7" s="1"/>
  <c r="B3035" i="7"/>
  <c r="C3035" i="7" s="1" a="1"/>
  <c r="C3035" i="7" s="1"/>
  <c r="B3034" i="7"/>
  <c r="C3034" i="7" s="1" a="1"/>
  <c r="C3034" i="7" s="1"/>
  <c r="B3033" i="7"/>
  <c r="C3033" i="7" s="1" a="1"/>
  <c r="C3033" i="7" s="1"/>
  <c r="B3032" i="7"/>
  <c r="C3032" i="7" s="1" a="1"/>
  <c r="C3032" i="7" s="1"/>
  <c r="B3031" i="7"/>
  <c r="C3031" i="7" s="1" a="1"/>
  <c r="C3031" i="7" s="1"/>
  <c r="B3030" i="7"/>
  <c r="C3030" i="7" s="1" a="1"/>
  <c r="C3030" i="7" s="1"/>
  <c r="B3029" i="7"/>
  <c r="C3029" i="7" s="1" a="1"/>
  <c r="C3029" i="7" s="1"/>
  <c r="B3028" i="7"/>
  <c r="C3028" i="7" s="1" a="1"/>
  <c r="C3028" i="7" s="1"/>
  <c r="B3027" i="7"/>
  <c r="C3027" i="7" s="1" a="1"/>
  <c r="C3027" i="7" s="1"/>
  <c r="B3026" i="7"/>
  <c r="C3026" i="7" s="1" a="1"/>
  <c r="C3026" i="7" s="1"/>
  <c r="B3025" i="7"/>
  <c r="C3025" i="7" s="1" a="1"/>
  <c r="C3025" i="7" s="1"/>
  <c r="B3024" i="7"/>
  <c r="C3024" i="7" s="1" a="1"/>
  <c r="C3024" i="7" s="1"/>
  <c r="B3023" i="7"/>
  <c r="C3023" i="7" s="1" a="1"/>
  <c r="C3023" i="7" s="1"/>
  <c r="B3022" i="7"/>
  <c r="C3022" i="7" s="1" a="1"/>
  <c r="C3022" i="7" s="1"/>
  <c r="B3021" i="7"/>
  <c r="C3021" i="7" s="1" a="1"/>
  <c r="C3021" i="7" s="1"/>
  <c r="B3020" i="7"/>
  <c r="C3020" i="7" s="1" a="1"/>
  <c r="C3020" i="7" s="1"/>
  <c r="B3019" i="7"/>
  <c r="C3019" i="7" s="1" a="1"/>
  <c r="C3019" i="7" s="1"/>
  <c r="B3018" i="7"/>
  <c r="C3018" i="7" s="1" a="1"/>
  <c r="C3018" i="7" s="1"/>
  <c r="B3017" i="7"/>
  <c r="C3017" i="7" s="1" a="1"/>
  <c r="C3017" i="7" s="1"/>
  <c r="B3016" i="7"/>
  <c r="C3016" i="7" s="1" a="1"/>
  <c r="C3016" i="7" s="1"/>
  <c r="B3015" i="7"/>
  <c r="C3015" i="7" s="1" a="1"/>
  <c r="C3015" i="7" s="1"/>
  <c r="B3014" i="7"/>
  <c r="C3014" i="7" s="1" a="1"/>
  <c r="C3014" i="7" s="1"/>
  <c r="B3013" i="7"/>
  <c r="C3013" i="7" s="1" a="1"/>
  <c r="C3013" i="7" s="1"/>
  <c r="B3012" i="7"/>
  <c r="C3012" i="7" s="1" a="1"/>
  <c r="C3012" i="7" s="1"/>
  <c r="B3011" i="7"/>
  <c r="C3011" i="7" s="1" a="1"/>
  <c r="C3011" i="7" s="1"/>
  <c r="B3010" i="7"/>
  <c r="C3010" i="7" s="1" a="1"/>
  <c r="C3010" i="7" s="1"/>
  <c r="B3009" i="7"/>
  <c r="C3009" i="7" s="1" a="1"/>
  <c r="C3009" i="7" s="1"/>
  <c r="B3008" i="7"/>
  <c r="C3008" i="7" s="1" a="1"/>
  <c r="C3008" i="7" s="1"/>
  <c r="B3007" i="7"/>
  <c r="C3007" i="7" s="1" a="1"/>
  <c r="C3007" i="7" s="1"/>
  <c r="B3006" i="7"/>
  <c r="C3006" i="7" s="1" a="1"/>
  <c r="C3006" i="7" s="1"/>
  <c r="B3005" i="7"/>
  <c r="C3005" i="7" s="1" a="1"/>
  <c r="C3005" i="7" s="1"/>
  <c r="B3004" i="7"/>
  <c r="C3004" i="7" s="1" a="1"/>
  <c r="C3004" i="7" s="1"/>
  <c r="B3003" i="7"/>
  <c r="C3003" i="7" s="1" a="1"/>
  <c r="C3003" i="7" s="1"/>
  <c r="B3002" i="7"/>
  <c r="C3002" i="7" s="1" a="1"/>
  <c r="C3002" i="7" s="1"/>
  <c r="B3001" i="7"/>
  <c r="C3001" i="7" s="1" a="1"/>
  <c r="C3001" i="7" s="1"/>
  <c r="B3000" i="7"/>
  <c r="C3000" i="7" s="1" a="1"/>
  <c r="C3000" i="7" s="1"/>
  <c r="B2999" i="7"/>
  <c r="C2999" i="7" s="1" a="1"/>
  <c r="C2999" i="7" s="1"/>
  <c r="B2998" i="7"/>
  <c r="C2998" i="7" s="1" a="1"/>
  <c r="C2998" i="7" s="1"/>
  <c r="B2997" i="7"/>
  <c r="C2997" i="7" s="1" a="1"/>
  <c r="C2997" i="7" s="1"/>
  <c r="B2996" i="7"/>
  <c r="C2996" i="7" s="1" a="1"/>
  <c r="C2996" i="7" s="1"/>
  <c r="B2995" i="7"/>
  <c r="C2995" i="7" s="1" a="1"/>
  <c r="C2995" i="7" s="1"/>
  <c r="B2994" i="7"/>
  <c r="C2994" i="7" s="1" a="1"/>
  <c r="C2994" i="7" s="1"/>
  <c r="B2993" i="7"/>
  <c r="C2993" i="7" s="1" a="1"/>
  <c r="C2993" i="7" s="1"/>
  <c r="B2992" i="7"/>
  <c r="C2992" i="7" s="1" a="1"/>
  <c r="C2992" i="7" s="1"/>
  <c r="B2991" i="7"/>
  <c r="C2991" i="7" s="1" a="1"/>
  <c r="C2991" i="7" s="1"/>
  <c r="B2990" i="7"/>
  <c r="C2990" i="7" s="1" a="1"/>
  <c r="C2990" i="7" s="1"/>
  <c r="B2989" i="7"/>
  <c r="C2989" i="7" s="1" a="1"/>
  <c r="C2989" i="7" s="1"/>
  <c r="B2988" i="7"/>
  <c r="C2988" i="7" s="1" a="1"/>
  <c r="C2988" i="7" s="1"/>
  <c r="B2987" i="7"/>
  <c r="C2987" i="7" s="1" a="1"/>
  <c r="C2987" i="7" s="1"/>
  <c r="B2986" i="7"/>
  <c r="C2986" i="7" s="1" a="1"/>
  <c r="C2986" i="7" s="1"/>
  <c r="B2985" i="7"/>
  <c r="C2985" i="7" s="1" a="1"/>
  <c r="C2985" i="7" s="1"/>
  <c r="B2984" i="7"/>
  <c r="C2984" i="7" s="1" a="1"/>
  <c r="C2984" i="7" s="1"/>
  <c r="B2983" i="7"/>
  <c r="C2983" i="7" s="1" a="1"/>
  <c r="C2983" i="7" s="1"/>
  <c r="B2982" i="7"/>
  <c r="C2982" i="7" s="1" a="1"/>
  <c r="C2982" i="7" s="1"/>
  <c r="B2981" i="7"/>
  <c r="C2981" i="7" s="1" a="1"/>
  <c r="C2981" i="7" s="1"/>
  <c r="B2980" i="7"/>
  <c r="C2980" i="7" s="1" a="1"/>
  <c r="C2980" i="7" s="1"/>
  <c r="B2979" i="7"/>
  <c r="C2979" i="7" s="1" a="1"/>
  <c r="C2979" i="7" s="1"/>
  <c r="B2978" i="7"/>
  <c r="C2978" i="7" s="1" a="1"/>
  <c r="C2978" i="7" s="1"/>
  <c r="B2977" i="7"/>
  <c r="C2977" i="7" s="1" a="1"/>
  <c r="C2977" i="7" s="1"/>
  <c r="B2976" i="7"/>
  <c r="C2976" i="7" s="1" a="1"/>
  <c r="C2976" i="7" s="1"/>
  <c r="B2975" i="7"/>
  <c r="C2975" i="7" s="1" a="1"/>
  <c r="C2975" i="7" s="1"/>
  <c r="B2974" i="7"/>
  <c r="C2974" i="7" s="1" a="1"/>
  <c r="C2974" i="7" s="1"/>
  <c r="B2973" i="7"/>
  <c r="C2973" i="7" s="1" a="1"/>
  <c r="C2973" i="7" s="1"/>
  <c r="B2972" i="7"/>
  <c r="C2972" i="7" s="1" a="1"/>
  <c r="C2972" i="7" s="1"/>
  <c r="B2971" i="7"/>
  <c r="C2971" i="7" s="1" a="1"/>
  <c r="C2971" i="7" s="1"/>
  <c r="B2970" i="7"/>
  <c r="C2970" i="7" s="1" a="1"/>
  <c r="C2970" i="7" s="1"/>
  <c r="B2969" i="7"/>
  <c r="C2969" i="7" s="1" a="1"/>
  <c r="C2969" i="7" s="1"/>
  <c r="B2968" i="7"/>
  <c r="C2968" i="7" s="1" a="1"/>
  <c r="C2968" i="7" s="1"/>
  <c r="B2967" i="7"/>
  <c r="C2967" i="7" s="1" a="1"/>
  <c r="C2967" i="7" s="1"/>
  <c r="B2966" i="7"/>
  <c r="C2966" i="7" s="1" a="1"/>
  <c r="C2966" i="7" s="1"/>
  <c r="B2965" i="7"/>
  <c r="C2965" i="7" s="1" a="1"/>
  <c r="C2965" i="7" s="1"/>
  <c r="B2964" i="7"/>
  <c r="C2964" i="7" s="1" a="1"/>
  <c r="C2964" i="7" s="1"/>
  <c r="B2963" i="7"/>
  <c r="C2963" i="7" s="1" a="1"/>
  <c r="C2963" i="7" s="1"/>
  <c r="B2962" i="7"/>
  <c r="C2962" i="7" s="1" a="1"/>
  <c r="C2962" i="7" s="1"/>
  <c r="B2961" i="7"/>
  <c r="C2961" i="7" s="1" a="1"/>
  <c r="C2961" i="7" s="1"/>
  <c r="B2960" i="7"/>
  <c r="C2960" i="7" s="1" a="1"/>
  <c r="C2960" i="7" s="1"/>
  <c r="B2959" i="7"/>
  <c r="C2959" i="7" s="1" a="1"/>
  <c r="C2959" i="7" s="1"/>
  <c r="B2958" i="7"/>
  <c r="C2958" i="7" s="1" a="1"/>
  <c r="C2958" i="7" s="1"/>
  <c r="B2957" i="7"/>
  <c r="C2957" i="7" s="1" a="1"/>
  <c r="C2957" i="7" s="1"/>
  <c r="B2956" i="7"/>
  <c r="C2956" i="7" s="1" a="1"/>
  <c r="C2956" i="7" s="1"/>
  <c r="B2955" i="7"/>
  <c r="C2955" i="7" s="1" a="1"/>
  <c r="C2955" i="7" s="1"/>
  <c r="B2954" i="7"/>
  <c r="C2954" i="7" s="1" a="1"/>
  <c r="C2954" i="7" s="1"/>
  <c r="B2953" i="7"/>
  <c r="C2953" i="7" s="1" a="1"/>
  <c r="C2953" i="7" s="1"/>
  <c r="B2952" i="7"/>
  <c r="C2952" i="7" s="1" a="1"/>
  <c r="C2952" i="7" s="1"/>
  <c r="B2951" i="7"/>
  <c r="C2951" i="7" s="1" a="1"/>
  <c r="C2951" i="7" s="1"/>
  <c r="B2950" i="7"/>
  <c r="C2950" i="7" s="1" a="1"/>
  <c r="C2950" i="7" s="1"/>
  <c r="B2949" i="7"/>
  <c r="C2949" i="7" s="1" a="1"/>
  <c r="C2949" i="7" s="1"/>
  <c r="B2948" i="7"/>
  <c r="C2948" i="7" s="1" a="1"/>
  <c r="C2948" i="7" s="1"/>
  <c r="B2947" i="7"/>
  <c r="C2947" i="7" s="1" a="1"/>
  <c r="C2947" i="7" s="1"/>
  <c r="B2946" i="7"/>
  <c r="C2946" i="7" s="1" a="1"/>
  <c r="C2946" i="7" s="1"/>
  <c r="B2945" i="7"/>
  <c r="C2945" i="7" s="1" a="1"/>
  <c r="C2945" i="7" s="1"/>
  <c r="B2944" i="7"/>
  <c r="C2944" i="7" s="1" a="1"/>
  <c r="C2944" i="7" s="1"/>
  <c r="B2943" i="7"/>
  <c r="C2943" i="7" s="1" a="1"/>
  <c r="C2943" i="7" s="1"/>
  <c r="B2942" i="7"/>
  <c r="C2942" i="7" s="1" a="1"/>
  <c r="C2942" i="7" s="1"/>
  <c r="B2941" i="7"/>
  <c r="C2941" i="7" s="1" a="1"/>
  <c r="C2941" i="7" s="1"/>
  <c r="B2940" i="7"/>
  <c r="C2940" i="7" s="1" a="1"/>
  <c r="C2940" i="7" s="1"/>
  <c r="B2939" i="7"/>
  <c r="C2939" i="7" s="1" a="1"/>
  <c r="C2939" i="7" s="1"/>
  <c r="B2938" i="7"/>
  <c r="C2938" i="7" s="1" a="1"/>
  <c r="C2938" i="7" s="1"/>
  <c r="B2937" i="7"/>
  <c r="C2937" i="7" s="1" a="1"/>
  <c r="C2937" i="7" s="1"/>
  <c r="B2936" i="7"/>
  <c r="C2936" i="7" s="1" a="1"/>
  <c r="C2936" i="7" s="1"/>
  <c r="B2935" i="7"/>
  <c r="C2935" i="7" s="1" a="1"/>
  <c r="C2935" i="7" s="1"/>
  <c r="B2934" i="7"/>
  <c r="C2934" i="7" s="1" a="1"/>
  <c r="C2934" i="7" s="1"/>
  <c r="B2933" i="7"/>
  <c r="C2933" i="7" s="1" a="1"/>
  <c r="C2933" i="7" s="1"/>
  <c r="B2932" i="7"/>
  <c r="C2932" i="7" s="1" a="1"/>
  <c r="C2932" i="7" s="1"/>
  <c r="B2931" i="7"/>
  <c r="C2931" i="7" s="1" a="1"/>
  <c r="C2931" i="7" s="1"/>
  <c r="B2930" i="7"/>
  <c r="C2930" i="7" s="1" a="1"/>
  <c r="C2930" i="7" s="1"/>
  <c r="B2929" i="7"/>
  <c r="C2929" i="7" s="1" a="1"/>
  <c r="C2929" i="7" s="1"/>
  <c r="B2928" i="7"/>
  <c r="C2928" i="7" s="1" a="1"/>
  <c r="C2928" i="7" s="1"/>
  <c r="B2927" i="7"/>
  <c r="C2927" i="7" s="1" a="1"/>
  <c r="C2927" i="7" s="1"/>
  <c r="B2926" i="7"/>
  <c r="C2926" i="7" s="1" a="1"/>
  <c r="C2926" i="7" s="1"/>
  <c r="B2925" i="7"/>
  <c r="C2925" i="7" s="1" a="1"/>
  <c r="C2925" i="7" s="1"/>
  <c r="B2924" i="7"/>
  <c r="C2924" i="7" s="1" a="1"/>
  <c r="C2924" i="7" s="1"/>
  <c r="B2923" i="7"/>
  <c r="C2923" i="7" s="1" a="1"/>
  <c r="C2923" i="7" s="1"/>
  <c r="B2922" i="7"/>
  <c r="C2922" i="7" s="1" a="1"/>
  <c r="C2922" i="7" s="1"/>
  <c r="B2921" i="7"/>
  <c r="C2921" i="7" s="1" a="1"/>
  <c r="C2921" i="7" s="1"/>
  <c r="B2920" i="7"/>
  <c r="C2920" i="7" s="1" a="1"/>
  <c r="C2920" i="7" s="1"/>
  <c r="B2919" i="7"/>
  <c r="C2919" i="7" s="1" a="1"/>
  <c r="C2919" i="7" s="1"/>
  <c r="B2918" i="7"/>
  <c r="C2918" i="7" s="1" a="1"/>
  <c r="C2918" i="7" s="1"/>
  <c r="B2917" i="7"/>
  <c r="C2917" i="7" s="1" a="1"/>
  <c r="C2917" i="7" s="1"/>
  <c r="B2916" i="7"/>
  <c r="C2916" i="7" s="1" a="1"/>
  <c r="C2916" i="7" s="1"/>
  <c r="B2915" i="7"/>
  <c r="C2915" i="7" s="1" a="1"/>
  <c r="C2915" i="7" s="1"/>
  <c r="B2914" i="7"/>
  <c r="C2914" i="7" s="1" a="1"/>
  <c r="C2914" i="7" s="1"/>
  <c r="B2913" i="7"/>
  <c r="C2913" i="7" s="1" a="1"/>
  <c r="C2913" i="7" s="1"/>
  <c r="B2912" i="7"/>
  <c r="C2912" i="7" s="1" a="1"/>
  <c r="C2912" i="7" s="1"/>
  <c r="B2911" i="7"/>
  <c r="C2911" i="7" s="1" a="1"/>
  <c r="C2911" i="7" s="1"/>
  <c r="B2910" i="7"/>
  <c r="C2910" i="7" s="1" a="1"/>
  <c r="C2910" i="7" s="1"/>
  <c r="B2909" i="7"/>
  <c r="C2909" i="7" s="1" a="1"/>
  <c r="C2909" i="7" s="1"/>
  <c r="B2908" i="7"/>
  <c r="C2908" i="7" s="1" a="1"/>
  <c r="C2908" i="7" s="1"/>
  <c r="B2907" i="7"/>
  <c r="C2907" i="7" s="1" a="1"/>
  <c r="C2907" i="7" s="1"/>
  <c r="B2906" i="7"/>
  <c r="C2906" i="7" s="1" a="1"/>
  <c r="C2906" i="7" s="1"/>
  <c r="B2905" i="7"/>
  <c r="C2905" i="7" s="1" a="1"/>
  <c r="C2905" i="7" s="1"/>
  <c r="B2904" i="7"/>
  <c r="C2904" i="7" s="1" a="1"/>
  <c r="C2904" i="7" s="1"/>
  <c r="B2903" i="7"/>
  <c r="C2903" i="7" s="1" a="1"/>
  <c r="C2903" i="7" s="1"/>
  <c r="B2902" i="7"/>
  <c r="C2902" i="7" s="1" a="1"/>
  <c r="C2902" i="7" s="1"/>
  <c r="B2901" i="7"/>
  <c r="C2901" i="7" s="1" a="1"/>
  <c r="C2901" i="7" s="1"/>
  <c r="B2900" i="7"/>
  <c r="C2900" i="7" s="1" a="1"/>
  <c r="C2900" i="7" s="1"/>
  <c r="B2899" i="7"/>
  <c r="C2899" i="7" s="1" a="1"/>
  <c r="C2899" i="7" s="1"/>
  <c r="B2898" i="7"/>
  <c r="C2898" i="7" s="1" a="1"/>
  <c r="C2898" i="7" s="1"/>
  <c r="B2897" i="7"/>
  <c r="C2897" i="7" s="1" a="1"/>
  <c r="C2897" i="7" s="1"/>
  <c r="B2896" i="7"/>
  <c r="C2896" i="7" s="1" a="1"/>
  <c r="C2896" i="7" s="1"/>
  <c r="B2895" i="7"/>
  <c r="C2895" i="7" s="1" a="1"/>
  <c r="C2895" i="7" s="1"/>
  <c r="B2894" i="7"/>
  <c r="C2894" i="7" s="1" a="1"/>
  <c r="C2894" i="7" s="1"/>
  <c r="B2893" i="7"/>
  <c r="C2893" i="7" s="1" a="1"/>
  <c r="C2893" i="7" s="1"/>
  <c r="B2892" i="7"/>
  <c r="C2892" i="7" s="1" a="1"/>
  <c r="C2892" i="7" s="1"/>
  <c r="B2891" i="7"/>
  <c r="C2891" i="7" s="1" a="1"/>
  <c r="C2891" i="7" s="1"/>
  <c r="B2890" i="7"/>
  <c r="C2890" i="7" s="1" a="1"/>
  <c r="C2890" i="7" s="1"/>
  <c r="B2889" i="7"/>
  <c r="C2889" i="7" s="1" a="1"/>
  <c r="C2889" i="7" s="1"/>
  <c r="B2888" i="7"/>
  <c r="C2888" i="7" s="1" a="1"/>
  <c r="C2888" i="7" s="1"/>
  <c r="B2887" i="7"/>
  <c r="C2887" i="7" s="1" a="1"/>
  <c r="C2887" i="7" s="1"/>
  <c r="B2886" i="7"/>
  <c r="C2886" i="7" s="1" a="1"/>
  <c r="C2886" i="7" s="1"/>
  <c r="B2885" i="7"/>
  <c r="C2885" i="7" s="1" a="1"/>
  <c r="C2885" i="7" s="1"/>
  <c r="B2884" i="7"/>
  <c r="C2884" i="7" s="1" a="1"/>
  <c r="C2884" i="7" s="1"/>
  <c r="B2883" i="7"/>
  <c r="C2883" i="7" s="1" a="1"/>
  <c r="C2883" i="7" s="1"/>
  <c r="B2882" i="7"/>
  <c r="C2882" i="7" s="1" a="1"/>
  <c r="C2882" i="7" s="1"/>
  <c r="B2881" i="7"/>
  <c r="C2881" i="7" s="1" a="1"/>
  <c r="C2881" i="7" s="1"/>
  <c r="B2880" i="7"/>
  <c r="C2880" i="7" s="1" a="1"/>
  <c r="C2880" i="7" s="1"/>
  <c r="B2879" i="7"/>
  <c r="C2879" i="7" s="1" a="1"/>
  <c r="C2879" i="7" s="1"/>
  <c r="B2878" i="7"/>
  <c r="C2878" i="7" s="1" a="1"/>
  <c r="C2878" i="7" s="1"/>
  <c r="B2877" i="7"/>
  <c r="C2877" i="7" s="1" a="1"/>
  <c r="C2877" i="7" s="1"/>
  <c r="B2876" i="7"/>
  <c r="C2876" i="7" s="1" a="1"/>
  <c r="C2876" i="7" s="1"/>
  <c r="B2875" i="7"/>
  <c r="C2875" i="7" s="1" a="1"/>
  <c r="C2875" i="7" s="1"/>
  <c r="B2874" i="7"/>
  <c r="C2874" i="7" s="1" a="1"/>
  <c r="C2874" i="7" s="1"/>
  <c r="B2873" i="7"/>
  <c r="C2873" i="7" s="1" a="1"/>
  <c r="C2873" i="7" s="1"/>
  <c r="B2872" i="7"/>
  <c r="C2872" i="7" s="1" a="1"/>
  <c r="C2872" i="7" s="1"/>
  <c r="B2871" i="7"/>
  <c r="C2871" i="7" s="1" a="1"/>
  <c r="C2871" i="7" s="1"/>
  <c r="B2870" i="7"/>
  <c r="C2870" i="7" s="1" a="1"/>
  <c r="C2870" i="7" s="1"/>
  <c r="B2869" i="7"/>
  <c r="C2869" i="7" s="1" a="1"/>
  <c r="C2869" i="7" s="1"/>
  <c r="B2868" i="7"/>
  <c r="C2868" i="7" s="1" a="1"/>
  <c r="C2868" i="7" s="1"/>
  <c r="B2867" i="7"/>
  <c r="C2867" i="7" s="1" a="1"/>
  <c r="C2867" i="7" s="1"/>
  <c r="B2866" i="7"/>
  <c r="C2866" i="7" s="1" a="1"/>
  <c r="C2866" i="7" s="1"/>
  <c r="B2865" i="7"/>
  <c r="C2865" i="7" s="1" a="1"/>
  <c r="C2865" i="7" s="1"/>
  <c r="B2864" i="7"/>
  <c r="C2864" i="7" s="1" a="1"/>
  <c r="C2864" i="7" s="1"/>
  <c r="B2863" i="7"/>
  <c r="C2863" i="7" s="1" a="1"/>
  <c r="C2863" i="7" s="1"/>
  <c r="B2862" i="7"/>
  <c r="C2862" i="7" s="1" a="1"/>
  <c r="C2862" i="7" s="1"/>
  <c r="B2861" i="7"/>
  <c r="C2861" i="7" s="1" a="1"/>
  <c r="C2861" i="7" s="1"/>
  <c r="B2860" i="7"/>
  <c r="C2860" i="7" s="1" a="1"/>
  <c r="C2860" i="7" s="1"/>
  <c r="B2859" i="7"/>
  <c r="C2859" i="7" s="1" a="1"/>
  <c r="C2859" i="7" s="1"/>
  <c r="B2858" i="7"/>
  <c r="C2858" i="7" s="1" a="1"/>
  <c r="C2858" i="7" s="1"/>
  <c r="B2857" i="7"/>
  <c r="C2857" i="7" s="1" a="1"/>
  <c r="C2857" i="7" s="1"/>
  <c r="B2856" i="7"/>
  <c r="C2856" i="7" s="1" a="1"/>
  <c r="C2856" i="7" s="1"/>
  <c r="B2855" i="7"/>
  <c r="C2855" i="7" s="1" a="1"/>
  <c r="C2855" i="7" s="1"/>
  <c r="B2854" i="7"/>
  <c r="C2854" i="7" s="1" a="1"/>
  <c r="C2854" i="7" s="1"/>
  <c r="B2853" i="7"/>
  <c r="C2853" i="7" s="1" a="1"/>
  <c r="C2853" i="7" s="1"/>
  <c r="B2852" i="7"/>
  <c r="C2852" i="7" s="1" a="1"/>
  <c r="C2852" i="7" s="1"/>
  <c r="B2851" i="7"/>
  <c r="C2851" i="7" s="1" a="1"/>
  <c r="C2851" i="7" s="1"/>
  <c r="B2850" i="7"/>
  <c r="C2850" i="7" s="1" a="1"/>
  <c r="C2850" i="7" s="1"/>
  <c r="B2849" i="7"/>
  <c r="C2849" i="7" s="1" a="1"/>
  <c r="C2849" i="7" s="1"/>
  <c r="B2848" i="7"/>
  <c r="C2848" i="7" s="1" a="1"/>
  <c r="C2848" i="7" s="1"/>
  <c r="B2847" i="7"/>
  <c r="C2847" i="7" s="1" a="1"/>
  <c r="C2847" i="7" s="1"/>
  <c r="B2846" i="7"/>
  <c r="C2846" i="7" s="1" a="1"/>
  <c r="C2846" i="7" s="1"/>
  <c r="B2845" i="7"/>
  <c r="C2845" i="7" s="1" a="1"/>
  <c r="C2845" i="7" s="1"/>
  <c r="B2844" i="7"/>
  <c r="C2844" i="7" s="1" a="1"/>
  <c r="C2844" i="7" s="1"/>
  <c r="B2843" i="7"/>
  <c r="C2843" i="7" s="1" a="1"/>
  <c r="C2843" i="7" s="1"/>
  <c r="B2842" i="7"/>
  <c r="C2842" i="7" s="1" a="1"/>
  <c r="C2842" i="7" s="1"/>
  <c r="B2841" i="7"/>
  <c r="C2841" i="7" s="1" a="1"/>
  <c r="C2841" i="7" s="1"/>
  <c r="B2840" i="7"/>
  <c r="C2840" i="7" s="1" a="1"/>
  <c r="C2840" i="7" s="1"/>
  <c r="B2839" i="7"/>
  <c r="C2839" i="7" s="1" a="1"/>
  <c r="C2839" i="7" s="1"/>
  <c r="B2838" i="7"/>
  <c r="C2838" i="7" s="1" a="1"/>
  <c r="C2838" i="7" s="1"/>
  <c r="B2837" i="7"/>
  <c r="C2837" i="7" s="1" a="1"/>
  <c r="C2837" i="7" s="1"/>
  <c r="B2836" i="7"/>
  <c r="C2836" i="7" s="1" a="1"/>
  <c r="C2836" i="7" s="1"/>
  <c r="B2835" i="7"/>
  <c r="C2835" i="7" s="1" a="1"/>
  <c r="C2835" i="7" s="1"/>
  <c r="B2834" i="7"/>
  <c r="C2834" i="7" s="1" a="1"/>
  <c r="C2834" i="7" s="1"/>
  <c r="B2833" i="7"/>
  <c r="C2833" i="7" s="1" a="1"/>
  <c r="C2833" i="7" s="1"/>
  <c r="B2832" i="7"/>
  <c r="C2832" i="7" s="1" a="1"/>
  <c r="C2832" i="7" s="1"/>
  <c r="B2831" i="7"/>
  <c r="C2831" i="7" s="1" a="1"/>
  <c r="C2831" i="7" s="1"/>
  <c r="B2830" i="7"/>
  <c r="C2830" i="7" s="1" a="1"/>
  <c r="C2830" i="7" s="1"/>
  <c r="B2829" i="7"/>
  <c r="C2829" i="7" s="1" a="1"/>
  <c r="C2829" i="7" s="1"/>
  <c r="B2828" i="7"/>
  <c r="C2828" i="7" s="1" a="1"/>
  <c r="C2828" i="7" s="1"/>
  <c r="B2827" i="7"/>
  <c r="C2827" i="7" s="1" a="1"/>
  <c r="C2827" i="7" s="1"/>
  <c r="B2826" i="7"/>
  <c r="C2826" i="7" s="1" a="1"/>
  <c r="C2826" i="7" s="1"/>
  <c r="B2825" i="7"/>
  <c r="C2825" i="7" s="1" a="1"/>
  <c r="C2825" i="7" s="1"/>
  <c r="B2824" i="7"/>
  <c r="C2824" i="7" s="1" a="1"/>
  <c r="C2824" i="7" s="1"/>
  <c r="B2823" i="7"/>
  <c r="C2823" i="7" s="1" a="1"/>
  <c r="C2823" i="7" s="1"/>
  <c r="B2822" i="7"/>
  <c r="C2822" i="7" s="1" a="1"/>
  <c r="C2822" i="7" s="1"/>
  <c r="B2821" i="7"/>
  <c r="C2821" i="7" s="1" a="1"/>
  <c r="C2821" i="7" s="1"/>
  <c r="B2820" i="7"/>
  <c r="C2820" i="7" s="1" a="1"/>
  <c r="C2820" i="7" s="1"/>
  <c r="B2819" i="7"/>
  <c r="C2819" i="7" s="1" a="1"/>
  <c r="C2819" i="7" s="1"/>
  <c r="B2818" i="7"/>
  <c r="C2818" i="7" s="1" a="1"/>
  <c r="C2818" i="7" s="1"/>
  <c r="B2817" i="7"/>
  <c r="C2817" i="7" s="1" a="1"/>
  <c r="C2817" i="7" s="1"/>
  <c r="B2816" i="7"/>
  <c r="C2816" i="7" s="1" a="1"/>
  <c r="C2816" i="7" s="1"/>
  <c r="B2815" i="7"/>
  <c r="C2815" i="7" s="1" a="1"/>
  <c r="C2815" i="7" s="1"/>
  <c r="B2814" i="7"/>
  <c r="C2814" i="7" s="1" a="1"/>
  <c r="C2814" i="7" s="1"/>
  <c r="B2813" i="7"/>
  <c r="C2813" i="7" s="1" a="1"/>
  <c r="C2813" i="7" s="1"/>
  <c r="B2812" i="7"/>
  <c r="C2812" i="7" s="1" a="1"/>
  <c r="C2812" i="7" s="1"/>
  <c r="B2811" i="7"/>
  <c r="C2811" i="7" s="1" a="1"/>
  <c r="C2811" i="7" s="1"/>
  <c r="B2810" i="7"/>
  <c r="C2810" i="7" s="1" a="1"/>
  <c r="C2810" i="7" s="1"/>
  <c r="B2809" i="7"/>
  <c r="C2809" i="7" s="1" a="1"/>
  <c r="C2809" i="7" s="1"/>
  <c r="B2808" i="7"/>
  <c r="C2808" i="7" s="1" a="1"/>
  <c r="C2808" i="7" s="1"/>
  <c r="B2807" i="7"/>
  <c r="C2807" i="7" s="1" a="1"/>
  <c r="C2807" i="7" s="1"/>
  <c r="B2806" i="7"/>
  <c r="C2806" i="7" s="1" a="1"/>
  <c r="C2806" i="7" s="1"/>
  <c r="B2805" i="7"/>
  <c r="C2805" i="7" s="1" a="1"/>
  <c r="C2805" i="7" s="1"/>
  <c r="B2804" i="7"/>
  <c r="C2804" i="7" s="1" a="1"/>
  <c r="C2804" i="7" s="1"/>
  <c r="B2803" i="7"/>
  <c r="C2803" i="7" s="1" a="1"/>
  <c r="C2803" i="7" s="1"/>
  <c r="B2802" i="7"/>
  <c r="C2802" i="7" s="1" a="1"/>
  <c r="C2802" i="7" s="1"/>
  <c r="B2801" i="7"/>
  <c r="C2801" i="7" s="1" a="1"/>
  <c r="C2801" i="7" s="1"/>
  <c r="B2800" i="7"/>
  <c r="C2800" i="7" s="1" a="1"/>
  <c r="C2800" i="7" s="1"/>
  <c r="B2799" i="7"/>
  <c r="C2799" i="7" s="1" a="1"/>
  <c r="C2799" i="7" s="1"/>
  <c r="B2798" i="7"/>
  <c r="C2798" i="7" s="1" a="1"/>
  <c r="C2798" i="7" s="1"/>
  <c r="B2797" i="7"/>
  <c r="C2797" i="7" s="1" a="1"/>
  <c r="C2797" i="7" s="1"/>
  <c r="B2796" i="7"/>
  <c r="C2796" i="7" s="1" a="1"/>
  <c r="C2796" i="7" s="1"/>
  <c r="B2795" i="7"/>
  <c r="C2795" i="7" s="1" a="1"/>
  <c r="C2795" i="7" s="1"/>
  <c r="B2794" i="7"/>
  <c r="C2794" i="7" s="1" a="1"/>
  <c r="C2794" i="7" s="1"/>
  <c r="B2793" i="7"/>
  <c r="C2793" i="7" s="1" a="1"/>
  <c r="C2793" i="7" s="1"/>
  <c r="B2792" i="7"/>
  <c r="C2792" i="7" s="1" a="1"/>
  <c r="C2792" i="7" s="1"/>
  <c r="B2791" i="7"/>
  <c r="C2791" i="7" s="1" a="1"/>
  <c r="C2791" i="7" s="1"/>
  <c r="B2790" i="7"/>
  <c r="C2790" i="7" s="1" a="1"/>
  <c r="C2790" i="7" s="1"/>
  <c r="B2789" i="7"/>
  <c r="C2789" i="7" s="1" a="1"/>
  <c r="C2789" i="7" s="1"/>
  <c r="B2788" i="7"/>
  <c r="C2788" i="7" s="1" a="1"/>
  <c r="C2788" i="7" s="1"/>
  <c r="B2787" i="7"/>
  <c r="C2787" i="7" s="1" a="1"/>
  <c r="C2787" i="7" s="1"/>
  <c r="B2786" i="7"/>
  <c r="C2786" i="7" s="1" a="1"/>
  <c r="C2786" i="7" s="1"/>
  <c r="B2785" i="7"/>
  <c r="C2785" i="7" s="1" a="1"/>
  <c r="C2785" i="7" s="1"/>
  <c r="B2784" i="7"/>
  <c r="C2784" i="7" s="1" a="1"/>
  <c r="C2784" i="7" s="1"/>
  <c r="B2783" i="7"/>
  <c r="C2783" i="7" s="1" a="1"/>
  <c r="C2783" i="7" s="1"/>
  <c r="B2782" i="7"/>
  <c r="C2782" i="7" s="1" a="1"/>
  <c r="C2782" i="7" s="1"/>
  <c r="B2781" i="7"/>
  <c r="C2781" i="7" s="1" a="1"/>
  <c r="C2781" i="7" s="1"/>
  <c r="B2780" i="7"/>
  <c r="C2780" i="7" s="1" a="1"/>
  <c r="C2780" i="7" s="1"/>
  <c r="B2779" i="7"/>
  <c r="C2779" i="7" s="1" a="1"/>
  <c r="C2779" i="7" s="1"/>
  <c r="B2778" i="7"/>
  <c r="C2778" i="7" s="1" a="1"/>
  <c r="C2778" i="7" s="1"/>
  <c r="B2777" i="7"/>
  <c r="C2777" i="7" s="1" a="1"/>
  <c r="C2777" i="7" s="1"/>
  <c r="B2776" i="7"/>
  <c r="C2776" i="7" s="1" a="1"/>
  <c r="C2776" i="7" s="1"/>
  <c r="B2775" i="7"/>
  <c r="C2775" i="7" s="1" a="1"/>
  <c r="C2775" i="7" s="1"/>
  <c r="B2774" i="7"/>
  <c r="C2774" i="7" s="1" a="1"/>
  <c r="C2774" i="7" s="1"/>
  <c r="B2773" i="7"/>
  <c r="C2773" i="7" s="1" a="1"/>
  <c r="C2773" i="7" s="1"/>
  <c r="B2772" i="7"/>
  <c r="C2772" i="7" s="1" a="1"/>
  <c r="C2772" i="7" s="1"/>
  <c r="B2771" i="7"/>
  <c r="C2771" i="7" s="1" a="1"/>
  <c r="C2771" i="7" s="1"/>
  <c r="B2770" i="7"/>
  <c r="C2770" i="7" s="1" a="1"/>
  <c r="C2770" i="7" s="1"/>
  <c r="B2769" i="7"/>
  <c r="C2769" i="7" s="1" a="1"/>
  <c r="C2769" i="7" s="1"/>
  <c r="B2768" i="7"/>
  <c r="C2768" i="7" s="1" a="1"/>
  <c r="C2768" i="7" s="1"/>
  <c r="B2767" i="7"/>
  <c r="C2767" i="7" s="1" a="1"/>
  <c r="C2767" i="7" s="1"/>
  <c r="B2766" i="7"/>
  <c r="C2766" i="7" s="1" a="1"/>
  <c r="C2766" i="7" s="1"/>
  <c r="B2765" i="7"/>
  <c r="C2765" i="7" s="1" a="1"/>
  <c r="C2765" i="7" s="1"/>
  <c r="B2764" i="7"/>
  <c r="C2764" i="7" s="1" a="1"/>
  <c r="C2764" i="7" s="1"/>
  <c r="B2763" i="7"/>
  <c r="C2763" i="7" s="1" a="1"/>
  <c r="C2763" i="7" s="1"/>
  <c r="B2762" i="7"/>
  <c r="C2762" i="7" s="1" a="1"/>
  <c r="C2762" i="7" s="1"/>
  <c r="B2761" i="7"/>
  <c r="C2761" i="7" s="1" a="1"/>
  <c r="C2761" i="7" s="1"/>
  <c r="B2760" i="7"/>
  <c r="C2760" i="7" s="1" a="1"/>
  <c r="C2760" i="7" s="1"/>
  <c r="B2759" i="7"/>
  <c r="C2759" i="7" s="1" a="1"/>
  <c r="C2759" i="7" s="1"/>
  <c r="B2758" i="7"/>
  <c r="C2758" i="7" s="1" a="1"/>
  <c r="C2758" i="7" s="1"/>
  <c r="B2757" i="7"/>
  <c r="C2757" i="7" s="1" a="1"/>
  <c r="C2757" i="7" s="1"/>
  <c r="B2756" i="7"/>
  <c r="C2756" i="7" s="1" a="1"/>
  <c r="C2756" i="7" s="1"/>
  <c r="B2755" i="7"/>
  <c r="C2755" i="7" s="1" a="1"/>
  <c r="C2755" i="7" s="1"/>
  <c r="B2754" i="7"/>
  <c r="C2754" i="7" s="1" a="1"/>
  <c r="C2754" i="7" s="1"/>
  <c r="B2753" i="7"/>
  <c r="C2753" i="7" s="1" a="1"/>
  <c r="C2753" i="7" s="1"/>
  <c r="B2752" i="7"/>
  <c r="C2752" i="7" s="1" a="1"/>
  <c r="C2752" i="7" s="1"/>
  <c r="B2751" i="7"/>
  <c r="C2751" i="7" s="1" a="1"/>
  <c r="C2751" i="7" s="1"/>
  <c r="B2750" i="7"/>
  <c r="C2750" i="7" s="1" a="1"/>
  <c r="C2750" i="7" s="1"/>
  <c r="B2749" i="7"/>
  <c r="C2749" i="7" s="1" a="1"/>
  <c r="C2749" i="7" s="1"/>
  <c r="B2748" i="7"/>
  <c r="C2748" i="7" s="1" a="1"/>
  <c r="C2748" i="7" s="1"/>
  <c r="B2747" i="7"/>
  <c r="C2747" i="7" s="1" a="1"/>
  <c r="C2747" i="7" s="1"/>
  <c r="B2746" i="7"/>
  <c r="C2746" i="7" s="1" a="1"/>
  <c r="C2746" i="7" s="1"/>
  <c r="B2745" i="7"/>
  <c r="C2745" i="7" s="1" a="1"/>
  <c r="C2745" i="7" s="1"/>
  <c r="B2744" i="7"/>
  <c r="C2744" i="7" s="1" a="1"/>
  <c r="C2744" i="7" s="1"/>
  <c r="B2743" i="7"/>
  <c r="C2743" i="7" s="1" a="1"/>
  <c r="C2743" i="7" s="1"/>
  <c r="B2742" i="7"/>
  <c r="C2742" i="7" s="1" a="1"/>
  <c r="C2742" i="7" s="1"/>
  <c r="B2741" i="7"/>
  <c r="C2741" i="7" s="1" a="1"/>
  <c r="C2741" i="7" s="1"/>
  <c r="B2740" i="7"/>
  <c r="C2740" i="7" s="1" a="1"/>
  <c r="C2740" i="7" s="1"/>
  <c r="B2739" i="7"/>
  <c r="C2739" i="7" s="1" a="1"/>
  <c r="C2739" i="7" s="1"/>
  <c r="B2738" i="7"/>
  <c r="C2738" i="7" s="1" a="1"/>
  <c r="C2738" i="7" s="1"/>
  <c r="B2737" i="7"/>
  <c r="C2737" i="7" s="1" a="1"/>
  <c r="C2737" i="7" s="1"/>
  <c r="B2736" i="7"/>
  <c r="C2736" i="7" s="1" a="1"/>
  <c r="C2736" i="7" s="1"/>
  <c r="B2735" i="7"/>
  <c r="C2735" i="7" s="1" a="1"/>
  <c r="C2735" i="7" s="1"/>
  <c r="B2734" i="7"/>
  <c r="C2734" i="7" s="1" a="1"/>
  <c r="C2734" i="7" s="1"/>
  <c r="B2733" i="7"/>
  <c r="C2733" i="7" s="1" a="1"/>
  <c r="C2733" i="7" s="1"/>
  <c r="B2732" i="7"/>
  <c r="C2732" i="7" s="1" a="1"/>
  <c r="C2732" i="7" s="1"/>
  <c r="B2731" i="7"/>
  <c r="C2731" i="7" s="1" a="1"/>
  <c r="C2731" i="7" s="1"/>
  <c r="B2730" i="7"/>
  <c r="C2730" i="7" s="1" a="1"/>
  <c r="C2730" i="7" s="1"/>
  <c r="B2729" i="7"/>
  <c r="C2729" i="7" s="1" a="1"/>
  <c r="C2729" i="7" s="1"/>
  <c r="B2728" i="7"/>
  <c r="C2728" i="7" s="1" a="1"/>
  <c r="C2728" i="7" s="1"/>
  <c r="B2727" i="7"/>
  <c r="C2727" i="7" s="1" a="1"/>
  <c r="C2727" i="7" s="1"/>
  <c r="B2726" i="7"/>
  <c r="C2726" i="7" s="1" a="1"/>
  <c r="C2726" i="7" s="1"/>
  <c r="B2725" i="7"/>
  <c r="C2725" i="7" s="1" a="1"/>
  <c r="C2725" i="7" s="1"/>
  <c r="B2724" i="7"/>
  <c r="C2724" i="7" s="1" a="1"/>
  <c r="C2724" i="7" s="1"/>
  <c r="B2723" i="7"/>
  <c r="C2723" i="7" s="1" a="1"/>
  <c r="C2723" i="7" s="1"/>
  <c r="B2722" i="7"/>
  <c r="C2722" i="7" s="1" a="1"/>
  <c r="C2722" i="7" s="1"/>
  <c r="B2721" i="7"/>
  <c r="C2721" i="7" s="1" a="1"/>
  <c r="C2721" i="7" s="1"/>
  <c r="B2720" i="7"/>
  <c r="C2720" i="7" s="1" a="1"/>
  <c r="C2720" i="7" s="1"/>
  <c r="B2719" i="7"/>
  <c r="C2719" i="7" s="1" a="1"/>
  <c r="C2719" i="7" s="1"/>
  <c r="B2718" i="7"/>
  <c r="C2718" i="7" s="1" a="1"/>
  <c r="C2718" i="7" s="1"/>
  <c r="B2717" i="7"/>
  <c r="C2717" i="7" s="1" a="1"/>
  <c r="C2717" i="7" s="1"/>
  <c r="B2716" i="7"/>
  <c r="C2716" i="7" s="1" a="1"/>
  <c r="C2716" i="7" s="1"/>
  <c r="B2715" i="7"/>
  <c r="C2715" i="7" s="1" a="1"/>
  <c r="C2715" i="7" s="1"/>
  <c r="B2714" i="7"/>
  <c r="C2714" i="7" s="1" a="1"/>
  <c r="C2714" i="7" s="1"/>
  <c r="B2713" i="7"/>
  <c r="C2713" i="7" s="1" a="1"/>
  <c r="C2713" i="7" s="1"/>
  <c r="B2712" i="7"/>
  <c r="C2712" i="7" s="1" a="1"/>
  <c r="C2712" i="7" s="1"/>
  <c r="B2711" i="7"/>
  <c r="C2711" i="7" s="1" a="1"/>
  <c r="C2711" i="7" s="1"/>
  <c r="B2710" i="7"/>
  <c r="C2710" i="7" s="1" a="1"/>
  <c r="C2710" i="7" s="1"/>
  <c r="B2709" i="7"/>
  <c r="C2709" i="7" s="1" a="1"/>
  <c r="C2709" i="7" s="1"/>
  <c r="B2708" i="7"/>
  <c r="C2708" i="7" s="1" a="1"/>
  <c r="C2708" i="7" s="1"/>
  <c r="B2707" i="7"/>
  <c r="C2707" i="7" s="1" a="1"/>
  <c r="C2707" i="7" s="1"/>
  <c r="B2706" i="7"/>
  <c r="C2706" i="7" s="1" a="1"/>
  <c r="C2706" i="7" s="1"/>
  <c r="B2705" i="7"/>
  <c r="C2705" i="7" s="1" a="1"/>
  <c r="C2705" i="7" s="1"/>
  <c r="B2704" i="7"/>
  <c r="C2704" i="7" s="1" a="1"/>
  <c r="C2704" i="7" s="1"/>
  <c r="B2703" i="7"/>
  <c r="C2703" i="7" s="1" a="1"/>
  <c r="C2703" i="7" s="1"/>
  <c r="B2702" i="7"/>
  <c r="C2702" i="7" s="1" a="1"/>
  <c r="C2702" i="7" s="1"/>
  <c r="B2701" i="7"/>
  <c r="C2701" i="7" s="1" a="1"/>
  <c r="C2701" i="7" s="1"/>
  <c r="B2700" i="7"/>
  <c r="C2700" i="7" s="1" a="1"/>
  <c r="C2700" i="7" s="1"/>
  <c r="B2699" i="7"/>
  <c r="C2699" i="7" s="1" a="1"/>
  <c r="C2699" i="7" s="1"/>
  <c r="B2698" i="7"/>
  <c r="C2698" i="7" s="1" a="1"/>
  <c r="C2698" i="7" s="1"/>
  <c r="B2697" i="7"/>
  <c r="C2697" i="7" s="1" a="1"/>
  <c r="C2697" i="7" s="1"/>
  <c r="B2696" i="7"/>
  <c r="C2696" i="7" s="1" a="1"/>
  <c r="C2696" i="7" s="1"/>
  <c r="B2695" i="7"/>
  <c r="C2695" i="7" s="1" a="1"/>
  <c r="C2695" i="7" s="1"/>
  <c r="B2694" i="7"/>
  <c r="C2694" i="7" s="1" a="1"/>
  <c r="C2694" i="7" s="1"/>
  <c r="B2693" i="7"/>
  <c r="C2693" i="7" s="1" a="1"/>
  <c r="C2693" i="7" s="1"/>
  <c r="B2692" i="7"/>
  <c r="C2692" i="7" s="1" a="1"/>
  <c r="C2692" i="7" s="1"/>
  <c r="B2691" i="7"/>
  <c r="C2691" i="7" s="1" a="1"/>
  <c r="C2691" i="7" s="1"/>
  <c r="B2690" i="7"/>
  <c r="C2690" i="7" s="1" a="1"/>
  <c r="C2690" i="7" s="1"/>
  <c r="B2689" i="7"/>
  <c r="C2689" i="7" s="1" a="1"/>
  <c r="C2689" i="7" s="1"/>
  <c r="B2688" i="7"/>
  <c r="C2688" i="7" s="1" a="1"/>
  <c r="C2688" i="7" s="1"/>
  <c r="B2687" i="7"/>
  <c r="C2687" i="7" s="1" a="1"/>
  <c r="C2687" i="7" s="1"/>
  <c r="B2686" i="7"/>
  <c r="C2686" i="7" s="1" a="1"/>
  <c r="C2686" i="7" s="1"/>
  <c r="B2685" i="7"/>
  <c r="C2685" i="7" s="1" a="1"/>
  <c r="C2685" i="7" s="1"/>
  <c r="B2684" i="7"/>
  <c r="C2684" i="7" s="1" a="1"/>
  <c r="C2684" i="7" s="1"/>
  <c r="B2683" i="7"/>
  <c r="C2683" i="7" s="1" a="1"/>
  <c r="C2683" i="7" s="1"/>
  <c r="B2682" i="7"/>
  <c r="C2682" i="7" s="1" a="1"/>
  <c r="C2682" i="7" s="1"/>
  <c r="B2681" i="7"/>
  <c r="C2681" i="7" s="1" a="1"/>
  <c r="C2681" i="7" s="1"/>
  <c r="B2680" i="7"/>
  <c r="C2680" i="7" s="1" a="1"/>
  <c r="C2680" i="7" s="1"/>
  <c r="B2679" i="7"/>
  <c r="C2679" i="7" s="1" a="1"/>
  <c r="C2679" i="7" s="1"/>
  <c r="B2678" i="7"/>
  <c r="C2678" i="7" s="1" a="1"/>
  <c r="C2678" i="7" s="1"/>
  <c r="B2677" i="7"/>
  <c r="C2677" i="7" s="1" a="1"/>
  <c r="C2677" i="7" s="1"/>
  <c r="B2676" i="7"/>
  <c r="C2676" i="7" s="1" a="1"/>
  <c r="C2676" i="7" s="1"/>
  <c r="B2675" i="7"/>
  <c r="C2675" i="7" s="1" a="1"/>
  <c r="C2675" i="7" s="1"/>
  <c r="B2674" i="7"/>
  <c r="C2674" i="7" s="1" a="1"/>
  <c r="C2674" i="7" s="1"/>
  <c r="B2673" i="7"/>
  <c r="C2673" i="7" s="1" a="1"/>
  <c r="C2673" i="7" s="1"/>
  <c r="B2672" i="7"/>
  <c r="C2672" i="7" s="1" a="1"/>
  <c r="C2672" i="7" s="1"/>
  <c r="B2671" i="7"/>
  <c r="C2671" i="7" s="1" a="1"/>
  <c r="C2671" i="7" s="1"/>
  <c r="B2670" i="7"/>
  <c r="C2670" i="7" s="1" a="1"/>
  <c r="C2670" i="7" s="1"/>
  <c r="B2669" i="7"/>
  <c r="C2669" i="7" s="1" a="1"/>
  <c r="C2669" i="7" s="1"/>
  <c r="B2668" i="7"/>
  <c r="C2668" i="7" s="1" a="1"/>
  <c r="C2668" i="7" s="1"/>
  <c r="B2667" i="7"/>
  <c r="C2667" i="7" s="1" a="1"/>
  <c r="C2667" i="7" s="1"/>
  <c r="B2666" i="7"/>
  <c r="C2666" i="7" s="1" a="1"/>
  <c r="C2666" i="7" s="1"/>
  <c r="B2665" i="7"/>
  <c r="C2665" i="7" s="1" a="1"/>
  <c r="C2665" i="7" s="1"/>
  <c r="B2664" i="7"/>
  <c r="C2664" i="7" s="1" a="1"/>
  <c r="C2664" i="7" s="1"/>
  <c r="B2663" i="7"/>
  <c r="C2663" i="7" s="1" a="1"/>
  <c r="C2663" i="7" s="1"/>
  <c r="B2662" i="7"/>
  <c r="C2662" i="7" s="1" a="1"/>
  <c r="C2662" i="7" s="1"/>
  <c r="B2661" i="7"/>
  <c r="C2661" i="7" s="1" a="1"/>
  <c r="C2661" i="7" s="1"/>
  <c r="B2660" i="7"/>
  <c r="C2660" i="7" s="1" a="1"/>
  <c r="C2660" i="7" s="1"/>
  <c r="B2659" i="7"/>
  <c r="C2659" i="7" s="1" a="1"/>
  <c r="C2659" i="7" s="1"/>
  <c r="B2658" i="7"/>
  <c r="C2658" i="7" s="1" a="1"/>
  <c r="C2658" i="7" s="1"/>
  <c r="B2657" i="7"/>
  <c r="C2657" i="7" s="1" a="1"/>
  <c r="C2657" i="7" s="1"/>
  <c r="B2656" i="7"/>
  <c r="C2656" i="7" s="1" a="1"/>
  <c r="C2656" i="7" s="1"/>
  <c r="B2655" i="7"/>
  <c r="C2655" i="7" s="1" a="1"/>
  <c r="C2655" i="7" s="1"/>
  <c r="B2654" i="7"/>
  <c r="C2654" i="7" s="1" a="1"/>
  <c r="C2654" i="7" s="1"/>
  <c r="B2653" i="7"/>
  <c r="C2653" i="7" s="1" a="1"/>
  <c r="C2653" i="7" s="1"/>
  <c r="B2652" i="7"/>
  <c r="C2652" i="7" s="1" a="1"/>
  <c r="C2652" i="7" s="1"/>
  <c r="B2651" i="7"/>
  <c r="C2651" i="7" s="1" a="1"/>
  <c r="C2651" i="7" s="1"/>
  <c r="B2650" i="7"/>
  <c r="C2650" i="7" s="1" a="1"/>
  <c r="C2650" i="7" s="1"/>
  <c r="B2649" i="7"/>
  <c r="C2649" i="7" s="1" a="1"/>
  <c r="C2649" i="7" s="1"/>
  <c r="B2648" i="7"/>
  <c r="C2648" i="7" s="1" a="1"/>
  <c r="C2648" i="7" s="1"/>
  <c r="B2647" i="7"/>
  <c r="C2647" i="7" s="1" a="1"/>
  <c r="C2647" i="7" s="1"/>
  <c r="B2646" i="7"/>
  <c r="C2646" i="7" s="1" a="1"/>
  <c r="C2646" i="7" s="1"/>
  <c r="B2645" i="7"/>
  <c r="C2645" i="7" s="1" a="1"/>
  <c r="C2645" i="7" s="1"/>
  <c r="B2644" i="7"/>
  <c r="C2644" i="7" s="1" a="1"/>
  <c r="C2644" i="7" s="1"/>
  <c r="B2643" i="7"/>
  <c r="C2643" i="7" s="1" a="1"/>
  <c r="C2643" i="7" s="1"/>
  <c r="B2642" i="7"/>
  <c r="C2642" i="7" s="1" a="1"/>
  <c r="C2642" i="7" s="1"/>
  <c r="B2641" i="7"/>
  <c r="C2641" i="7" s="1" a="1"/>
  <c r="C2641" i="7" s="1"/>
  <c r="B2640" i="7"/>
  <c r="C2640" i="7" s="1" a="1"/>
  <c r="C2640" i="7" s="1"/>
  <c r="B2639" i="7"/>
  <c r="C2639" i="7" s="1" a="1"/>
  <c r="C2639" i="7" s="1"/>
  <c r="B2638" i="7"/>
  <c r="C2638" i="7" s="1" a="1"/>
  <c r="C2638" i="7" s="1"/>
  <c r="B2637" i="7"/>
  <c r="C2637" i="7" s="1" a="1"/>
  <c r="C2637" i="7" s="1"/>
  <c r="B2636" i="7"/>
  <c r="C2636" i="7" s="1" a="1"/>
  <c r="C2636" i="7" s="1"/>
  <c r="B2635" i="7"/>
  <c r="C2635" i="7" s="1" a="1"/>
  <c r="C2635" i="7" s="1"/>
  <c r="B2634" i="7"/>
  <c r="C2634" i="7" s="1" a="1"/>
  <c r="C2634" i="7" s="1"/>
  <c r="B2633" i="7"/>
  <c r="C2633" i="7" s="1" a="1"/>
  <c r="C2633" i="7" s="1"/>
  <c r="B2632" i="7"/>
  <c r="C2632" i="7" s="1" a="1"/>
  <c r="C2632" i="7" s="1"/>
  <c r="B2631" i="7"/>
  <c r="C2631" i="7" s="1" a="1"/>
  <c r="C2631" i="7" s="1"/>
  <c r="B2630" i="7"/>
  <c r="C2630" i="7" s="1" a="1"/>
  <c r="C2630" i="7" s="1"/>
  <c r="B2629" i="7"/>
  <c r="C2629" i="7" s="1" a="1"/>
  <c r="C2629" i="7" s="1"/>
  <c r="B2628" i="7"/>
  <c r="C2628" i="7" s="1" a="1"/>
  <c r="C2628" i="7" s="1"/>
  <c r="B2627" i="7"/>
  <c r="C2627" i="7" s="1" a="1"/>
  <c r="C2627" i="7" s="1"/>
  <c r="B2626" i="7"/>
  <c r="C2626" i="7" s="1" a="1"/>
  <c r="C2626" i="7" s="1"/>
  <c r="B2625" i="7"/>
  <c r="C2625" i="7" s="1" a="1"/>
  <c r="C2625" i="7" s="1"/>
  <c r="B2624" i="7"/>
  <c r="C2624" i="7" s="1" a="1"/>
  <c r="C2624" i="7" s="1"/>
  <c r="B2623" i="7"/>
  <c r="C2623" i="7" s="1" a="1"/>
  <c r="C2623" i="7" s="1"/>
  <c r="B2622" i="7"/>
  <c r="C2622" i="7" s="1" a="1"/>
  <c r="C2622" i="7" s="1"/>
  <c r="B2621" i="7"/>
  <c r="C2621" i="7" s="1" a="1"/>
  <c r="C2621" i="7" s="1"/>
  <c r="B2620" i="7"/>
  <c r="C2620" i="7" s="1" a="1"/>
  <c r="C2620" i="7" s="1"/>
  <c r="B2619" i="7"/>
  <c r="C2619" i="7" s="1" a="1"/>
  <c r="C2619" i="7" s="1"/>
  <c r="B2618" i="7"/>
  <c r="C2618" i="7" s="1" a="1"/>
  <c r="C2618" i="7" s="1"/>
  <c r="B2617" i="7"/>
  <c r="C2617" i="7" s="1" a="1"/>
  <c r="C2617" i="7" s="1"/>
  <c r="B2616" i="7"/>
  <c r="C2616" i="7" s="1" a="1"/>
  <c r="C2616" i="7" s="1"/>
  <c r="B2615" i="7"/>
  <c r="C2615" i="7" s="1" a="1"/>
  <c r="C2615" i="7" s="1"/>
  <c r="B2614" i="7"/>
  <c r="C2614" i="7" s="1" a="1"/>
  <c r="C2614" i="7" s="1"/>
  <c r="B2613" i="7"/>
  <c r="C2613" i="7" s="1" a="1"/>
  <c r="C2613" i="7" s="1"/>
  <c r="B2612" i="7"/>
  <c r="C2612" i="7" s="1" a="1"/>
  <c r="C2612" i="7" s="1"/>
  <c r="B2611" i="7"/>
  <c r="C2611" i="7" s="1" a="1"/>
  <c r="C2611" i="7" s="1"/>
  <c r="B2610" i="7"/>
  <c r="C2610" i="7" s="1" a="1"/>
  <c r="C2610" i="7" s="1"/>
  <c r="B2609" i="7"/>
  <c r="C2609" i="7" s="1" a="1"/>
  <c r="C2609" i="7" s="1"/>
  <c r="B2608" i="7"/>
  <c r="C2608" i="7" s="1" a="1"/>
  <c r="C2608" i="7" s="1"/>
  <c r="B2607" i="7"/>
  <c r="C2607" i="7" s="1" a="1"/>
  <c r="C2607" i="7" s="1"/>
  <c r="B2606" i="7"/>
  <c r="C2606" i="7" s="1" a="1"/>
  <c r="C2606" i="7" s="1"/>
  <c r="B2605" i="7"/>
  <c r="C2605" i="7" s="1" a="1"/>
  <c r="C2605" i="7" s="1"/>
  <c r="B2604" i="7"/>
  <c r="C2604" i="7" s="1" a="1"/>
  <c r="C2604" i="7" s="1"/>
  <c r="B2603" i="7"/>
  <c r="C2603" i="7" s="1" a="1"/>
  <c r="C2603" i="7" s="1"/>
  <c r="B2602" i="7"/>
  <c r="C2602" i="7" s="1" a="1"/>
  <c r="C2602" i="7" s="1"/>
  <c r="B2601" i="7"/>
  <c r="C2601" i="7" s="1" a="1"/>
  <c r="C2601" i="7" s="1"/>
  <c r="B2600" i="7"/>
  <c r="C2600" i="7" s="1" a="1"/>
  <c r="C2600" i="7" s="1"/>
  <c r="B2599" i="7"/>
  <c r="C2599" i="7" s="1" a="1"/>
  <c r="C2599" i="7" s="1"/>
  <c r="B2598" i="7"/>
  <c r="C2598" i="7" s="1" a="1"/>
  <c r="C2598" i="7" s="1"/>
  <c r="B2597" i="7"/>
  <c r="C2597" i="7" s="1" a="1"/>
  <c r="C2597" i="7" s="1"/>
  <c r="B2596" i="7"/>
  <c r="C2596" i="7" s="1" a="1"/>
  <c r="C2596" i="7" s="1"/>
  <c r="B2595" i="7"/>
  <c r="C2595" i="7" s="1" a="1"/>
  <c r="C2595" i="7" s="1"/>
  <c r="B2594" i="7"/>
  <c r="C2594" i="7" s="1" a="1"/>
  <c r="C2594" i="7" s="1"/>
  <c r="B2593" i="7"/>
  <c r="C2593" i="7" s="1" a="1"/>
  <c r="C2593" i="7" s="1"/>
  <c r="B2592" i="7"/>
  <c r="C2592" i="7" s="1" a="1"/>
  <c r="C2592" i="7" s="1"/>
  <c r="B2591" i="7"/>
  <c r="C2591" i="7" s="1" a="1"/>
  <c r="C2591" i="7" s="1"/>
  <c r="B2590" i="7"/>
  <c r="C2590" i="7" s="1" a="1"/>
  <c r="C2590" i="7" s="1"/>
  <c r="B2589" i="7"/>
  <c r="C2589" i="7" s="1" a="1"/>
  <c r="C2589" i="7" s="1"/>
  <c r="B2588" i="7"/>
  <c r="C2588" i="7" s="1" a="1"/>
  <c r="C2588" i="7" s="1"/>
  <c r="B2587" i="7"/>
  <c r="C2587" i="7" s="1" a="1"/>
  <c r="C2587" i="7" s="1"/>
  <c r="B2586" i="7"/>
  <c r="C2586" i="7" s="1" a="1"/>
  <c r="C2586" i="7" s="1"/>
  <c r="B2585" i="7"/>
  <c r="C2585" i="7" s="1" a="1"/>
  <c r="C2585" i="7" s="1"/>
  <c r="B2584" i="7"/>
  <c r="C2584" i="7" s="1" a="1"/>
  <c r="C2584" i="7" s="1"/>
  <c r="B2583" i="7"/>
  <c r="C2583" i="7" s="1" a="1"/>
  <c r="C2583" i="7" s="1"/>
  <c r="B2582" i="7"/>
  <c r="C2582" i="7" s="1" a="1"/>
  <c r="C2582" i="7" s="1"/>
  <c r="B2581" i="7"/>
  <c r="C2581" i="7" s="1" a="1"/>
  <c r="C2581" i="7" s="1"/>
  <c r="B2580" i="7"/>
  <c r="C2580" i="7" s="1" a="1"/>
  <c r="C2580" i="7" s="1"/>
  <c r="B2579" i="7"/>
  <c r="C2579" i="7" s="1" a="1"/>
  <c r="C2579" i="7" s="1"/>
  <c r="B2578" i="7"/>
  <c r="C2578" i="7" s="1" a="1"/>
  <c r="C2578" i="7" s="1"/>
  <c r="B2577" i="7"/>
  <c r="C2577" i="7" s="1" a="1"/>
  <c r="C2577" i="7" s="1"/>
  <c r="B2576" i="7"/>
  <c r="C2576" i="7" s="1" a="1"/>
  <c r="C2576" i="7" s="1"/>
  <c r="B2575" i="7"/>
  <c r="C2575" i="7" s="1" a="1"/>
  <c r="C2575" i="7" s="1"/>
  <c r="B2574" i="7"/>
  <c r="C2574" i="7" s="1" a="1"/>
  <c r="C2574" i="7" s="1"/>
  <c r="B2573" i="7"/>
  <c r="C2573" i="7" s="1" a="1"/>
  <c r="C2573" i="7" s="1"/>
  <c r="B2572" i="7"/>
  <c r="C2572" i="7" s="1" a="1"/>
  <c r="C2572" i="7" s="1"/>
  <c r="B2571" i="7"/>
  <c r="C2571" i="7" s="1" a="1"/>
  <c r="C2571" i="7" s="1"/>
  <c r="B2570" i="7"/>
  <c r="C2570" i="7" s="1" a="1"/>
  <c r="C2570" i="7" s="1"/>
  <c r="B2569" i="7"/>
  <c r="C2569" i="7" s="1" a="1"/>
  <c r="C2569" i="7" s="1"/>
  <c r="B2568" i="7"/>
  <c r="C2568" i="7" s="1" a="1"/>
  <c r="C2568" i="7" s="1"/>
  <c r="B2567" i="7"/>
  <c r="C2567" i="7" s="1" a="1"/>
  <c r="C2567" i="7" s="1"/>
  <c r="B2566" i="7"/>
  <c r="C2566" i="7" s="1" a="1"/>
  <c r="C2566" i="7" s="1"/>
  <c r="B2565" i="7"/>
  <c r="C2565" i="7" s="1" a="1"/>
  <c r="C2565" i="7" s="1"/>
  <c r="B2564" i="7"/>
  <c r="C2564" i="7" s="1" a="1"/>
  <c r="C2564" i="7" s="1"/>
  <c r="B2563" i="7"/>
  <c r="C2563" i="7" s="1" a="1"/>
  <c r="C2563" i="7" s="1"/>
  <c r="B2562" i="7"/>
  <c r="C2562" i="7" s="1" a="1"/>
  <c r="C2562" i="7" s="1"/>
  <c r="B2561" i="7"/>
  <c r="C2561" i="7" s="1" a="1"/>
  <c r="C2561" i="7" s="1"/>
  <c r="B2560" i="7"/>
  <c r="C2560" i="7" s="1" a="1"/>
  <c r="C2560" i="7" s="1"/>
  <c r="B2559" i="7"/>
  <c r="C2559" i="7" s="1" a="1"/>
  <c r="C2559" i="7" s="1"/>
  <c r="B2558" i="7"/>
  <c r="C2558" i="7" s="1" a="1"/>
  <c r="C2558" i="7" s="1"/>
  <c r="B2557" i="7"/>
  <c r="C2557" i="7" s="1" a="1"/>
  <c r="C2557" i="7" s="1"/>
  <c r="B2556" i="7"/>
  <c r="C2556" i="7" s="1" a="1"/>
  <c r="C2556" i="7" s="1"/>
  <c r="B2555" i="7"/>
  <c r="C2555" i="7" s="1" a="1"/>
  <c r="C2555" i="7" s="1"/>
  <c r="B2554" i="7"/>
  <c r="C2554" i="7" s="1" a="1"/>
  <c r="C2554" i="7" s="1"/>
  <c r="B2553" i="7"/>
  <c r="C2553" i="7" s="1" a="1"/>
  <c r="C2553" i="7" s="1"/>
  <c r="B2552" i="7"/>
  <c r="C2552" i="7" s="1" a="1"/>
  <c r="C2552" i="7" s="1"/>
  <c r="B2551" i="7"/>
  <c r="C2551" i="7" s="1" a="1"/>
  <c r="C2551" i="7" s="1"/>
  <c r="B2550" i="7"/>
  <c r="C2550" i="7" s="1" a="1"/>
  <c r="C2550" i="7" s="1"/>
  <c r="B2549" i="7"/>
  <c r="C2549" i="7" s="1" a="1"/>
  <c r="C2549" i="7" s="1"/>
  <c r="B2548" i="7"/>
  <c r="C2548" i="7" s="1" a="1"/>
  <c r="C2548" i="7" s="1"/>
  <c r="B2547" i="7"/>
  <c r="C2547" i="7" s="1" a="1"/>
  <c r="C2547" i="7" s="1"/>
  <c r="B2546" i="7"/>
  <c r="C2546" i="7" s="1" a="1"/>
  <c r="C2546" i="7" s="1"/>
  <c r="B2545" i="7"/>
  <c r="C2545" i="7" s="1" a="1"/>
  <c r="C2545" i="7" s="1"/>
  <c r="B2544" i="7"/>
  <c r="C2544" i="7" s="1" a="1"/>
  <c r="C2544" i="7" s="1"/>
  <c r="B2543" i="7"/>
  <c r="C2543" i="7" s="1" a="1"/>
  <c r="C2543" i="7" s="1"/>
  <c r="B2542" i="7"/>
  <c r="C2542" i="7" s="1" a="1"/>
  <c r="C2542" i="7" s="1"/>
  <c r="B2541" i="7"/>
  <c r="C2541" i="7" s="1" a="1"/>
  <c r="C2541" i="7" s="1"/>
  <c r="B2540" i="7"/>
  <c r="C2540" i="7" s="1" a="1"/>
  <c r="C2540" i="7" s="1"/>
  <c r="B2539" i="7"/>
  <c r="C2539" i="7" s="1" a="1"/>
  <c r="C2539" i="7" s="1"/>
  <c r="B2538" i="7"/>
  <c r="C2538" i="7" s="1" a="1"/>
  <c r="C2538" i="7" s="1"/>
  <c r="B2537" i="7"/>
  <c r="C2537" i="7" s="1" a="1"/>
  <c r="C2537" i="7" s="1"/>
  <c r="B2536" i="7"/>
  <c r="C2536" i="7" s="1" a="1"/>
  <c r="C2536" i="7" s="1"/>
  <c r="B2535" i="7"/>
  <c r="C2535" i="7" s="1" a="1"/>
  <c r="C2535" i="7" s="1"/>
  <c r="B2534" i="7"/>
  <c r="C2534" i="7" s="1" a="1"/>
  <c r="C2534" i="7" s="1"/>
  <c r="B2533" i="7"/>
  <c r="C2533" i="7" s="1" a="1"/>
  <c r="C2533" i="7" s="1"/>
  <c r="B2532" i="7"/>
  <c r="C2532" i="7" s="1" a="1"/>
  <c r="C2532" i="7" s="1"/>
  <c r="B2531" i="7"/>
  <c r="C2531" i="7" s="1" a="1"/>
  <c r="C2531" i="7" s="1"/>
  <c r="B2530" i="7"/>
  <c r="C2530" i="7" s="1" a="1"/>
  <c r="C2530" i="7" s="1"/>
  <c r="B2529" i="7"/>
  <c r="C2529" i="7" s="1" a="1"/>
  <c r="C2529" i="7" s="1"/>
  <c r="B2528" i="7"/>
  <c r="C2528" i="7" s="1" a="1"/>
  <c r="C2528" i="7" s="1"/>
  <c r="B2527" i="7"/>
  <c r="C2527" i="7" s="1" a="1"/>
  <c r="C2527" i="7" s="1"/>
  <c r="B2526" i="7"/>
  <c r="C2526" i="7" s="1" a="1"/>
  <c r="C2526" i="7" s="1"/>
  <c r="B2525" i="7"/>
  <c r="C2525" i="7" s="1" a="1"/>
  <c r="C2525" i="7" s="1"/>
  <c r="B2524" i="7"/>
  <c r="C2524" i="7" s="1" a="1"/>
  <c r="C2524" i="7" s="1"/>
  <c r="B2523" i="7"/>
  <c r="C2523" i="7" s="1" a="1"/>
  <c r="C2523" i="7" s="1"/>
  <c r="B2522" i="7"/>
  <c r="C2522" i="7" s="1" a="1"/>
  <c r="C2522" i="7" s="1"/>
  <c r="B2521" i="7"/>
  <c r="C2521" i="7" s="1" a="1"/>
  <c r="C2521" i="7" s="1"/>
  <c r="B2520" i="7"/>
  <c r="C2520" i="7" s="1" a="1"/>
  <c r="C2520" i="7" s="1"/>
  <c r="B2519" i="7"/>
  <c r="C2519" i="7" s="1" a="1"/>
  <c r="C2519" i="7" s="1"/>
  <c r="B2518" i="7"/>
  <c r="C2518" i="7" s="1" a="1"/>
  <c r="C2518" i="7" s="1"/>
  <c r="B2517" i="7"/>
  <c r="C2517" i="7" s="1" a="1"/>
  <c r="C2517" i="7" s="1"/>
  <c r="B2516" i="7"/>
  <c r="C2516" i="7" s="1" a="1"/>
  <c r="C2516" i="7" s="1"/>
  <c r="B2515" i="7"/>
  <c r="C2515" i="7" s="1" a="1"/>
  <c r="C2515" i="7" s="1"/>
  <c r="B2514" i="7"/>
  <c r="C2514" i="7" s="1" a="1"/>
  <c r="C2514" i="7" s="1"/>
  <c r="B2513" i="7"/>
  <c r="C2513" i="7" s="1" a="1"/>
  <c r="C2513" i="7" s="1"/>
  <c r="B2512" i="7"/>
  <c r="C2512" i="7" s="1" a="1"/>
  <c r="C2512" i="7" s="1"/>
  <c r="B2511" i="7"/>
  <c r="C2511" i="7" s="1" a="1"/>
  <c r="C2511" i="7" s="1"/>
  <c r="B2510" i="7"/>
  <c r="C2510" i="7" s="1" a="1"/>
  <c r="C2510" i="7" s="1"/>
  <c r="B2509" i="7"/>
  <c r="C2509" i="7" s="1" a="1"/>
  <c r="C2509" i="7" s="1"/>
  <c r="B2508" i="7"/>
  <c r="C2508" i="7" s="1" a="1"/>
  <c r="C2508" i="7" s="1"/>
  <c r="B2507" i="7"/>
  <c r="C2507" i="7" s="1" a="1"/>
  <c r="C2507" i="7" s="1"/>
  <c r="B2506" i="7"/>
  <c r="C2506" i="7" s="1" a="1"/>
  <c r="C2506" i="7" s="1"/>
  <c r="B2505" i="7"/>
  <c r="C2505" i="7" s="1" a="1"/>
  <c r="C2505" i="7" s="1"/>
  <c r="B2504" i="7"/>
  <c r="C2504" i="7" s="1" a="1"/>
  <c r="C2504" i="7" s="1"/>
  <c r="B2503" i="7"/>
  <c r="C2503" i="7" s="1" a="1"/>
  <c r="C2503" i="7" s="1"/>
  <c r="B2502" i="7"/>
  <c r="C2502" i="7" s="1" a="1"/>
  <c r="C2502" i="7" s="1"/>
  <c r="B2501" i="7"/>
  <c r="C2501" i="7" s="1" a="1"/>
  <c r="C2501" i="7" s="1"/>
  <c r="B2500" i="7"/>
  <c r="C2500" i="7" s="1" a="1"/>
  <c r="C2500" i="7" s="1"/>
  <c r="B2499" i="7"/>
  <c r="C2499" i="7" s="1" a="1"/>
  <c r="C2499" i="7" s="1"/>
  <c r="B2498" i="7"/>
  <c r="C2498" i="7" s="1" a="1"/>
  <c r="C2498" i="7" s="1"/>
  <c r="B2497" i="7"/>
  <c r="C2497" i="7" s="1" a="1"/>
  <c r="C2497" i="7" s="1"/>
  <c r="B2496" i="7"/>
  <c r="C2496" i="7" s="1" a="1"/>
  <c r="C2496" i="7" s="1"/>
  <c r="B2495" i="7"/>
  <c r="C2495" i="7" s="1" a="1"/>
  <c r="C2495" i="7" s="1"/>
  <c r="B2494" i="7"/>
  <c r="C2494" i="7" s="1" a="1"/>
  <c r="C2494" i="7" s="1"/>
  <c r="B2493" i="7"/>
  <c r="C2493" i="7" s="1" a="1"/>
  <c r="C2493" i="7" s="1"/>
  <c r="B2492" i="7"/>
  <c r="C2492" i="7" s="1" a="1"/>
  <c r="C2492" i="7" s="1"/>
  <c r="B2491" i="7"/>
  <c r="C2491" i="7" s="1" a="1"/>
  <c r="C2491" i="7" s="1"/>
  <c r="B2490" i="7"/>
  <c r="C2490" i="7" s="1" a="1"/>
  <c r="C2490" i="7" s="1"/>
  <c r="B2489" i="7"/>
  <c r="C2489" i="7" s="1" a="1"/>
  <c r="C2489" i="7" s="1"/>
  <c r="B2488" i="7"/>
  <c r="C2488" i="7" s="1" a="1"/>
  <c r="C2488" i="7" s="1"/>
  <c r="B2487" i="7"/>
  <c r="C2487" i="7" s="1" a="1"/>
  <c r="C2487" i="7" s="1"/>
  <c r="B2486" i="7"/>
  <c r="C2486" i="7" s="1" a="1"/>
  <c r="C2486" i="7" s="1"/>
  <c r="B2485" i="7"/>
  <c r="C2485" i="7" s="1" a="1"/>
  <c r="C2485" i="7" s="1"/>
  <c r="B2484" i="7"/>
  <c r="C2484" i="7" s="1" a="1"/>
  <c r="C2484" i="7" s="1"/>
  <c r="B2483" i="7"/>
  <c r="C2483" i="7" s="1" a="1"/>
  <c r="C2483" i="7" s="1"/>
  <c r="B2482" i="7"/>
  <c r="C2482" i="7" s="1" a="1"/>
  <c r="C2482" i="7" s="1"/>
  <c r="B2481" i="7"/>
  <c r="C2481" i="7" s="1" a="1"/>
  <c r="C2481" i="7" s="1"/>
  <c r="B2480" i="7"/>
  <c r="C2480" i="7" s="1" a="1"/>
  <c r="C2480" i="7" s="1"/>
  <c r="B2479" i="7"/>
  <c r="C2479" i="7" s="1" a="1"/>
  <c r="C2479" i="7" s="1"/>
  <c r="B2478" i="7"/>
  <c r="C2478" i="7" s="1" a="1"/>
  <c r="C2478" i="7" s="1"/>
  <c r="B2477" i="7"/>
  <c r="C2477" i="7" s="1" a="1"/>
  <c r="C2477" i="7" s="1"/>
  <c r="B2476" i="7"/>
  <c r="C2476" i="7" s="1" a="1"/>
  <c r="C2476" i="7" s="1"/>
  <c r="B2475" i="7"/>
  <c r="C2475" i="7" s="1" a="1"/>
  <c r="C2475" i="7" s="1"/>
  <c r="B2474" i="7"/>
  <c r="C2474" i="7" s="1" a="1"/>
  <c r="C2474" i="7" s="1"/>
  <c r="B2473" i="7"/>
  <c r="C2473" i="7" s="1" a="1"/>
  <c r="C2473" i="7" s="1"/>
  <c r="B2472" i="7"/>
  <c r="C2472" i="7" s="1" a="1"/>
  <c r="C2472" i="7" s="1"/>
  <c r="B2471" i="7"/>
  <c r="C2471" i="7" s="1" a="1"/>
  <c r="C2471" i="7" s="1"/>
  <c r="B2470" i="7"/>
  <c r="C2470" i="7" s="1" a="1"/>
  <c r="C2470" i="7" s="1"/>
  <c r="B2469" i="7"/>
  <c r="C2469" i="7" s="1" a="1"/>
  <c r="C2469" i="7" s="1"/>
  <c r="B2468" i="7"/>
  <c r="C2468" i="7" s="1" a="1"/>
  <c r="C2468" i="7" s="1"/>
  <c r="B2467" i="7"/>
  <c r="C2467" i="7" s="1" a="1"/>
  <c r="C2467" i="7" s="1"/>
  <c r="B2466" i="7"/>
  <c r="C2466" i="7" s="1" a="1"/>
  <c r="C2466" i="7" s="1"/>
  <c r="B2465" i="7"/>
  <c r="C2465" i="7" s="1" a="1"/>
  <c r="C2465" i="7" s="1"/>
  <c r="B2464" i="7"/>
  <c r="C2464" i="7" s="1" a="1"/>
  <c r="C2464" i="7" s="1"/>
  <c r="B2463" i="7"/>
  <c r="C2463" i="7" s="1" a="1"/>
  <c r="C2463" i="7" s="1"/>
  <c r="B2462" i="7"/>
  <c r="C2462" i="7" s="1" a="1"/>
  <c r="C2462" i="7" s="1"/>
  <c r="B2461" i="7"/>
  <c r="C2461" i="7" s="1" a="1"/>
  <c r="C2461" i="7" s="1"/>
  <c r="B2460" i="7"/>
  <c r="C2460" i="7" s="1" a="1"/>
  <c r="C2460" i="7" s="1"/>
  <c r="B2459" i="7"/>
  <c r="C2459" i="7" s="1" a="1"/>
  <c r="C2459" i="7" s="1"/>
  <c r="B2458" i="7"/>
  <c r="C2458" i="7" s="1" a="1"/>
  <c r="C2458" i="7" s="1"/>
  <c r="B2457" i="7"/>
  <c r="C2457" i="7" s="1" a="1"/>
  <c r="C2457" i="7" s="1"/>
  <c r="B2456" i="7"/>
  <c r="C2456" i="7" s="1" a="1"/>
  <c r="C2456" i="7" s="1"/>
  <c r="B2455" i="7"/>
  <c r="C2455" i="7" s="1" a="1"/>
  <c r="C2455" i="7" s="1"/>
  <c r="B2454" i="7"/>
  <c r="C2454" i="7" s="1" a="1"/>
  <c r="C2454" i="7" s="1"/>
  <c r="B2453" i="7"/>
  <c r="C2453" i="7" s="1" a="1"/>
  <c r="C2453" i="7" s="1"/>
  <c r="B2452" i="7"/>
  <c r="C2452" i="7" s="1" a="1"/>
  <c r="C2452" i="7" s="1"/>
  <c r="B2451" i="7"/>
  <c r="C2451" i="7" s="1" a="1"/>
  <c r="C2451" i="7" s="1"/>
  <c r="B2450" i="7"/>
  <c r="C2450" i="7" s="1" a="1"/>
  <c r="C2450" i="7" s="1"/>
  <c r="B2449" i="7"/>
  <c r="C2449" i="7" s="1" a="1"/>
  <c r="C2449" i="7" s="1"/>
  <c r="B2448" i="7"/>
  <c r="C2448" i="7" s="1" a="1"/>
  <c r="C2448" i="7" s="1"/>
  <c r="B2447" i="7"/>
  <c r="C2447" i="7" s="1" a="1"/>
  <c r="C2447" i="7" s="1"/>
  <c r="B2446" i="7"/>
  <c r="C2446" i="7" s="1" a="1"/>
  <c r="C2446" i="7" s="1"/>
  <c r="B2445" i="7"/>
  <c r="C2445" i="7" s="1" a="1"/>
  <c r="C2445" i="7" s="1"/>
  <c r="B2444" i="7"/>
  <c r="C2444" i="7" s="1" a="1"/>
  <c r="C2444" i="7" s="1"/>
  <c r="B2443" i="7"/>
  <c r="C2443" i="7" s="1" a="1"/>
  <c r="C2443" i="7" s="1"/>
  <c r="B2442" i="7"/>
  <c r="C2442" i="7" s="1" a="1"/>
  <c r="C2442" i="7" s="1"/>
  <c r="B2441" i="7"/>
  <c r="C2441" i="7" s="1" a="1"/>
  <c r="C2441" i="7" s="1"/>
  <c r="B2440" i="7"/>
  <c r="C2440" i="7" s="1" a="1"/>
  <c r="C2440" i="7" s="1"/>
  <c r="B2439" i="7"/>
  <c r="C2439" i="7" s="1" a="1"/>
  <c r="C2439" i="7" s="1"/>
  <c r="B2438" i="7"/>
  <c r="C2438" i="7" s="1" a="1"/>
  <c r="C2438" i="7" s="1"/>
  <c r="B2437" i="7"/>
  <c r="C2437" i="7" s="1" a="1"/>
  <c r="C2437" i="7" s="1"/>
  <c r="B2436" i="7"/>
  <c r="C2436" i="7" s="1" a="1"/>
  <c r="C2436" i="7" s="1"/>
  <c r="B2435" i="7"/>
  <c r="C2435" i="7" s="1" a="1"/>
  <c r="C2435" i="7" s="1"/>
  <c r="B2434" i="7"/>
  <c r="C2434" i="7" s="1" a="1"/>
  <c r="C2434" i="7" s="1"/>
  <c r="B2433" i="7"/>
  <c r="C2433" i="7" s="1" a="1"/>
  <c r="C2433" i="7" s="1"/>
  <c r="B2432" i="7"/>
  <c r="C2432" i="7" s="1" a="1"/>
  <c r="C2432" i="7" s="1"/>
  <c r="B2431" i="7"/>
  <c r="C2431" i="7" s="1" a="1"/>
  <c r="C2431" i="7" s="1"/>
  <c r="B2430" i="7"/>
  <c r="C2430" i="7" s="1" a="1"/>
  <c r="C2430" i="7" s="1"/>
  <c r="B2429" i="7"/>
  <c r="C2429" i="7" s="1" a="1"/>
  <c r="C2429" i="7" s="1"/>
  <c r="B2428" i="7"/>
  <c r="C2428" i="7" s="1" a="1"/>
  <c r="C2428" i="7" s="1"/>
  <c r="B2427" i="7"/>
  <c r="C2427" i="7" s="1" a="1"/>
  <c r="C2427" i="7" s="1"/>
  <c r="B2426" i="7"/>
  <c r="C2426" i="7" s="1" a="1"/>
  <c r="C2426" i="7" s="1"/>
  <c r="B2425" i="7"/>
  <c r="C2425" i="7" s="1" a="1"/>
  <c r="C2425" i="7" s="1"/>
  <c r="B2424" i="7"/>
  <c r="C2424" i="7" s="1" a="1"/>
  <c r="C2424" i="7" s="1"/>
  <c r="B2423" i="7"/>
  <c r="C2423" i="7" s="1" a="1"/>
  <c r="C2423" i="7" s="1"/>
  <c r="B2422" i="7"/>
  <c r="C2422" i="7" s="1" a="1"/>
  <c r="C2422" i="7" s="1"/>
  <c r="B2421" i="7"/>
  <c r="C2421" i="7" s="1" a="1"/>
  <c r="C2421" i="7" s="1"/>
  <c r="B2420" i="7"/>
  <c r="C2420" i="7" s="1" a="1"/>
  <c r="C2420" i="7" s="1"/>
  <c r="B2419" i="7"/>
  <c r="C2419" i="7" s="1" a="1"/>
  <c r="C2419" i="7" s="1"/>
  <c r="B2418" i="7"/>
  <c r="C2418" i="7" s="1" a="1"/>
  <c r="C2418" i="7" s="1"/>
  <c r="B2417" i="7"/>
  <c r="C2417" i="7" s="1" a="1"/>
  <c r="C2417" i="7" s="1"/>
  <c r="B2416" i="7"/>
  <c r="C2416" i="7" s="1" a="1"/>
  <c r="C2416" i="7" s="1"/>
  <c r="B2415" i="7"/>
  <c r="C2415" i="7" s="1" a="1"/>
  <c r="C2415" i="7" s="1"/>
  <c r="B2414" i="7"/>
  <c r="C2414" i="7" s="1" a="1"/>
  <c r="C2414" i="7" s="1"/>
  <c r="B2413" i="7"/>
  <c r="C2413" i="7" s="1" a="1"/>
  <c r="C2413" i="7" s="1"/>
  <c r="B2412" i="7"/>
  <c r="C2412" i="7" s="1" a="1"/>
  <c r="C2412" i="7" s="1"/>
  <c r="B2411" i="7"/>
  <c r="C2411" i="7" s="1" a="1"/>
  <c r="C2411" i="7" s="1"/>
  <c r="B2410" i="7"/>
  <c r="C2410" i="7" s="1" a="1"/>
  <c r="C2410" i="7" s="1"/>
  <c r="B2409" i="7"/>
  <c r="C2409" i="7" s="1" a="1"/>
  <c r="C2409" i="7" s="1"/>
  <c r="B2408" i="7"/>
  <c r="C2408" i="7" s="1" a="1"/>
  <c r="C2408" i="7" s="1"/>
  <c r="B2407" i="7"/>
  <c r="C2407" i="7" s="1" a="1"/>
  <c r="C2407" i="7" s="1"/>
  <c r="B2406" i="7"/>
  <c r="C2406" i="7" s="1" a="1"/>
  <c r="C2406" i="7" s="1"/>
  <c r="B2405" i="7"/>
  <c r="C2405" i="7" s="1" a="1"/>
  <c r="C2405" i="7" s="1"/>
  <c r="B2404" i="7"/>
  <c r="C2404" i="7" s="1" a="1"/>
  <c r="C2404" i="7" s="1"/>
  <c r="B2403" i="7"/>
  <c r="C2403" i="7" s="1" a="1"/>
  <c r="C2403" i="7" s="1"/>
  <c r="B2402" i="7"/>
  <c r="C2402" i="7" s="1" a="1"/>
  <c r="C2402" i="7" s="1"/>
  <c r="B2401" i="7"/>
  <c r="C2401" i="7" s="1" a="1"/>
  <c r="C2401" i="7" s="1"/>
  <c r="B2400" i="7"/>
  <c r="C2400" i="7" s="1" a="1"/>
  <c r="C2400" i="7" s="1"/>
  <c r="B2399" i="7"/>
  <c r="C2399" i="7" s="1" a="1"/>
  <c r="C2399" i="7" s="1"/>
  <c r="B2398" i="7"/>
  <c r="C2398" i="7" s="1" a="1"/>
  <c r="C2398" i="7" s="1"/>
  <c r="B2397" i="7"/>
  <c r="C2397" i="7" s="1" a="1"/>
  <c r="C2397" i="7" s="1"/>
  <c r="B2396" i="7"/>
  <c r="C2396" i="7" s="1" a="1"/>
  <c r="C2396" i="7" s="1"/>
  <c r="B2395" i="7"/>
  <c r="C2395" i="7" s="1" a="1"/>
  <c r="C2395" i="7" s="1"/>
  <c r="B2394" i="7"/>
  <c r="C2394" i="7" s="1" a="1"/>
  <c r="C2394" i="7" s="1"/>
  <c r="B2393" i="7"/>
  <c r="C2393" i="7" s="1" a="1"/>
  <c r="C2393" i="7" s="1"/>
  <c r="B2392" i="7"/>
  <c r="C2392" i="7" s="1" a="1"/>
  <c r="C2392" i="7" s="1"/>
  <c r="B2391" i="7"/>
  <c r="C2391" i="7" s="1" a="1"/>
  <c r="C2391" i="7" s="1"/>
  <c r="B2390" i="7"/>
  <c r="C2390" i="7" s="1" a="1"/>
  <c r="C2390" i="7" s="1"/>
  <c r="B2389" i="7"/>
  <c r="C2389" i="7" s="1" a="1"/>
  <c r="C2389" i="7" s="1"/>
  <c r="B2388" i="7"/>
  <c r="C2388" i="7" s="1" a="1"/>
  <c r="C2388" i="7" s="1"/>
  <c r="B2387" i="7"/>
  <c r="C2387" i="7" s="1" a="1"/>
  <c r="C2387" i="7" s="1"/>
  <c r="B2386" i="7"/>
  <c r="C2386" i="7" s="1" a="1"/>
  <c r="C2386" i="7" s="1"/>
  <c r="B2385" i="7"/>
  <c r="C2385" i="7" s="1" a="1"/>
  <c r="C2385" i="7" s="1"/>
  <c r="B2384" i="7"/>
  <c r="C2384" i="7" s="1" a="1"/>
  <c r="C2384" i="7" s="1"/>
  <c r="B2383" i="7"/>
  <c r="C2383" i="7" s="1" a="1"/>
  <c r="C2383" i="7" s="1"/>
  <c r="B2382" i="7"/>
  <c r="C2382" i="7" s="1" a="1"/>
  <c r="C2382" i="7" s="1"/>
  <c r="B2381" i="7"/>
  <c r="C2381" i="7" s="1" a="1"/>
  <c r="C2381" i="7" s="1"/>
  <c r="B2380" i="7"/>
  <c r="C2380" i="7" s="1" a="1"/>
  <c r="C2380" i="7" s="1"/>
  <c r="B2379" i="7"/>
  <c r="C2379" i="7" s="1" a="1"/>
  <c r="C2379" i="7" s="1"/>
  <c r="B2378" i="7"/>
  <c r="C2378" i="7" s="1" a="1"/>
  <c r="C2378" i="7" s="1"/>
  <c r="B2377" i="7"/>
  <c r="C2377" i="7" s="1" a="1"/>
  <c r="C2377" i="7" s="1"/>
  <c r="B2376" i="7"/>
  <c r="C2376" i="7" s="1" a="1"/>
  <c r="C2376" i="7" s="1"/>
  <c r="B2375" i="7"/>
  <c r="C2375" i="7" s="1" a="1"/>
  <c r="C2375" i="7" s="1"/>
  <c r="B2374" i="7"/>
  <c r="C2374" i="7" s="1" a="1"/>
  <c r="C2374" i="7" s="1"/>
  <c r="B2373" i="7"/>
  <c r="C2373" i="7" s="1" a="1"/>
  <c r="C2373" i="7" s="1"/>
  <c r="B2372" i="7"/>
  <c r="C2372" i="7" s="1" a="1"/>
  <c r="C2372" i="7" s="1"/>
  <c r="B2371" i="7"/>
  <c r="C2371" i="7" s="1" a="1"/>
  <c r="C2371" i="7" s="1"/>
  <c r="B2370" i="7"/>
  <c r="C2370" i="7" s="1" a="1"/>
  <c r="C2370" i="7" s="1"/>
  <c r="B2369" i="7"/>
  <c r="C2369" i="7" s="1" a="1"/>
  <c r="C2369" i="7" s="1"/>
  <c r="B2368" i="7"/>
  <c r="C2368" i="7" s="1" a="1"/>
  <c r="C2368" i="7" s="1"/>
  <c r="B2367" i="7"/>
  <c r="C2367" i="7" s="1" a="1"/>
  <c r="C2367" i="7" s="1"/>
  <c r="B2366" i="7"/>
  <c r="C2366" i="7" s="1" a="1"/>
  <c r="C2366" i="7" s="1"/>
  <c r="B2365" i="7"/>
  <c r="C2365" i="7" s="1" a="1"/>
  <c r="C2365" i="7" s="1"/>
  <c r="B2364" i="7"/>
  <c r="C2364" i="7" s="1" a="1"/>
  <c r="C2364" i="7" s="1"/>
  <c r="B2363" i="7"/>
  <c r="C2363" i="7" s="1" a="1"/>
  <c r="C2363" i="7" s="1"/>
  <c r="B2362" i="7"/>
  <c r="C2362" i="7" s="1" a="1"/>
  <c r="C2362" i="7" s="1"/>
  <c r="B2361" i="7"/>
  <c r="C2361" i="7" s="1" a="1"/>
  <c r="C2361" i="7" s="1"/>
  <c r="B2360" i="7"/>
  <c r="C2360" i="7" s="1" a="1"/>
  <c r="C2360" i="7" s="1"/>
  <c r="B2359" i="7"/>
  <c r="C2359" i="7" s="1" a="1"/>
  <c r="C2359" i="7" s="1"/>
  <c r="B2358" i="7"/>
  <c r="C2358" i="7" s="1" a="1"/>
  <c r="C2358" i="7" s="1"/>
  <c r="B2357" i="7"/>
  <c r="C2357" i="7" s="1" a="1"/>
  <c r="C2357" i="7" s="1"/>
  <c r="B2356" i="7"/>
  <c r="C2356" i="7" s="1" a="1"/>
  <c r="C2356" i="7" s="1"/>
  <c r="B2355" i="7"/>
  <c r="C2355" i="7" s="1" a="1"/>
  <c r="C2355" i="7" s="1"/>
  <c r="B2354" i="7"/>
  <c r="C2354" i="7" s="1" a="1"/>
  <c r="C2354" i="7" s="1"/>
  <c r="B2353" i="7"/>
  <c r="C2353" i="7" s="1" a="1"/>
  <c r="C2353" i="7" s="1"/>
  <c r="B2352" i="7"/>
  <c r="C2352" i="7" s="1" a="1"/>
  <c r="C2352" i="7" s="1"/>
  <c r="B2351" i="7"/>
  <c r="C2351" i="7" s="1" a="1"/>
  <c r="C2351" i="7" s="1"/>
  <c r="B2350" i="7"/>
  <c r="C2350" i="7" s="1" a="1"/>
  <c r="C2350" i="7" s="1"/>
  <c r="B2349" i="7"/>
  <c r="C2349" i="7" s="1" a="1"/>
  <c r="C2349" i="7" s="1"/>
  <c r="B2348" i="7"/>
  <c r="C2348" i="7" s="1" a="1"/>
  <c r="C2348" i="7" s="1"/>
  <c r="B2347" i="7"/>
  <c r="C2347" i="7" s="1" a="1"/>
  <c r="C2347" i="7" s="1"/>
  <c r="B2346" i="7"/>
  <c r="C2346" i="7" s="1" a="1"/>
  <c r="C2346" i="7" s="1"/>
  <c r="B2345" i="7"/>
  <c r="C2345" i="7" s="1" a="1"/>
  <c r="C2345" i="7" s="1"/>
  <c r="B2344" i="7"/>
  <c r="C2344" i="7" s="1" a="1"/>
  <c r="C2344" i="7" s="1"/>
  <c r="B2343" i="7"/>
  <c r="C2343" i="7" s="1" a="1"/>
  <c r="C2343" i="7" s="1"/>
  <c r="B2342" i="7"/>
  <c r="C2342" i="7" s="1" a="1"/>
  <c r="C2342" i="7" s="1"/>
  <c r="B2341" i="7"/>
  <c r="C2341" i="7" s="1" a="1"/>
  <c r="C2341" i="7" s="1"/>
  <c r="B2340" i="7"/>
  <c r="C2340" i="7" s="1" a="1"/>
  <c r="C2340" i="7" s="1"/>
  <c r="B2339" i="7"/>
  <c r="C2339" i="7" s="1" a="1"/>
  <c r="C2339" i="7" s="1"/>
  <c r="B2338" i="7"/>
  <c r="C2338" i="7" s="1" a="1"/>
  <c r="C2338" i="7" s="1"/>
  <c r="B2337" i="7"/>
  <c r="C2337" i="7" s="1" a="1"/>
  <c r="C2337" i="7" s="1"/>
  <c r="B2336" i="7"/>
  <c r="C2336" i="7" s="1" a="1"/>
  <c r="C2336" i="7" s="1"/>
  <c r="B2335" i="7"/>
  <c r="C2335" i="7" s="1" a="1"/>
  <c r="C2335" i="7" s="1"/>
  <c r="B2334" i="7"/>
  <c r="C2334" i="7" s="1" a="1"/>
  <c r="C2334" i="7" s="1"/>
  <c r="B2333" i="7"/>
  <c r="C2333" i="7" s="1" a="1"/>
  <c r="C2333" i="7" s="1"/>
  <c r="B2332" i="7"/>
  <c r="C2332" i="7" s="1" a="1"/>
  <c r="C2332" i="7" s="1"/>
  <c r="B2331" i="7"/>
  <c r="C2331" i="7" s="1" a="1"/>
  <c r="C2331" i="7" s="1"/>
  <c r="B2330" i="7"/>
  <c r="C2330" i="7" s="1" a="1"/>
  <c r="C2330" i="7" s="1"/>
  <c r="B2329" i="7"/>
  <c r="C2329" i="7" s="1" a="1"/>
  <c r="C2329" i="7" s="1"/>
  <c r="B2328" i="7"/>
  <c r="C2328" i="7" s="1" a="1"/>
  <c r="C2328" i="7" s="1"/>
  <c r="B2327" i="7"/>
  <c r="C2327" i="7" s="1" a="1"/>
  <c r="C2327" i="7" s="1"/>
  <c r="B2326" i="7"/>
  <c r="C2326" i="7" s="1" a="1"/>
  <c r="C2326" i="7" s="1"/>
  <c r="B2325" i="7"/>
  <c r="C2325" i="7" s="1" a="1"/>
  <c r="C2325" i="7" s="1"/>
  <c r="B2324" i="7"/>
  <c r="C2324" i="7" s="1" a="1"/>
  <c r="C2324" i="7" s="1"/>
  <c r="B2323" i="7"/>
  <c r="C2323" i="7" s="1" a="1"/>
  <c r="C2323" i="7" s="1"/>
  <c r="B2322" i="7"/>
  <c r="C2322" i="7" s="1" a="1"/>
  <c r="C2322" i="7" s="1"/>
  <c r="B2321" i="7"/>
  <c r="C2321" i="7" s="1" a="1"/>
  <c r="C2321" i="7" s="1"/>
  <c r="B2320" i="7"/>
  <c r="C2320" i="7" s="1" a="1"/>
  <c r="C2320" i="7" s="1"/>
  <c r="B2319" i="7"/>
  <c r="C2319" i="7" s="1" a="1"/>
  <c r="C2319" i="7" s="1"/>
  <c r="B2318" i="7"/>
  <c r="C2318" i="7" s="1" a="1"/>
  <c r="C2318" i="7" s="1"/>
  <c r="B2317" i="7"/>
  <c r="C2317" i="7" s="1" a="1"/>
  <c r="C2317" i="7" s="1"/>
  <c r="B2316" i="7"/>
  <c r="C2316" i="7" s="1" a="1"/>
  <c r="C2316" i="7" s="1"/>
  <c r="B2315" i="7"/>
  <c r="C2315" i="7" s="1" a="1"/>
  <c r="C2315" i="7" s="1"/>
  <c r="B2314" i="7"/>
  <c r="C2314" i="7" s="1" a="1"/>
  <c r="C2314" i="7" s="1"/>
  <c r="B2313" i="7"/>
  <c r="C2313" i="7" s="1" a="1"/>
  <c r="C2313" i="7" s="1"/>
  <c r="B2312" i="7"/>
  <c r="C2312" i="7" s="1" a="1"/>
  <c r="C2312" i="7" s="1"/>
  <c r="B2311" i="7"/>
  <c r="C2311" i="7" s="1" a="1"/>
  <c r="C2311" i="7" s="1"/>
  <c r="B2310" i="7"/>
  <c r="C2310" i="7" s="1" a="1"/>
  <c r="C2310" i="7" s="1"/>
  <c r="B2309" i="7"/>
  <c r="C2309" i="7" s="1" a="1"/>
  <c r="C2309" i="7" s="1"/>
  <c r="B2308" i="7"/>
  <c r="C2308" i="7" s="1" a="1"/>
  <c r="C2308" i="7" s="1"/>
  <c r="B2307" i="7"/>
  <c r="C2307" i="7" s="1" a="1"/>
  <c r="C2307" i="7" s="1"/>
  <c r="B2306" i="7"/>
  <c r="C2306" i="7" s="1" a="1"/>
  <c r="C2306" i="7" s="1"/>
  <c r="B2305" i="7"/>
  <c r="C2305" i="7" s="1" a="1"/>
  <c r="C2305" i="7" s="1"/>
  <c r="B2304" i="7"/>
  <c r="C2304" i="7" s="1" a="1"/>
  <c r="C2304" i="7" s="1"/>
  <c r="B2303" i="7"/>
  <c r="C2303" i="7" s="1" a="1"/>
  <c r="C2303" i="7" s="1"/>
  <c r="B2302" i="7"/>
  <c r="C2302" i="7" s="1" a="1"/>
  <c r="C2302" i="7" s="1"/>
  <c r="B2301" i="7"/>
  <c r="C2301" i="7" s="1" a="1"/>
  <c r="C2301" i="7" s="1"/>
  <c r="B2300" i="7"/>
  <c r="C2300" i="7" s="1" a="1"/>
  <c r="C2300" i="7" s="1"/>
  <c r="B2299" i="7"/>
  <c r="C2299" i="7" s="1" a="1"/>
  <c r="C2299" i="7" s="1"/>
  <c r="B2298" i="7"/>
  <c r="C2298" i="7" s="1" a="1"/>
  <c r="C2298" i="7" s="1"/>
  <c r="B2297" i="7"/>
  <c r="C2297" i="7" s="1" a="1"/>
  <c r="C2297" i="7" s="1"/>
  <c r="B2296" i="7"/>
  <c r="C2296" i="7" s="1" a="1"/>
  <c r="C2296" i="7" s="1"/>
  <c r="B2295" i="7"/>
  <c r="C2295" i="7" s="1" a="1"/>
  <c r="C2295" i="7" s="1"/>
  <c r="B2294" i="7"/>
  <c r="C2294" i="7" s="1" a="1"/>
  <c r="C2294" i="7" s="1"/>
  <c r="B2293" i="7"/>
  <c r="C2293" i="7" s="1" a="1"/>
  <c r="C2293" i="7" s="1"/>
  <c r="B2292" i="7"/>
  <c r="C2292" i="7" s="1" a="1"/>
  <c r="C2292" i="7" s="1"/>
  <c r="B2291" i="7"/>
  <c r="C2291" i="7" s="1" a="1"/>
  <c r="C2291" i="7" s="1"/>
  <c r="B2290" i="7"/>
  <c r="C2290" i="7" s="1" a="1"/>
  <c r="C2290" i="7" s="1"/>
  <c r="B2289" i="7"/>
  <c r="C2289" i="7" s="1" a="1"/>
  <c r="C2289" i="7" s="1"/>
  <c r="B2288" i="7"/>
  <c r="C2288" i="7" s="1" a="1"/>
  <c r="C2288" i="7" s="1"/>
  <c r="B2287" i="7"/>
  <c r="C2287" i="7" s="1" a="1"/>
  <c r="C2287" i="7" s="1"/>
  <c r="B2286" i="7"/>
  <c r="C2286" i="7" s="1" a="1"/>
  <c r="C2286" i="7" s="1"/>
  <c r="B2285" i="7"/>
  <c r="C2285" i="7" s="1" a="1"/>
  <c r="C2285" i="7" s="1"/>
  <c r="B2284" i="7"/>
  <c r="C2284" i="7" s="1" a="1"/>
  <c r="C2284" i="7" s="1"/>
  <c r="B2283" i="7"/>
  <c r="C2283" i="7" s="1" a="1"/>
  <c r="C2283" i="7" s="1"/>
  <c r="B2282" i="7"/>
  <c r="C2282" i="7" s="1" a="1"/>
  <c r="C2282" i="7" s="1"/>
  <c r="B2281" i="7"/>
  <c r="C2281" i="7" s="1" a="1"/>
  <c r="C2281" i="7" s="1"/>
  <c r="B2280" i="7"/>
  <c r="C2280" i="7" s="1" a="1"/>
  <c r="C2280" i="7" s="1"/>
  <c r="B2279" i="7"/>
  <c r="C2279" i="7" s="1" a="1"/>
  <c r="C2279" i="7" s="1"/>
  <c r="B2278" i="7"/>
  <c r="C2278" i="7" s="1" a="1"/>
  <c r="C2278" i="7" s="1"/>
  <c r="B2277" i="7"/>
  <c r="C2277" i="7" s="1" a="1"/>
  <c r="C2277" i="7" s="1"/>
  <c r="B2276" i="7"/>
  <c r="C2276" i="7" s="1" a="1"/>
  <c r="C2276" i="7" s="1"/>
  <c r="B2275" i="7"/>
  <c r="C2275" i="7" s="1" a="1"/>
  <c r="C2275" i="7" s="1"/>
  <c r="B2274" i="7"/>
  <c r="C2274" i="7" s="1" a="1"/>
  <c r="C2274" i="7" s="1"/>
  <c r="B2273" i="7"/>
  <c r="C2273" i="7" s="1" a="1"/>
  <c r="C2273" i="7" s="1"/>
  <c r="B2272" i="7"/>
  <c r="C2272" i="7" s="1" a="1"/>
  <c r="C2272" i="7" s="1"/>
  <c r="B2271" i="7"/>
  <c r="C2271" i="7" s="1" a="1"/>
  <c r="C2271" i="7" s="1"/>
  <c r="B2270" i="7"/>
  <c r="C2270" i="7" s="1" a="1"/>
  <c r="C2270" i="7" s="1"/>
  <c r="B2269" i="7"/>
  <c r="C2269" i="7" s="1" a="1"/>
  <c r="C2269" i="7" s="1"/>
  <c r="B2268" i="7"/>
  <c r="C2268" i="7" s="1" a="1"/>
  <c r="C2268" i="7" s="1"/>
  <c r="B2267" i="7"/>
  <c r="C2267" i="7" s="1" a="1"/>
  <c r="C2267" i="7" s="1"/>
  <c r="B2266" i="7"/>
  <c r="C2266" i="7" s="1" a="1"/>
  <c r="C2266" i="7" s="1"/>
  <c r="B2265" i="7"/>
  <c r="C2265" i="7" s="1" a="1"/>
  <c r="C2265" i="7" s="1"/>
  <c r="B2264" i="7"/>
  <c r="C2264" i="7" s="1" a="1"/>
  <c r="C2264" i="7" s="1"/>
  <c r="B2263" i="7"/>
  <c r="C2263" i="7" s="1" a="1"/>
  <c r="C2263" i="7" s="1"/>
  <c r="B2262" i="7"/>
  <c r="C2262" i="7" s="1" a="1"/>
  <c r="C2262" i="7" s="1"/>
  <c r="B2261" i="7"/>
  <c r="C2261" i="7" s="1" a="1"/>
  <c r="C2261" i="7" s="1"/>
  <c r="B2260" i="7"/>
  <c r="C2260" i="7" s="1" a="1"/>
  <c r="C2260" i="7" s="1"/>
  <c r="B2259" i="7"/>
  <c r="C2259" i="7" s="1" a="1"/>
  <c r="C2259" i="7" s="1"/>
  <c r="B2258" i="7"/>
  <c r="C2258" i="7" s="1" a="1"/>
  <c r="C2258" i="7" s="1"/>
  <c r="B2257" i="7"/>
  <c r="C2257" i="7" s="1" a="1"/>
  <c r="C2257" i="7" s="1"/>
  <c r="B2256" i="7"/>
  <c r="C2256" i="7" s="1" a="1"/>
  <c r="C2256" i="7" s="1"/>
  <c r="B2255" i="7"/>
  <c r="C2255" i="7" s="1" a="1"/>
  <c r="C2255" i="7" s="1"/>
  <c r="B2254" i="7"/>
  <c r="C2254" i="7" s="1" a="1"/>
  <c r="C2254" i="7" s="1"/>
  <c r="B2253" i="7"/>
  <c r="C2253" i="7" s="1" a="1"/>
  <c r="C2253" i="7" s="1"/>
  <c r="B2252" i="7"/>
  <c r="C2252" i="7" s="1" a="1"/>
  <c r="C2252" i="7" s="1"/>
  <c r="B2251" i="7"/>
  <c r="C2251" i="7" s="1" a="1"/>
  <c r="C2251" i="7" s="1"/>
  <c r="B2250" i="7"/>
  <c r="C2250" i="7" s="1" a="1"/>
  <c r="C2250" i="7" s="1"/>
  <c r="B2249" i="7"/>
  <c r="C2249" i="7" s="1" a="1"/>
  <c r="C2249" i="7" s="1"/>
  <c r="B2248" i="7"/>
  <c r="C2248" i="7" s="1" a="1"/>
  <c r="C2248" i="7" s="1"/>
  <c r="B2247" i="7"/>
  <c r="C2247" i="7" s="1" a="1"/>
  <c r="C2247" i="7" s="1"/>
  <c r="B2246" i="7"/>
  <c r="C2246" i="7" s="1" a="1"/>
  <c r="C2246" i="7" s="1"/>
  <c r="B2245" i="7"/>
  <c r="C2245" i="7" s="1" a="1"/>
  <c r="C2245" i="7" s="1"/>
  <c r="B2244" i="7"/>
  <c r="C2244" i="7" s="1" a="1"/>
  <c r="C2244" i="7" s="1"/>
  <c r="B2243" i="7"/>
  <c r="C2243" i="7" s="1" a="1"/>
  <c r="C2243" i="7" s="1"/>
  <c r="B2242" i="7"/>
  <c r="C2242" i="7" s="1" a="1"/>
  <c r="C2242" i="7" s="1"/>
  <c r="B2241" i="7"/>
  <c r="C2241" i="7" s="1" a="1"/>
  <c r="C2241" i="7" s="1"/>
  <c r="B2240" i="7"/>
  <c r="C2240" i="7" s="1" a="1"/>
  <c r="C2240" i="7" s="1"/>
  <c r="B2239" i="7"/>
  <c r="C2239" i="7" s="1" a="1"/>
  <c r="C2239" i="7" s="1"/>
  <c r="B2238" i="7"/>
  <c r="C2238" i="7" s="1" a="1"/>
  <c r="C2238" i="7" s="1"/>
  <c r="B2237" i="7"/>
  <c r="C2237" i="7" s="1" a="1"/>
  <c r="C2237" i="7" s="1"/>
  <c r="B2236" i="7"/>
  <c r="C2236" i="7" s="1" a="1"/>
  <c r="C2236" i="7" s="1"/>
  <c r="B2235" i="7"/>
  <c r="C2235" i="7" s="1" a="1"/>
  <c r="C2235" i="7" s="1"/>
  <c r="B2234" i="7"/>
  <c r="C2234" i="7" s="1" a="1"/>
  <c r="C2234" i="7" s="1"/>
  <c r="B2233" i="7"/>
  <c r="C2233" i="7" s="1" a="1"/>
  <c r="C2233" i="7" s="1"/>
  <c r="B2232" i="7"/>
  <c r="C2232" i="7" s="1" a="1"/>
  <c r="C2232" i="7" s="1"/>
  <c r="B2231" i="7"/>
  <c r="C2231" i="7" s="1" a="1"/>
  <c r="C2231" i="7" s="1"/>
  <c r="B2230" i="7"/>
  <c r="C2230" i="7" s="1" a="1"/>
  <c r="C2230" i="7" s="1"/>
  <c r="B2229" i="7"/>
  <c r="C2229" i="7" s="1" a="1"/>
  <c r="C2229" i="7" s="1"/>
  <c r="B2228" i="7"/>
  <c r="C2228" i="7" s="1" a="1"/>
  <c r="C2228" i="7" s="1"/>
  <c r="B2227" i="7"/>
  <c r="C2227" i="7" s="1" a="1"/>
  <c r="C2227" i="7" s="1"/>
  <c r="B2226" i="7"/>
  <c r="C2226" i="7" s="1" a="1"/>
  <c r="C2226" i="7" s="1"/>
  <c r="B2225" i="7"/>
  <c r="C2225" i="7" s="1" a="1"/>
  <c r="C2225" i="7" s="1"/>
  <c r="B2224" i="7"/>
  <c r="C2224" i="7" s="1" a="1"/>
  <c r="C2224" i="7" s="1"/>
  <c r="B2223" i="7"/>
  <c r="C2223" i="7" s="1" a="1"/>
  <c r="C2223" i="7" s="1"/>
  <c r="B2222" i="7"/>
  <c r="C2222" i="7" s="1" a="1"/>
  <c r="C2222" i="7" s="1"/>
  <c r="B2221" i="7"/>
  <c r="C2221" i="7" s="1" a="1"/>
  <c r="C2221" i="7" s="1"/>
  <c r="B2220" i="7"/>
  <c r="C2220" i="7" s="1" a="1"/>
  <c r="C2220" i="7" s="1"/>
  <c r="B2219" i="7"/>
  <c r="C2219" i="7" s="1" a="1"/>
  <c r="C2219" i="7" s="1"/>
  <c r="B2218" i="7"/>
  <c r="C2218" i="7" s="1" a="1"/>
  <c r="C2218" i="7" s="1"/>
  <c r="B2217" i="7"/>
  <c r="C2217" i="7" s="1" a="1"/>
  <c r="C2217" i="7" s="1"/>
  <c r="B2216" i="7"/>
  <c r="C2216" i="7" s="1" a="1"/>
  <c r="C2216" i="7" s="1"/>
  <c r="B2215" i="7"/>
  <c r="C2215" i="7" s="1" a="1"/>
  <c r="C2215" i="7" s="1"/>
  <c r="B2214" i="7"/>
  <c r="C2214" i="7" s="1" a="1"/>
  <c r="C2214" i="7" s="1"/>
  <c r="B2213" i="7"/>
  <c r="C2213" i="7" s="1" a="1"/>
  <c r="C2213" i="7" s="1"/>
  <c r="B2212" i="7"/>
  <c r="C2212" i="7" s="1" a="1"/>
  <c r="C2212" i="7" s="1"/>
  <c r="B2211" i="7"/>
  <c r="C2211" i="7" s="1" a="1"/>
  <c r="C2211" i="7" s="1"/>
  <c r="B2210" i="7"/>
  <c r="C2210" i="7" s="1" a="1"/>
  <c r="C2210" i="7" s="1"/>
  <c r="B2209" i="7"/>
  <c r="C2209" i="7" s="1" a="1"/>
  <c r="C2209" i="7" s="1"/>
  <c r="B2208" i="7"/>
  <c r="C2208" i="7" s="1" a="1"/>
  <c r="C2208" i="7" s="1"/>
  <c r="B2207" i="7"/>
  <c r="C2207" i="7" s="1" a="1"/>
  <c r="C2207" i="7" s="1"/>
  <c r="B2206" i="7"/>
  <c r="C2206" i="7" s="1" a="1"/>
  <c r="C2206" i="7" s="1"/>
  <c r="B2205" i="7"/>
  <c r="C2205" i="7" s="1" a="1"/>
  <c r="C2205" i="7" s="1"/>
  <c r="B2204" i="7"/>
  <c r="C2204" i="7" s="1" a="1"/>
  <c r="C2204" i="7" s="1"/>
  <c r="B2203" i="7"/>
  <c r="C2203" i="7" s="1" a="1"/>
  <c r="C2203" i="7" s="1"/>
  <c r="B2202" i="7"/>
  <c r="C2202" i="7" s="1" a="1"/>
  <c r="C2202" i="7" s="1"/>
  <c r="B2201" i="7"/>
  <c r="C2201" i="7" s="1" a="1"/>
  <c r="C2201" i="7" s="1"/>
  <c r="B2200" i="7"/>
  <c r="C2200" i="7" s="1" a="1"/>
  <c r="C2200" i="7" s="1"/>
  <c r="B2199" i="7"/>
  <c r="C2199" i="7" s="1" a="1"/>
  <c r="C2199" i="7" s="1"/>
  <c r="B2198" i="7"/>
  <c r="C2198" i="7" s="1" a="1"/>
  <c r="C2198" i="7" s="1"/>
  <c r="B2197" i="7"/>
  <c r="C2197" i="7" s="1" a="1"/>
  <c r="C2197" i="7" s="1"/>
  <c r="B2196" i="7"/>
  <c r="C2196" i="7" s="1" a="1"/>
  <c r="C2196" i="7" s="1"/>
  <c r="B2195" i="7"/>
  <c r="C2195" i="7" s="1" a="1"/>
  <c r="C2195" i="7" s="1"/>
  <c r="B2194" i="7"/>
  <c r="C2194" i="7" s="1" a="1"/>
  <c r="C2194" i="7" s="1"/>
  <c r="B2193" i="7"/>
  <c r="C2193" i="7" s="1" a="1"/>
  <c r="C2193" i="7" s="1"/>
  <c r="B2192" i="7"/>
  <c r="C2192" i="7" s="1" a="1"/>
  <c r="C2192" i="7" s="1"/>
  <c r="B2191" i="7"/>
  <c r="C2191" i="7" s="1" a="1"/>
  <c r="C2191" i="7" s="1"/>
  <c r="B2190" i="7"/>
  <c r="C2190" i="7" s="1" a="1"/>
  <c r="C2190" i="7" s="1"/>
  <c r="B2189" i="7"/>
  <c r="C2189" i="7" s="1" a="1"/>
  <c r="C2189" i="7" s="1"/>
  <c r="B2188" i="7"/>
  <c r="C2188" i="7" s="1" a="1"/>
  <c r="C2188" i="7" s="1"/>
  <c r="B2187" i="7"/>
  <c r="C2187" i="7" s="1" a="1"/>
  <c r="C2187" i="7" s="1"/>
  <c r="B2186" i="7"/>
  <c r="C2186" i="7" s="1" a="1"/>
  <c r="C2186" i="7" s="1"/>
  <c r="B2185" i="7"/>
  <c r="C2185" i="7" s="1" a="1"/>
  <c r="C2185" i="7" s="1"/>
  <c r="B2184" i="7"/>
  <c r="C2184" i="7" s="1" a="1"/>
  <c r="C2184" i="7" s="1"/>
  <c r="B2183" i="7"/>
  <c r="C2183" i="7" s="1" a="1"/>
  <c r="C2183" i="7" s="1"/>
  <c r="B2182" i="7"/>
  <c r="C2182" i="7" s="1" a="1"/>
  <c r="C2182" i="7" s="1"/>
  <c r="B2181" i="7"/>
  <c r="C2181" i="7" s="1" a="1"/>
  <c r="C2181" i="7" s="1"/>
  <c r="B2180" i="7"/>
  <c r="C2180" i="7" s="1" a="1"/>
  <c r="C2180" i="7" s="1"/>
  <c r="B2179" i="7"/>
  <c r="C2179" i="7" s="1" a="1"/>
  <c r="C2179" i="7" s="1"/>
  <c r="B2178" i="7"/>
  <c r="C2178" i="7" s="1" a="1"/>
  <c r="C2178" i="7" s="1"/>
  <c r="B2177" i="7"/>
  <c r="C2177" i="7" s="1" a="1"/>
  <c r="C2177" i="7" s="1"/>
  <c r="B2176" i="7"/>
  <c r="C2176" i="7" s="1" a="1"/>
  <c r="C2176" i="7" s="1"/>
  <c r="B2175" i="7"/>
  <c r="C2175" i="7" s="1" a="1"/>
  <c r="C2175" i="7" s="1"/>
  <c r="B2174" i="7"/>
  <c r="C2174" i="7" s="1" a="1"/>
  <c r="C2174" i="7" s="1"/>
  <c r="B2173" i="7"/>
  <c r="C2173" i="7" s="1" a="1"/>
  <c r="C2173" i="7" s="1"/>
  <c r="B2172" i="7"/>
  <c r="C2172" i="7" s="1" a="1"/>
  <c r="C2172" i="7" s="1"/>
  <c r="B2171" i="7"/>
  <c r="C2171" i="7" s="1" a="1"/>
  <c r="C2171" i="7" s="1"/>
  <c r="B2170" i="7"/>
  <c r="C2170" i="7" s="1" a="1"/>
  <c r="C2170" i="7" s="1"/>
  <c r="B2169" i="7"/>
  <c r="C2169" i="7" s="1" a="1"/>
  <c r="C2169" i="7" s="1"/>
  <c r="B2168" i="7"/>
  <c r="C2168" i="7" s="1" a="1"/>
  <c r="C2168" i="7" s="1"/>
  <c r="B2167" i="7"/>
  <c r="C2167" i="7" s="1" a="1"/>
  <c r="C2167" i="7" s="1"/>
  <c r="B2166" i="7"/>
  <c r="C2166" i="7" s="1" a="1"/>
  <c r="C2166" i="7" s="1"/>
  <c r="B2165" i="7"/>
  <c r="C2165" i="7" s="1" a="1"/>
  <c r="C2165" i="7" s="1"/>
  <c r="B2164" i="7"/>
  <c r="C2164" i="7" s="1" a="1"/>
  <c r="C2164" i="7" s="1"/>
  <c r="B2163" i="7"/>
  <c r="C2163" i="7" s="1" a="1"/>
  <c r="C2163" i="7" s="1"/>
  <c r="B2162" i="7"/>
  <c r="C2162" i="7" s="1" a="1"/>
  <c r="C2162" i="7" s="1"/>
  <c r="B2161" i="7"/>
  <c r="C2161" i="7" s="1" a="1"/>
  <c r="C2161" i="7" s="1"/>
  <c r="B2160" i="7"/>
  <c r="C2160" i="7" s="1" a="1"/>
  <c r="C2160" i="7" s="1"/>
  <c r="B2159" i="7"/>
  <c r="C2159" i="7" s="1" a="1"/>
  <c r="C2159" i="7" s="1"/>
  <c r="B2158" i="7"/>
  <c r="C2158" i="7" s="1" a="1"/>
  <c r="C2158" i="7" s="1"/>
  <c r="B2157" i="7"/>
  <c r="C2157" i="7" s="1" a="1"/>
  <c r="C2157" i="7" s="1"/>
  <c r="B2156" i="7"/>
  <c r="C2156" i="7" s="1" a="1"/>
  <c r="C2156" i="7" s="1"/>
  <c r="B2155" i="7"/>
  <c r="C2155" i="7" s="1" a="1"/>
  <c r="C2155" i="7" s="1"/>
  <c r="B2154" i="7"/>
  <c r="C2154" i="7" s="1" a="1"/>
  <c r="C2154" i="7" s="1"/>
  <c r="B2153" i="7"/>
  <c r="C2153" i="7" s="1" a="1"/>
  <c r="C2153" i="7" s="1"/>
  <c r="B2152" i="7"/>
  <c r="C2152" i="7" s="1" a="1"/>
  <c r="C2152" i="7" s="1"/>
  <c r="B2151" i="7"/>
  <c r="C2151" i="7" s="1" a="1"/>
  <c r="C2151" i="7" s="1"/>
  <c r="B2150" i="7"/>
  <c r="C2150" i="7" s="1" a="1"/>
  <c r="C2150" i="7" s="1"/>
  <c r="B2149" i="7"/>
  <c r="C2149" i="7" s="1" a="1"/>
  <c r="C2149" i="7" s="1"/>
  <c r="B2148" i="7"/>
  <c r="C2148" i="7" s="1" a="1"/>
  <c r="C2148" i="7" s="1"/>
  <c r="B2147" i="7"/>
  <c r="C2147" i="7" s="1" a="1"/>
  <c r="C2147" i="7" s="1"/>
  <c r="B2146" i="7"/>
  <c r="C2146" i="7" s="1" a="1"/>
  <c r="C2146" i="7" s="1"/>
  <c r="B2145" i="7"/>
  <c r="C2145" i="7" s="1" a="1"/>
  <c r="C2145" i="7" s="1"/>
  <c r="B2144" i="7"/>
  <c r="C2144" i="7" s="1" a="1"/>
  <c r="C2144" i="7" s="1"/>
  <c r="B2143" i="7"/>
  <c r="C2143" i="7" s="1" a="1"/>
  <c r="C2143" i="7" s="1"/>
  <c r="B2142" i="7"/>
  <c r="C2142" i="7" s="1" a="1"/>
  <c r="C2142" i="7" s="1"/>
  <c r="B2141" i="7"/>
  <c r="C2141" i="7" s="1" a="1"/>
  <c r="C2141" i="7" s="1"/>
  <c r="B2140" i="7"/>
  <c r="C2140" i="7" s="1" a="1"/>
  <c r="C2140" i="7" s="1"/>
  <c r="B2139" i="7"/>
  <c r="C2139" i="7" s="1" a="1"/>
  <c r="C2139" i="7" s="1"/>
  <c r="B2138" i="7"/>
  <c r="C2138" i="7" s="1" a="1"/>
  <c r="C2138" i="7" s="1"/>
  <c r="B2137" i="7"/>
  <c r="C2137" i="7" s="1" a="1"/>
  <c r="C2137" i="7" s="1"/>
  <c r="B2136" i="7"/>
  <c r="C2136" i="7" s="1" a="1"/>
  <c r="C2136" i="7" s="1"/>
  <c r="B2135" i="7"/>
  <c r="C2135" i="7" s="1" a="1"/>
  <c r="C2135" i="7" s="1"/>
  <c r="B2134" i="7"/>
  <c r="C2134" i="7" s="1" a="1"/>
  <c r="C2134" i="7" s="1"/>
  <c r="B2133" i="7"/>
  <c r="C2133" i="7" s="1" a="1"/>
  <c r="C2133" i="7" s="1"/>
  <c r="B2132" i="7"/>
  <c r="C2132" i="7" s="1" a="1"/>
  <c r="C2132" i="7" s="1"/>
  <c r="B2131" i="7"/>
  <c r="C2131" i="7" s="1" a="1"/>
  <c r="C2131" i="7" s="1"/>
  <c r="B2130" i="7"/>
  <c r="C2130" i="7" s="1" a="1"/>
  <c r="C2130" i="7" s="1"/>
  <c r="B2129" i="7"/>
  <c r="C2129" i="7" s="1" a="1"/>
  <c r="C2129" i="7" s="1"/>
  <c r="B2128" i="7"/>
  <c r="C2128" i="7" s="1" a="1"/>
  <c r="C2128" i="7" s="1"/>
  <c r="B2127" i="7"/>
  <c r="C2127" i="7" s="1" a="1"/>
  <c r="C2127" i="7" s="1"/>
  <c r="B2126" i="7"/>
  <c r="C2126" i="7" s="1" a="1"/>
  <c r="C2126" i="7" s="1"/>
  <c r="B2125" i="7"/>
  <c r="C2125" i="7" s="1" a="1"/>
  <c r="C2125" i="7" s="1"/>
  <c r="B2124" i="7"/>
  <c r="C2124" i="7" s="1" a="1"/>
  <c r="C2124" i="7" s="1"/>
  <c r="B2123" i="7"/>
  <c r="C2123" i="7" s="1" a="1"/>
  <c r="C2123" i="7" s="1"/>
  <c r="B2122" i="7"/>
  <c r="C2122" i="7" s="1" a="1"/>
  <c r="C2122" i="7" s="1"/>
  <c r="B2121" i="7"/>
  <c r="C2121" i="7" s="1" a="1"/>
  <c r="C2121" i="7" s="1"/>
  <c r="B2120" i="7"/>
  <c r="C2120" i="7" s="1" a="1"/>
  <c r="C2120" i="7" s="1"/>
  <c r="B2119" i="7"/>
  <c r="C2119" i="7" s="1" a="1"/>
  <c r="C2119" i="7" s="1"/>
  <c r="B2118" i="7"/>
  <c r="C2118" i="7" s="1" a="1"/>
  <c r="C2118" i="7" s="1"/>
  <c r="B2117" i="7"/>
  <c r="C2117" i="7" s="1" a="1"/>
  <c r="C2117" i="7" s="1"/>
  <c r="B2116" i="7"/>
  <c r="C2116" i="7" s="1" a="1"/>
  <c r="C2116" i="7" s="1"/>
  <c r="B2115" i="7"/>
  <c r="C2115" i="7" s="1" a="1"/>
  <c r="C2115" i="7" s="1"/>
  <c r="B2114" i="7"/>
  <c r="C2114" i="7" s="1" a="1"/>
  <c r="C2114" i="7" s="1"/>
  <c r="B2113" i="7"/>
  <c r="C2113" i="7" s="1" a="1"/>
  <c r="C2113" i="7" s="1"/>
  <c r="B2112" i="7"/>
  <c r="C2112" i="7" s="1" a="1"/>
  <c r="C2112" i="7" s="1"/>
  <c r="B2111" i="7"/>
  <c r="C2111" i="7" s="1" a="1"/>
  <c r="C2111" i="7" s="1"/>
  <c r="B2110" i="7"/>
  <c r="C2110" i="7" s="1" a="1"/>
  <c r="C2110" i="7" s="1"/>
  <c r="B2109" i="7"/>
  <c r="C2109" i="7" s="1" a="1"/>
  <c r="C2109" i="7" s="1"/>
  <c r="B2108" i="7"/>
  <c r="C2108" i="7" s="1" a="1"/>
  <c r="C2108" i="7" s="1"/>
  <c r="B2107" i="7"/>
  <c r="C2107" i="7" s="1" a="1"/>
  <c r="C2107" i="7" s="1"/>
  <c r="B2106" i="7"/>
  <c r="C2106" i="7" s="1" a="1"/>
  <c r="C2106" i="7" s="1"/>
  <c r="B2105" i="7"/>
  <c r="C2105" i="7" s="1" a="1"/>
  <c r="C2105" i="7" s="1"/>
  <c r="B2104" i="7"/>
  <c r="C2104" i="7" s="1" a="1"/>
  <c r="C2104" i="7" s="1"/>
  <c r="B2103" i="7"/>
  <c r="C2103" i="7" s="1" a="1"/>
  <c r="C2103" i="7" s="1"/>
  <c r="B2102" i="7"/>
  <c r="C2102" i="7" s="1" a="1"/>
  <c r="C2102" i="7" s="1"/>
  <c r="B2101" i="7"/>
  <c r="C2101" i="7" s="1" a="1"/>
  <c r="C2101" i="7" s="1"/>
  <c r="B2100" i="7"/>
  <c r="C2100" i="7" s="1" a="1"/>
  <c r="C2100" i="7" s="1"/>
  <c r="B2099" i="7"/>
  <c r="C2099" i="7" s="1" a="1"/>
  <c r="C2099" i="7" s="1"/>
  <c r="B2098" i="7"/>
  <c r="C2098" i="7" s="1" a="1"/>
  <c r="C2098" i="7" s="1"/>
  <c r="B2097" i="7"/>
  <c r="C2097" i="7" s="1" a="1"/>
  <c r="C2097" i="7" s="1"/>
  <c r="B2096" i="7"/>
  <c r="C2096" i="7" s="1" a="1"/>
  <c r="C2096" i="7" s="1"/>
  <c r="B2095" i="7"/>
  <c r="C2095" i="7" s="1" a="1"/>
  <c r="C2095" i="7" s="1"/>
  <c r="B2094" i="7"/>
  <c r="C2094" i="7" s="1" a="1"/>
  <c r="C2094" i="7" s="1"/>
  <c r="B2093" i="7"/>
  <c r="C2093" i="7" s="1" a="1"/>
  <c r="C2093" i="7" s="1"/>
  <c r="B2092" i="7"/>
  <c r="C2092" i="7" s="1" a="1"/>
  <c r="C2092" i="7" s="1"/>
  <c r="B2091" i="7"/>
  <c r="C2091" i="7" s="1" a="1"/>
  <c r="C2091" i="7" s="1"/>
  <c r="B2090" i="7"/>
  <c r="C2090" i="7" s="1" a="1"/>
  <c r="C2090" i="7" s="1"/>
  <c r="B2089" i="7"/>
  <c r="C2089" i="7" s="1" a="1"/>
  <c r="C2089" i="7" s="1"/>
  <c r="B2088" i="7"/>
  <c r="C2088" i="7" s="1" a="1"/>
  <c r="C2088" i="7" s="1"/>
  <c r="B2087" i="7"/>
  <c r="C2087" i="7" s="1" a="1"/>
  <c r="C2087" i="7" s="1"/>
  <c r="B2086" i="7"/>
  <c r="C2086" i="7" s="1" a="1"/>
  <c r="C2086" i="7" s="1"/>
  <c r="B2085" i="7"/>
  <c r="C2085" i="7" s="1" a="1"/>
  <c r="C2085" i="7" s="1"/>
  <c r="B2084" i="7"/>
  <c r="C2084" i="7" s="1" a="1"/>
  <c r="C2084" i="7" s="1"/>
  <c r="B2083" i="7"/>
  <c r="C2083" i="7" s="1" a="1"/>
  <c r="C2083" i="7" s="1"/>
  <c r="B2082" i="7"/>
  <c r="C2082" i="7" s="1" a="1"/>
  <c r="C2082" i="7" s="1"/>
  <c r="B2081" i="7"/>
  <c r="C2081" i="7" s="1" a="1"/>
  <c r="C2081" i="7" s="1"/>
  <c r="B2080" i="7"/>
  <c r="C2080" i="7" s="1" a="1"/>
  <c r="C2080" i="7" s="1"/>
  <c r="B2079" i="7"/>
  <c r="C2079" i="7" s="1" a="1"/>
  <c r="C2079" i="7" s="1"/>
  <c r="B2078" i="7"/>
  <c r="C2078" i="7" s="1" a="1"/>
  <c r="C2078" i="7" s="1"/>
  <c r="B2077" i="7"/>
  <c r="C2077" i="7" s="1" a="1"/>
  <c r="C2077" i="7" s="1"/>
  <c r="B2076" i="7"/>
  <c r="C2076" i="7" s="1" a="1"/>
  <c r="C2076" i="7" s="1"/>
  <c r="B2075" i="7"/>
  <c r="C2075" i="7" s="1" a="1"/>
  <c r="C2075" i="7" s="1"/>
  <c r="B2074" i="7"/>
  <c r="C2074" i="7" s="1" a="1"/>
  <c r="C2074" i="7" s="1"/>
  <c r="B2073" i="7"/>
  <c r="C2073" i="7" s="1" a="1"/>
  <c r="C2073" i="7" s="1"/>
  <c r="B2072" i="7"/>
  <c r="C2072" i="7" s="1" a="1"/>
  <c r="C2072" i="7" s="1"/>
  <c r="B2071" i="7"/>
  <c r="C2071" i="7" s="1" a="1"/>
  <c r="C2071" i="7" s="1"/>
  <c r="B2070" i="7"/>
  <c r="C2070" i="7" s="1" a="1"/>
  <c r="C2070" i="7" s="1"/>
  <c r="B2069" i="7"/>
  <c r="C2069" i="7" s="1" a="1"/>
  <c r="C2069" i="7" s="1"/>
  <c r="B2068" i="7"/>
  <c r="C2068" i="7" s="1" a="1"/>
  <c r="C2068" i="7" s="1"/>
  <c r="B2067" i="7"/>
  <c r="C2067" i="7" s="1" a="1"/>
  <c r="C2067" i="7" s="1"/>
  <c r="B2066" i="7"/>
  <c r="C2066" i="7" s="1" a="1"/>
  <c r="C2066" i="7" s="1"/>
  <c r="B2065" i="7"/>
  <c r="C2065" i="7" s="1" a="1"/>
  <c r="C2065" i="7" s="1"/>
  <c r="B2064" i="7"/>
  <c r="C2064" i="7" s="1" a="1"/>
  <c r="C2064" i="7" s="1"/>
  <c r="B2063" i="7"/>
  <c r="C2063" i="7" s="1" a="1"/>
  <c r="C2063" i="7" s="1"/>
  <c r="B2062" i="7"/>
  <c r="C2062" i="7" s="1" a="1"/>
  <c r="C2062" i="7" s="1"/>
  <c r="B2061" i="7"/>
  <c r="C2061" i="7" s="1" a="1"/>
  <c r="C2061" i="7" s="1"/>
  <c r="B2060" i="7"/>
  <c r="C2060" i="7" s="1" a="1"/>
  <c r="C2060" i="7" s="1"/>
  <c r="B2059" i="7"/>
  <c r="C2059" i="7" s="1" a="1"/>
  <c r="C2059" i="7" s="1"/>
  <c r="B2058" i="7"/>
  <c r="C2058" i="7" s="1" a="1"/>
  <c r="C2058" i="7" s="1"/>
  <c r="B2057" i="7"/>
  <c r="C2057" i="7" s="1" a="1"/>
  <c r="C2057" i="7" s="1"/>
  <c r="B2056" i="7"/>
  <c r="C2056" i="7" s="1" a="1"/>
  <c r="C2056" i="7" s="1"/>
  <c r="B2055" i="7"/>
  <c r="C2055" i="7" s="1" a="1"/>
  <c r="C2055" i="7" s="1"/>
  <c r="B2054" i="7"/>
  <c r="C2054" i="7" s="1" a="1"/>
  <c r="C2054" i="7" s="1"/>
  <c r="B2053" i="7"/>
  <c r="C2053" i="7" s="1" a="1"/>
  <c r="C2053" i="7" s="1"/>
  <c r="B2052" i="7"/>
  <c r="C2052" i="7" s="1" a="1"/>
  <c r="C2052" i="7" s="1"/>
  <c r="B2051" i="7"/>
  <c r="C2051" i="7" s="1" a="1"/>
  <c r="C2051" i="7" s="1"/>
  <c r="B2050" i="7"/>
  <c r="C2050" i="7" s="1" a="1"/>
  <c r="C2050" i="7" s="1"/>
  <c r="B2049" i="7"/>
  <c r="C2049" i="7" s="1" a="1"/>
  <c r="C2049" i="7" s="1"/>
  <c r="B2048" i="7"/>
  <c r="C2048" i="7" s="1" a="1"/>
  <c r="C2048" i="7" s="1"/>
  <c r="B2047" i="7"/>
  <c r="C2047" i="7" s="1" a="1"/>
  <c r="C2047" i="7" s="1"/>
  <c r="B2046" i="7"/>
  <c r="C2046" i="7" s="1" a="1"/>
  <c r="C2046" i="7" s="1"/>
  <c r="B2045" i="7"/>
  <c r="C2045" i="7" s="1" a="1"/>
  <c r="C2045" i="7" s="1"/>
  <c r="B2044" i="7"/>
  <c r="C2044" i="7" s="1" a="1"/>
  <c r="C2044" i="7" s="1"/>
  <c r="B2043" i="7"/>
  <c r="C2043" i="7" s="1" a="1"/>
  <c r="C2043" i="7" s="1"/>
  <c r="B2042" i="7"/>
  <c r="C2042" i="7" s="1" a="1"/>
  <c r="C2042" i="7" s="1"/>
  <c r="B2041" i="7"/>
  <c r="C2041" i="7" s="1" a="1"/>
  <c r="C2041" i="7" s="1"/>
  <c r="B2040" i="7"/>
  <c r="C2040" i="7" s="1" a="1"/>
  <c r="C2040" i="7" s="1"/>
  <c r="B2039" i="7"/>
  <c r="C2039" i="7" s="1" a="1"/>
  <c r="C2039" i="7" s="1"/>
  <c r="B2038" i="7"/>
  <c r="C2038" i="7" s="1" a="1"/>
  <c r="C2038" i="7" s="1"/>
  <c r="B2037" i="7"/>
  <c r="C2037" i="7" s="1" a="1"/>
  <c r="C2037" i="7" s="1"/>
  <c r="B2036" i="7"/>
  <c r="C2036" i="7" s="1" a="1"/>
  <c r="C2036" i="7" s="1"/>
  <c r="B2035" i="7"/>
  <c r="C2035" i="7" s="1" a="1"/>
  <c r="C2035" i="7" s="1"/>
  <c r="B2034" i="7"/>
  <c r="C2034" i="7" s="1" a="1"/>
  <c r="C2034" i="7" s="1"/>
  <c r="B2033" i="7"/>
  <c r="C2033" i="7" s="1" a="1"/>
  <c r="C2033" i="7" s="1"/>
  <c r="B2032" i="7"/>
  <c r="C2032" i="7" s="1" a="1"/>
  <c r="C2032" i="7" s="1"/>
  <c r="B2031" i="7"/>
  <c r="C2031" i="7" s="1" a="1"/>
  <c r="C2031" i="7" s="1"/>
  <c r="B2030" i="7"/>
  <c r="C2030" i="7" s="1" a="1"/>
  <c r="C2030" i="7" s="1"/>
  <c r="B2029" i="7"/>
  <c r="C2029" i="7" s="1" a="1"/>
  <c r="C2029" i="7" s="1"/>
  <c r="B2028" i="7"/>
  <c r="C2028" i="7" s="1" a="1"/>
  <c r="C2028" i="7" s="1"/>
  <c r="B2027" i="7"/>
  <c r="C2027" i="7" s="1" a="1"/>
  <c r="C2027" i="7" s="1"/>
  <c r="B2026" i="7"/>
  <c r="C2026" i="7" s="1" a="1"/>
  <c r="C2026" i="7" s="1"/>
  <c r="B2025" i="7"/>
  <c r="C2025" i="7" s="1" a="1"/>
  <c r="C2025" i="7" s="1"/>
  <c r="B2024" i="7"/>
  <c r="C2024" i="7" s="1" a="1"/>
  <c r="C2024" i="7" s="1"/>
  <c r="B2023" i="7"/>
  <c r="C2023" i="7" s="1" a="1"/>
  <c r="C2023" i="7" s="1"/>
  <c r="B2022" i="7"/>
  <c r="C2022" i="7" s="1" a="1"/>
  <c r="C2022" i="7" s="1"/>
  <c r="B2021" i="7"/>
  <c r="C2021" i="7" s="1" a="1"/>
  <c r="C2021" i="7" s="1"/>
  <c r="B2020" i="7"/>
  <c r="C2020" i="7" s="1" a="1"/>
  <c r="C2020" i="7" s="1"/>
  <c r="B2019" i="7"/>
  <c r="C2019" i="7" s="1" a="1"/>
  <c r="C2019" i="7" s="1"/>
  <c r="B2018" i="7"/>
  <c r="C2018" i="7" s="1" a="1"/>
  <c r="C2018" i="7" s="1"/>
  <c r="B2017" i="7"/>
  <c r="C2017" i="7" s="1" a="1"/>
  <c r="C2017" i="7" s="1"/>
  <c r="B2016" i="7"/>
  <c r="C2016" i="7" s="1" a="1"/>
  <c r="C2016" i="7" s="1"/>
  <c r="B2015" i="7"/>
  <c r="C2015" i="7" s="1" a="1"/>
  <c r="C2015" i="7" s="1"/>
  <c r="B2014" i="7"/>
  <c r="C2014" i="7" s="1" a="1"/>
  <c r="C2014" i="7" s="1"/>
  <c r="B2013" i="7"/>
  <c r="C2013" i="7" s="1" a="1"/>
  <c r="C2013" i="7" s="1"/>
  <c r="B2012" i="7"/>
  <c r="C2012" i="7" s="1" a="1"/>
  <c r="C2012" i="7" s="1"/>
  <c r="B2011" i="7"/>
  <c r="C2011" i="7" s="1" a="1"/>
  <c r="C2011" i="7" s="1"/>
  <c r="B2010" i="7"/>
  <c r="C2010" i="7" s="1" a="1"/>
  <c r="C2010" i="7" s="1"/>
  <c r="B2009" i="7"/>
  <c r="C2009" i="7" s="1" a="1"/>
  <c r="C2009" i="7" s="1"/>
  <c r="B2008" i="7"/>
  <c r="C2008" i="7" s="1" a="1"/>
  <c r="C2008" i="7" s="1"/>
  <c r="B2007" i="7"/>
  <c r="C2007" i="7" s="1" a="1"/>
  <c r="C2007" i="7" s="1"/>
  <c r="B2006" i="7"/>
  <c r="C2006" i="7" s="1" a="1"/>
  <c r="C2006" i="7" s="1"/>
  <c r="B2005" i="7"/>
  <c r="C2005" i="7" s="1" a="1"/>
  <c r="C2005" i="7" s="1"/>
  <c r="B2004" i="7"/>
  <c r="C2004" i="7" s="1" a="1"/>
  <c r="C2004" i="7" s="1"/>
  <c r="B2003" i="7"/>
  <c r="C2003" i="7" s="1" a="1"/>
  <c r="C2003" i="7" s="1"/>
  <c r="B2002" i="7"/>
  <c r="C2002" i="7" s="1" a="1"/>
  <c r="C2002" i="7" s="1"/>
  <c r="B2001" i="7"/>
  <c r="C2001" i="7" s="1" a="1"/>
  <c r="C2001" i="7" s="1"/>
  <c r="B2000" i="7"/>
  <c r="C2000" i="7" s="1" a="1"/>
  <c r="C2000" i="7" s="1"/>
  <c r="B1999" i="7"/>
  <c r="C1999" i="7" s="1" a="1"/>
  <c r="C1999" i="7" s="1"/>
  <c r="B1998" i="7"/>
  <c r="C1998" i="7" s="1" a="1"/>
  <c r="C1998" i="7" s="1"/>
  <c r="B1997" i="7"/>
  <c r="C1997" i="7" s="1" a="1"/>
  <c r="C1997" i="7" s="1"/>
  <c r="B1996" i="7"/>
  <c r="C1996" i="7" s="1" a="1"/>
  <c r="C1996" i="7" s="1"/>
  <c r="B1995" i="7"/>
  <c r="C1995" i="7" s="1" a="1"/>
  <c r="C1995" i="7" s="1"/>
  <c r="B1994" i="7"/>
  <c r="C1994" i="7" s="1" a="1"/>
  <c r="C1994" i="7" s="1"/>
  <c r="B1993" i="7"/>
  <c r="C1993" i="7" s="1" a="1"/>
  <c r="C1993" i="7" s="1"/>
  <c r="B1992" i="7"/>
  <c r="C1992" i="7" s="1" a="1"/>
  <c r="C1992" i="7" s="1"/>
  <c r="B1991" i="7"/>
  <c r="C1991" i="7" s="1" a="1"/>
  <c r="C1991" i="7" s="1"/>
  <c r="B1990" i="7"/>
  <c r="C1990" i="7" s="1" a="1"/>
  <c r="C1990" i="7" s="1"/>
  <c r="B1989" i="7"/>
  <c r="C1989" i="7" s="1" a="1"/>
  <c r="C1989" i="7" s="1"/>
  <c r="B1988" i="7"/>
  <c r="C1988" i="7" s="1" a="1"/>
  <c r="C1988" i="7" s="1"/>
  <c r="B1987" i="7"/>
  <c r="C1987" i="7" s="1" a="1"/>
  <c r="C1987" i="7" s="1"/>
  <c r="B1986" i="7"/>
  <c r="C1986" i="7" s="1" a="1"/>
  <c r="C1986" i="7" s="1"/>
  <c r="B1985" i="7"/>
  <c r="C1985" i="7" s="1" a="1"/>
  <c r="C1985" i="7" s="1"/>
  <c r="B1984" i="7"/>
  <c r="C1984" i="7" s="1" a="1"/>
  <c r="C1984" i="7" s="1"/>
  <c r="B1983" i="7"/>
  <c r="C1983" i="7" s="1" a="1"/>
  <c r="C1983" i="7" s="1"/>
  <c r="B1982" i="7"/>
  <c r="C1982" i="7" s="1" a="1"/>
  <c r="C1982" i="7" s="1"/>
  <c r="B1981" i="7"/>
  <c r="C1981" i="7" s="1" a="1"/>
  <c r="C1981" i="7" s="1"/>
  <c r="B1980" i="7"/>
  <c r="C1980" i="7" s="1" a="1"/>
  <c r="C1980" i="7" s="1"/>
  <c r="B1979" i="7"/>
  <c r="C1979" i="7" s="1" a="1"/>
  <c r="C1979" i="7" s="1"/>
  <c r="B1978" i="7"/>
  <c r="C1978" i="7" s="1" a="1"/>
  <c r="C1978" i="7" s="1"/>
  <c r="B1977" i="7"/>
  <c r="C1977" i="7" s="1" a="1"/>
  <c r="C1977" i="7" s="1"/>
  <c r="B1976" i="7"/>
  <c r="C1976" i="7" s="1" a="1"/>
  <c r="C1976" i="7" s="1"/>
  <c r="B1975" i="7"/>
  <c r="C1975" i="7" s="1" a="1"/>
  <c r="C1975" i="7" s="1"/>
  <c r="B1974" i="7"/>
  <c r="C1974" i="7" s="1" a="1"/>
  <c r="C1974" i="7" s="1"/>
  <c r="B1973" i="7"/>
  <c r="C1973" i="7" s="1" a="1"/>
  <c r="C1973" i="7" s="1"/>
  <c r="B1972" i="7"/>
  <c r="C1972" i="7" s="1" a="1"/>
  <c r="C1972" i="7" s="1"/>
  <c r="B1971" i="7"/>
  <c r="C1971" i="7" s="1" a="1"/>
  <c r="C1971" i="7" s="1"/>
  <c r="B1970" i="7"/>
  <c r="C1970" i="7" s="1" a="1"/>
  <c r="C1970" i="7" s="1"/>
  <c r="B1969" i="7"/>
  <c r="C1969" i="7" s="1" a="1"/>
  <c r="C1969" i="7" s="1"/>
  <c r="B1968" i="7"/>
  <c r="C1968" i="7" s="1" a="1"/>
  <c r="C1968" i="7" s="1"/>
  <c r="B1967" i="7"/>
  <c r="C1967" i="7" s="1" a="1"/>
  <c r="C1967" i="7" s="1"/>
  <c r="B1966" i="7"/>
  <c r="C1966" i="7" s="1" a="1"/>
  <c r="C1966" i="7" s="1"/>
  <c r="B1965" i="7"/>
  <c r="C1965" i="7" s="1" a="1"/>
  <c r="C1965" i="7" s="1"/>
  <c r="B1964" i="7"/>
  <c r="C1964" i="7" s="1" a="1"/>
  <c r="C1964" i="7" s="1"/>
  <c r="B1963" i="7"/>
  <c r="C1963" i="7" s="1" a="1"/>
  <c r="C1963" i="7" s="1"/>
  <c r="B1962" i="7"/>
  <c r="C1962" i="7" s="1" a="1"/>
  <c r="C1962" i="7" s="1"/>
  <c r="B1961" i="7"/>
  <c r="C1961" i="7" s="1" a="1"/>
  <c r="C1961" i="7" s="1"/>
  <c r="B1960" i="7"/>
  <c r="C1960" i="7" s="1" a="1"/>
  <c r="C1960" i="7" s="1"/>
  <c r="B1959" i="7"/>
  <c r="C1959" i="7" s="1" a="1"/>
  <c r="C1959" i="7" s="1"/>
  <c r="B1958" i="7"/>
  <c r="C1958" i="7" s="1" a="1"/>
  <c r="C1958" i="7" s="1"/>
  <c r="B1957" i="7"/>
  <c r="C1957" i="7" s="1" a="1"/>
  <c r="C1957" i="7" s="1"/>
  <c r="B1956" i="7"/>
  <c r="C1956" i="7" s="1" a="1"/>
  <c r="C1956" i="7" s="1"/>
  <c r="B1955" i="7"/>
  <c r="C1955" i="7" s="1" a="1"/>
  <c r="C1955" i="7" s="1"/>
  <c r="B1954" i="7"/>
  <c r="C1954" i="7" s="1" a="1"/>
  <c r="C1954" i="7" s="1"/>
  <c r="B1953" i="7"/>
  <c r="C1953" i="7" s="1" a="1"/>
  <c r="C1953" i="7" s="1"/>
  <c r="B1952" i="7"/>
  <c r="C1952" i="7" s="1" a="1"/>
  <c r="C1952" i="7" s="1"/>
  <c r="B1951" i="7"/>
  <c r="C1951" i="7" s="1" a="1"/>
  <c r="C1951" i="7" s="1"/>
  <c r="B1950" i="7"/>
  <c r="C1950" i="7" s="1" a="1"/>
  <c r="C1950" i="7" s="1"/>
  <c r="B1949" i="7"/>
  <c r="C1949" i="7" s="1" a="1"/>
  <c r="C1949" i="7" s="1"/>
  <c r="B1948" i="7"/>
  <c r="C1948" i="7" s="1" a="1"/>
  <c r="C1948" i="7" s="1"/>
  <c r="B1947" i="7"/>
  <c r="C1947" i="7" s="1" a="1"/>
  <c r="C1947" i="7" s="1"/>
  <c r="B1946" i="7"/>
  <c r="C1946" i="7" s="1" a="1"/>
  <c r="C1946" i="7" s="1"/>
  <c r="B1945" i="7"/>
  <c r="C1945" i="7" s="1" a="1"/>
  <c r="C1945" i="7" s="1"/>
  <c r="B1944" i="7"/>
  <c r="C1944" i="7" s="1" a="1"/>
  <c r="C1944" i="7" s="1"/>
  <c r="B1943" i="7"/>
  <c r="C1943" i="7" s="1" a="1"/>
  <c r="C1943" i="7" s="1"/>
  <c r="B1942" i="7"/>
  <c r="C1942" i="7" s="1" a="1"/>
  <c r="C1942" i="7" s="1"/>
  <c r="B1941" i="7"/>
  <c r="C1941" i="7" s="1" a="1"/>
  <c r="C1941" i="7" s="1"/>
  <c r="B1940" i="7"/>
  <c r="C1940" i="7" s="1" a="1"/>
  <c r="C1940" i="7" s="1"/>
  <c r="B1939" i="7"/>
  <c r="C1939" i="7" s="1" a="1"/>
  <c r="C1939" i="7" s="1"/>
  <c r="B1938" i="7"/>
  <c r="C1938" i="7" s="1" a="1"/>
  <c r="C1938" i="7" s="1"/>
  <c r="B1937" i="7"/>
  <c r="C1937" i="7" s="1" a="1"/>
  <c r="C1937" i="7" s="1"/>
  <c r="B1936" i="7"/>
  <c r="C1936" i="7" s="1" a="1"/>
  <c r="C1936" i="7" s="1"/>
  <c r="B1935" i="7"/>
  <c r="C1935" i="7" s="1" a="1"/>
  <c r="C1935" i="7" s="1"/>
  <c r="B1934" i="7"/>
  <c r="C1934" i="7" s="1" a="1"/>
  <c r="C1934" i="7" s="1"/>
  <c r="B1933" i="7"/>
  <c r="C1933" i="7" s="1" a="1"/>
  <c r="C1933" i="7" s="1"/>
  <c r="B1932" i="7"/>
  <c r="C1932" i="7" s="1" a="1"/>
  <c r="C1932" i="7" s="1"/>
  <c r="B1931" i="7"/>
  <c r="C1931" i="7" s="1" a="1"/>
  <c r="C1931" i="7" s="1"/>
  <c r="B1930" i="7"/>
  <c r="C1930" i="7" s="1" a="1"/>
  <c r="C1930" i="7" s="1"/>
  <c r="B1929" i="7"/>
  <c r="C1929" i="7" s="1" a="1"/>
  <c r="C1929" i="7" s="1"/>
  <c r="B1928" i="7"/>
  <c r="C1928" i="7" s="1" a="1"/>
  <c r="C1928" i="7" s="1"/>
  <c r="B1927" i="7"/>
  <c r="C1927" i="7" s="1" a="1"/>
  <c r="C1927" i="7" s="1"/>
  <c r="B1926" i="7"/>
  <c r="C1926" i="7" s="1" a="1"/>
  <c r="C1926" i="7" s="1"/>
  <c r="B1925" i="7"/>
  <c r="C1925" i="7" s="1" a="1"/>
  <c r="C1925" i="7" s="1"/>
  <c r="B1924" i="7"/>
  <c r="C1924" i="7" s="1" a="1"/>
  <c r="C1924" i="7" s="1"/>
  <c r="B1923" i="7"/>
  <c r="C1923" i="7" s="1" a="1"/>
  <c r="C1923" i="7" s="1"/>
  <c r="B1922" i="7"/>
  <c r="C1922" i="7" s="1" a="1"/>
  <c r="C1922" i="7" s="1"/>
  <c r="B1921" i="7"/>
  <c r="C1921" i="7" s="1" a="1"/>
  <c r="C1921" i="7" s="1"/>
  <c r="B1920" i="7"/>
  <c r="C1920" i="7" s="1" a="1"/>
  <c r="C1920" i="7" s="1"/>
  <c r="B1919" i="7"/>
  <c r="C1919" i="7" s="1" a="1"/>
  <c r="C1919" i="7" s="1"/>
  <c r="B1918" i="7"/>
  <c r="C1918" i="7" s="1" a="1"/>
  <c r="C1918" i="7" s="1"/>
  <c r="B1917" i="7"/>
  <c r="C1917" i="7" s="1" a="1"/>
  <c r="C1917" i="7" s="1"/>
  <c r="B1916" i="7"/>
  <c r="C1916" i="7" s="1" a="1"/>
  <c r="C1916" i="7" s="1"/>
  <c r="B1915" i="7"/>
  <c r="C1915" i="7" s="1" a="1"/>
  <c r="C1915" i="7" s="1"/>
  <c r="B1914" i="7"/>
  <c r="C1914" i="7" s="1" a="1"/>
  <c r="C1914" i="7" s="1"/>
  <c r="B1913" i="7"/>
  <c r="C1913" i="7" s="1" a="1"/>
  <c r="C1913" i="7" s="1"/>
  <c r="B1912" i="7"/>
  <c r="C1912" i="7" s="1" a="1"/>
  <c r="C1912" i="7" s="1"/>
  <c r="B1911" i="7"/>
  <c r="C1911" i="7" s="1" a="1"/>
  <c r="C1911" i="7" s="1"/>
  <c r="B1910" i="7"/>
  <c r="C1910" i="7" s="1" a="1"/>
  <c r="C1910" i="7" s="1"/>
  <c r="B1909" i="7"/>
  <c r="C1909" i="7" s="1" a="1"/>
  <c r="C1909" i="7" s="1"/>
  <c r="B1908" i="7"/>
  <c r="C1908" i="7" s="1" a="1"/>
  <c r="C1908" i="7" s="1"/>
  <c r="B1907" i="7"/>
  <c r="C1907" i="7" s="1" a="1"/>
  <c r="C1907" i="7" s="1"/>
  <c r="B1906" i="7"/>
  <c r="C1906" i="7" s="1" a="1"/>
  <c r="C1906" i="7" s="1"/>
  <c r="B1905" i="7"/>
  <c r="C1905" i="7" s="1" a="1"/>
  <c r="C1905" i="7" s="1"/>
  <c r="B1904" i="7"/>
  <c r="C1904" i="7" s="1" a="1"/>
  <c r="C1904" i="7" s="1"/>
  <c r="B1903" i="7"/>
  <c r="C1903" i="7" s="1" a="1"/>
  <c r="C1903" i="7" s="1"/>
  <c r="B1902" i="7"/>
  <c r="C1902" i="7" s="1" a="1"/>
  <c r="C1902" i="7" s="1"/>
  <c r="B1901" i="7"/>
  <c r="C1901" i="7" s="1" a="1"/>
  <c r="C1901" i="7" s="1"/>
  <c r="B1900" i="7"/>
  <c r="C1900" i="7" s="1" a="1"/>
  <c r="C1900" i="7" s="1"/>
  <c r="B1899" i="7"/>
  <c r="C1899" i="7" s="1" a="1"/>
  <c r="C1899" i="7" s="1"/>
  <c r="B1898" i="7"/>
  <c r="C1898" i="7" s="1" a="1"/>
  <c r="C1898" i="7" s="1"/>
  <c r="B1897" i="7"/>
  <c r="C1897" i="7" s="1" a="1"/>
  <c r="C1897" i="7" s="1"/>
  <c r="B1896" i="7"/>
  <c r="C1896" i="7" s="1" a="1"/>
  <c r="C1896" i="7" s="1"/>
  <c r="B1895" i="7"/>
  <c r="C1895" i="7" s="1" a="1"/>
  <c r="C1895" i="7" s="1"/>
  <c r="B1894" i="7"/>
  <c r="C1894" i="7" s="1" a="1"/>
  <c r="C1894" i="7" s="1"/>
  <c r="B1893" i="7"/>
  <c r="C1893" i="7" s="1" a="1"/>
  <c r="C1893" i="7" s="1"/>
  <c r="B1892" i="7"/>
  <c r="C1892" i="7" s="1" a="1"/>
  <c r="C1892" i="7" s="1"/>
  <c r="B1891" i="7"/>
  <c r="C1891" i="7" s="1" a="1"/>
  <c r="C1891" i="7" s="1"/>
  <c r="B1890" i="7"/>
  <c r="C1890" i="7" s="1" a="1"/>
  <c r="C1890" i="7" s="1"/>
  <c r="B1889" i="7"/>
  <c r="C1889" i="7" s="1" a="1"/>
  <c r="C1889" i="7" s="1"/>
  <c r="B1888" i="7"/>
  <c r="C1888" i="7" s="1" a="1"/>
  <c r="C1888" i="7" s="1"/>
  <c r="B1887" i="7"/>
  <c r="C1887" i="7" s="1" a="1"/>
  <c r="C1887" i="7" s="1"/>
  <c r="B1886" i="7"/>
  <c r="C1886" i="7" s="1" a="1"/>
  <c r="C1886" i="7" s="1"/>
  <c r="B1885" i="7"/>
  <c r="C1885" i="7" s="1" a="1"/>
  <c r="C1885" i="7" s="1"/>
  <c r="B1884" i="7"/>
  <c r="C1884" i="7" s="1" a="1"/>
  <c r="C1884" i="7" s="1"/>
  <c r="B1883" i="7"/>
  <c r="C1883" i="7" s="1" a="1"/>
  <c r="C1883" i="7" s="1"/>
  <c r="B1882" i="7"/>
  <c r="C1882" i="7" s="1" a="1"/>
  <c r="C1882" i="7" s="1"/>
  <c r="B1881" i="7"/>
  <c r="C1881" i="7" s="1" a="1"/>
  <c r="C1881" i="7" s="1"/>
  <c r="B1880" i="7"/>
  <c r="C1880" i="7" s="1" a="1"/>
  <c r="C1880" i="7" s="1"/>
  <c r="B1879" i="7"/>
  <c r="C1879" i="7" s="1" a="1"/>
  <c r="C1879" i="7" s="1"/>
  <c r="B1878" i="7"/>
  <c r="C1878" i="7" s="1" a="1"/>
  <c r="C1878" i="7" s="1"/>
  <c r="B1877" i="7"/>
  <c r="C1877" i="7" s="1" a="1"/>
  <c r="C1877" i="7" s="1"/>
  <c r="B1876" i="7"/>
  <c r="C1876" i="7" s="1" a="1"/>
  <c r="C1876" i="7" s="1"/>
  <c r="B1875" i="7"/>
  <c r="C1875" i="7" s="1" a="1"/>
  <c r="C1875" i="7" s="1"/>
  <c r="B1874" i="7"/>
  <c r="C1874" i="7" s="1" a="1"/>
  <c r="C1874" i="7" s="1"/>
  <c r="B1873" i="7"/>
  <c r="C1873" i="7" s="1" a="1"/>
  <c r="C1873" i="7" s="1"/>
  <c r="B1872" i="7"/>
  <c r="C1872" i="7" s="1" a="1"/>
  <c r="C1872" i="7" s="1"/>
  <c r="B1871" i="7"/>
  <c r="C1871" i="7" s="1" a="1"/>
  <c r="C1871" i="7" s="1"/>
  <c r="B1870" i="7"/>
  <c r="C1870" i="7" s="1" a="1"/>
  <c r="C1870" i="7" s="1"/>
  <c r="B1869" i="7"/>
  <c r="C1869" i="7" s="1" a="1"/>
  <c r="C1869" i="7" s="1"/>
  <c r="B1868" i="7"/>
  <c r="C1868" i="7" s="1" a="1"/>
  <c r="C1868" i="7" s="1"/>
  <c r="B1867" i="7"/>
  <c r="C1867" i="7" s="1" a="1"/>
  <c r="C1867" i="7" s="1"/>
  <c r="B1866" i="7"/>
  <c r="C1866" i="7" s="1" a="1"/>
  <c r="C1866" i="7" s="1"/>
  <c r="B1865" i="7"/>
  <c r="C1865" i="7" s="1" a="1"/>
  <c r="C1865" i="7" s="1"/>
  <c r="B1864" i="7"/>
  <c r="C1864" i="7" s="1" a="1"/>
  <c r="C1864" i="7" s="1"/>
  <c r="B1863" i="7"/>
  <c r="C1863" i="7" s="1" a="1"/>
  <c r="C1863" i="7" s="1"/>
  <c r="B1862" i="7"/>
  <c r="C1862" i="7" s="1" a="1"/>
  <c r="C1862" i="7" s="1"/>
  <c r="B1861" i="7"/>
  <c r="C1861" i="7" s="1" a="1"/>
  <c r="C1861" i="7" s="1"/>
  <c r="B1860" i="7"/>
  <c r="C1860" i="7" s="1" a="1"/>
  <c r="C1860" i="7" s="1"/>
  <c r="B1859" i="7"/>
  <c r="C1859" i="7" s="1" a="1"/>
  <c r="C1859" i="7" s="1"/>
  <c r="B1858" i="7"/>
  <c r="C1858" i="7" s="1" a="1"/>
  <c r="C1858" i="7" s="1"/>
  <c r="B1857" i="7"/>
  <c r="C1857" i="7" s="1" a="1"/>
  <c r="C1857" i="7" s="1"/>
  <c r="B1856" i="7"/>
  <c r="C1856" i="7" s="1" a="1"/>
  <c r="C1856" i="7" s="1"/>
  <c r="B1855" i="7"/>
  <c r="C1855" i="7" s="1" a="1"/>
  <c r="C1855" i="7" s="1"/>
  <c r="B1854" i="7"/>
  <c r="C1854" i="7" s="1" a="1"/>
  <c r="C1854" i="7" s="1"/>
  <c r="B1853" i="7"/>
  <c r="C1853" i="7" s="1" a="1"/>
  <c r="C1853" i="7" s="1"/>
  <c r="B1852" i="7"/>
  <c r="C1852" i="7" s="1" a="1"/>
  <c r="C1852" i="7" s="1"/>
  <c r="B1851" i="7"/>
  <c r="C1851" i="7" s="1" a="1"/>
  <c r="C1851" i="7" s="1"/>
  <c r="B1850" i="7"/>
  <c r="C1850" i="7" s="1" a="1"/>
  <c r="C1850" i="7" s="1"/>
  <c r="B1849" i="7"/>
  <c r="C1849" i="7" s="1" a="1"/>
  <c r="C1849" i="7" s="1"/>
  <c r="B1848" i="7"/>
  <c r="C1848" i="7" s="1" a="1"/>
  <c r="C1848" i="7" s="1"/>
  <c r="B1847" i="7"/>
  <c r="C1847" i="7" s="1" a="1"/>
  <c r="C1847" i="7" s="1"/>
  <c r="B1846" i="7"/>
  <c r="C1846" i="7" s="1" a="1"/>
  <c r="C1846" i="7" s="1"/>
  <c r="B1845" i="7"/>
  <c r="C1845" i="7" s="1" a="1"/>
  <c r="C1845" i="7" s="1"/>
  <c r="B1844" i="7"/>
  <c r="C1844" i="7" s="1" a="1"/>
  <c r="C1844" i="7" s="1"/>
  <c r="B1843" i="7"/>
  <c r="C1843" i="7" s="1" a="1"/>
  <c r="C1843" i="7" s="1"/>
  <c r="B1842" i="7"/>
  <c r="C1842" i="7" s="1" a="1"/>
  <c r="C1842" i="7" s="1"/>
  <c r="B1841" i="7"/>
  <c r="C1841" i="7" s="1" a="1"/>
  <c r="C1841" i="7" s="1"/>
  <c r="B1840" i="7"/>
  <c r="C1840" i="7" s="1" a="1"/>
  <c r="C1840" i="7" s="1"/>
  <c r="B1839" i="7"/>
  <c r="C1839" i="7" s="1" a="1"/>
  <c r="C1839" i="7" s="1"/>
  <c r="B1838" i="7"/>
  <c r="C1838" i="7" s="1" a="1"/>
  <c r="C1838" i="7" s="1"/>
  <c r="B1837" i="7"/>
  <c r="C1837" i="7" s="1" a="1"/>
  <c r="C1837" i="7" s="1"/>
  <c r="B1836" i="7"/>
  <c r="C1836" i="7" s="1" a="1"/>
  <c r="C1836" i="7" s="1"/>
  <c r="B1835" i="7"/>
  <c r="C1835" i="7" s="1" a="1"/>
  <c r="C1835" i="7" s="1"/>
  <c r="B1834" i="7"/>
  <c r="C1834" i="7" s="1" a="1"/>
  <c r="C1834" i="7" s="1"/>
  <c r="B1833" i="7"/>
  <c r="C1833" i="7" s="1" a="1"/>
  <c r="C1833" i="7" s="1"/>
  <c r="B1832" i="7"/>
  <c r="C1832" i="7" s="1" a="1"/>
  <c r="C1832" i="7" s="1"/>
  <c r="B1831" i="7"/>
  <c r="C1831" i="7" s="1" a="1"/>
  <c r="C1831" i="7" s="1"/>
  <c r="B1830" i="7"/>
  <c r="C1830" i="7" s="1" a="1"/>
  <c r="C1830" i="7" s="1"/>
  <c r="B1829" i="7"/>
  <c r="C1829" i="7" s="1" a="1"/>
  <c r="C1829" i="7" s="1"/>
  <c r="B1828" i="7"/>
  <c r="C1828" i="7" s="1" a="1"/>
  <c r="C1828" i="7" s="1"/>
  <c r="B1827" i="7"/>
  <c r="C1827" i="7" s="1" a="1"/>
  <c r="C1827" i="7" s="1"/>
  <c r="B1826" i="7"/>
  <c r="C1826" i="7" s="1" a="1"/>
  <c r="C1826" i="7" s="1"/>
  <c r="B1825" i="7"/>
  <c r="C1825" i="7" s="1" a="1"/>
  <c r="C1825" i="7" s="1"/>
  <c r="B1824" i="7"/>
  <c r="C1824" i="7" s="1" a="1"/>
  <c r="C1824" i="7" s="1"/>
  <c r="B1823" i="7"/>
  <c r="C1823" i="7" s="1" a="1"/>
  <c r="C1823" i="7" s="1"/>
  <c r="B1822" i="7"/>
  <c r="C1822" i="7" s="1" a="1"/>
  <c r="C1822" i="7" s="1"/>
  <c r="B1821" i="7"/>
  <c r="C1821" i="7" s="1" a="1"/>
  <c r="C1821" i="7" s="1"/>
  <c r="B1820" i="7"/>
  <c r="C1820" i="7" s="1" a="1"/>
  <c r="C1820" i="7" s="1"/>
  <c r="B1819" i="7"/>
  <c r="C1819" i="7" s="1" a="1"/>
  <c r="C1819" i="7" s="1"/>
  <c r="B1818" i="7"/>
  <c r="C1818" i="7" s="1" a="1"/>
  <c r="C1818" i="7" s="1"/>
  <c r="B1817" i="7"/>
  <c r="C1817" i="7" s="1" a="1"/>
  <c r="C1817" i="7" s="1"/>
  <c r="B1816" i="7"/>
  <c r="C1816" i="7" s="1" a="1"/>
  <c r="C1816" i="7" s="1"/>
  <c r="B1815" i="7"/>
  <c r="C1815" i="7" s="1" a="1"/>
  <c r="C1815" i="7" s="1"/>
  <c r="B1814" i="7"/>
  <c r="C1814" i="7" s="1" a="1"/>
  <c r="C1814" i="7" s="1"/>
  <c r="B1813" i="7"/>
  <c r="C1813" i="7" s="1" a="1"/>
  <c r="C1813" i="7" s="1"/>
  <c r="B1812" i="7"/>
  <c r="C1812" i="7" s="1" a="1"/>
  <c r="C1812" i="7" s="1"/>
  <c r="B1811" i="7"/>
  <c r="C1811" i="7" s="1" a="1"/>
  <c r="C1811" i="7" s="1"/>
  <c r="B1810" i="7"/>
  <c r="C1810" i="7" s="1" a="1"/>
  <c r="C1810" i="7" s="1"/>
  <c r="B1809" i="7"/>
  <c r="C1809" i="7" s="1" a="1"/>
  <c r="C1809" i="7" s="1"/>
  <c r="B1808" i="7"/>
  <c r="C1808" i="7" s="1" a="1"/>
  <c r="C1808" i="7" s="1"/>
  <c r="B1807" i="7"/>
  <c r="C1807" i="7" s="1" a="1"/>
  <c r="C1807" i="7" s="1"/>
  <c r="B1806" i="7"/>
  <c r="C1806" i="7" s="1" a="1"/>
  <c r="C1806" i="7" s="1"/>
  <c r="B1805" i="7"/>
  <c r="C1805" i="7" s="1" a="1"/>
  <c r="C1805" i="7" s="1"/>
  <c r="B1804" i="7"/>
  <c r="C1804" i="7" s="1" a="1"/>
  <c r="C1804" i="7" s="1"/>
  <c r="B1803" i="7"/>
  <c r="C1803" i="7" s="1" a="1"/>
  <c r="C1803" i="7" s="1"/>
  <c r="B1802" i="7"/>
  <c r="C1802" i="7" s="1" a="1"/>
  <c r="C1802" i="7" s="1"/>
  <c r="B1801" i="7"/>
  <c r="C1801" i="7" s="1" a="1"/>
  <c r="C1801" i="7" s="1"/>
  <c r="B1800" i="7"/>
  <c r="C1800" i="7" s="1" a="1"/>
  <c r="C1800" i="7" s="1"/>
  <c r="B1799" i="7"/>
  <c r="C1799" i="7" s="1" a="1"/>
  <c r="C1799" i="7" s="1"/>
  <c r="B1798" i="7"/>
  <c r="C1798" i="7" s="1" a="1"/>
  <c r="C1798" i="7" s="1"/>
  <c r="B1797" i="7"/>
  <c r="C1797" i="7" s="1" a="1"/>
  <c r="C1797" i="7" s="1"/>
  <c r="B1796" i="7"/>
  <c r="C1796" i="7" s="1" a="1"/>
  <c r="C1796" i="7" s="1"/>
  <c r="B1795" i="7"/>
  <c r="C1795" i="7" s="1" a="1"/>
  <c r="C1795" i="7" s="1"/>
  <c r="B1794" i="7"/>
  <c r="C1794" i="7" s="1" a="1"/>
  <c r="C1794" i="7" s="1"/>
  <c r="B1793" i="7"/>
  <c r="C1793" i="7" s="1" a="1"/>
  <c r="C1793" i="7" s="1"/>
  <c r="B1792" i="7"/>
  <c r="C1792" i="7" s="1" a="1"/>
  <c r="C1792" i="7" s="1"/>
  <c r="B1791" i="7"/>
  <c r="C1791" i="7" s="1" a="1"/>
  <c r="C1791" i="7" s="1"/>
  <c r="B1790" i="7"/>
  <c r="C1790" i="7" s="1" a="1"/>
  <c r="C1790" i="7" s="1"/>
  <c r="B1789" i="7"/>
  <c r="C1789" i="7" s="1" a="1"/>
  <c r="C1789" i="7" s="1"/>
  <c r="B1788" i="7"/>
  <c r="C1788" i="7" s="1" a="1"/>
  <c r="C1788" i="7" s="1"/>
  <c r="B1787" i="7"/>
  <c r="C1787" i="7" s="1" a="1"/>
  <c r="C1787" i="7" s="1"/>
  <c r="B1786" i="7"/>
  <c r="C1786" i="7" s="1" a="1"/>
  <c r="C1786" i="7" s="1"/>
  <c r="B1785" i="7"/>
  <c r="C1785" i="7" s="1" a="1"/>
  <c r="C1785" i="7" s="1"/>
  <c r="B1784" i="7"/>
  <c r="C1784" i="7" s="1" a="1"/>
  <c r="C1784" i="7" s="1"/>
  <c r="B1783" i="7"/>
  <c r="C1783" i="7" s="1" a="1"/>
  <c r="C1783" i="7" s="1"/>
  <c r="B1782" i="7"/>
  <c r="C1782" i="7" s="1" a="1"/>
  <c r="C1782" i="7" s="1"/>
  <c r="B1781" i="7"/>
  <c r="C1781" i="7" s="1" a="1"/>
  <c r="C1781" i="7" s="1"/>
  <c r="B1780" i="7"/>
  <c r="C1780" i="7" s="1" a="1"/>
  <c r="C1780" i="7" s="1"/>
  <c r="B1779" i="7"/>
  <c r="C1779" i="7" s="1" a="1"/>
  <c r="C1779" i="7" s="1"/>
  <c r="B1778" i="7"/>
  <c r="C1778" i="7" s="1" a="1"/>
  <c r="C1778" i="7" s="1"/>
  <c r="B1777" i="7"/>
  <c r="C1777" i="7" s="1" a="1"/>
  <c r="C1777" i="7" s="1"/>
  <c r="B1776" i="7"/>
  <c r="C1776" i="7" s="1" a="1"/>
  <c r="C1776" i="7" s="1"/>
  <c r="B1775" i="7"/>
  <c r="C1775" i="7" s="1" a="1"/>
  <c r="C1775" i="7" s="1"/>
  <c r="B1774" i="7"/>
  <c r="C1774" i="7" s="1" a="1"/>
  <c r="C1774" i="7" s="1"/>
  <c r="B1773" i="7"/>
  <c r="C1773" i="7" s="1" a="1"/>
  <c r="C1773" i="7" s="1"/>
  <c r="B1772" i="7"/>
  <c r="C1772" i="7" s="1" a="1"/>
  <c r="C1772" i="7" s="1"/>
  <c r="B1771" i="7"/>
  <c r="C1771" i="7" s="1" a="1"/>
  <c r="C1771" i="7" s="1"/>
  <c r="B1770" i="7"/>
  <c r="C1770" i="7" s="1" a="1"/>
  <c r="C1770" i="7" s="1"/>
  <c r="B1769" i="7"/>
  <c r="C1769" i="7" s="1" a="1"/>
  <c r="C1769" i="7" s="1"/>
  <c r="B1768" i="7"/>
  <c r="C1768" i="7" s="1" a="1"/>
  <c r="C1768" i="7" s="1"/>
  <c r="B1767" i="7"/>
  <c r="C1767" i="7" s="1" a="1"/>
  <c r="C1767" i="7" s="1"/>
  <c r="B1766" i="7"/>
  <c r="C1766" i="7" s="1" a="1"/>
  <c r="C1766" i="7" s="1"/>
  <c r="B1765" i="7"/>
  <c r="C1765" i="7" s="1" a="1"/>
  <c r="C1765" i="7" s="1"/>
  <c r="B1764" i="7"/>
  <c r="C1764" i="7" s="1" a="1"/>
  <c r="C1764" i="7" s="1"/>
  <c r="B1763" i="7"/>
  <c r="C1763" i="7" s="1" a="1"/>
  <c r="C1763" i="7" s="1"/>
  <c r="B1762" i="7"/>
  <c r="C1762" i="7" s="1" a="1"/>
  <c r="C1762" i="7" s="1"/>
  <c r="B1761" i="7"/>
  <c r="C1761" i="7" s="1" a="1"/>
  <c r="C1761" i="7" s="1"/>
  <c r="B1760" i="7"/>
  <c r="C1760" i="7" s="1" a="1"/>
  <c r="C1760" i="7" s="1"/>
  <c r="B1759" i="7"/>
  <c r="C1759" i="7" s="1" a="1"/>
  <c r="C1759" i="7" s="1"/>
  <c r="B1758" i="7"/>
  <c r="C1758" i="7" s="1" a="1"/>
  <c r="C1758" i="7" s="1"/>
  <c r="B1757" i="7"/>
  <c r="C1757" i="7" s="1" a="1"/>
  <c r="C1757" i="7" s="1"/>
  <c r="B1756" i="7"/>
  <c r="C1756" i="7" s="1" a="1"/>
  <c r="C1756" i="7" s="1"/>
  <c r="B1755" i="7"/>
  <c r="C1755" i="7" s="1" a="1"/>
  <c r="C1755" i="7" s="1"/>
  <c r="B1754" i="7"/>
  <c r="C1754" i="7" s="1" a="1"/>
  <c r="C1754" i="7" s="1"/>
  <c r="B1753" i="7"/>
  <c r="C1753" i="7" s="1" a="1"/>
  <c r="C1753" i="7" s="1"/>
  <c r="B1752" i="7"/>
  <c r="C1752" i="7" s="1" a="1"/>
  <c r="C1752" i="7" s="1"/>
  <c r="B1751" i="7"/>
  <c r="C1751" i="7" s="1" a="1"/>
  <c r="C1751" i="7" s="1"/>
  <c r="B1750" i="7"/>
  <c r="C1750" i="7" s="1" a="1"/>
  <c r="C1750" i="7" s="1"/>
  <c r="B1749" i="7"/>
  <c r="C1749" i="7" s="1" a="1"/>
  <c r="C1749" i="7" s="1"/>
  <c r="B1748" i="7"/>
  <c r="C1748" i="7" s="1" a="1"/>
  <c r="C1748" i="7" s="1"/>
  <c r="B1747" i="7"/>
  <c r="C1747" i="7" s="1" a="1"/>
  <c r="C1747" i="7" s="1"/>
  <c r="B1746" i="7"/>
  <c r="C1746" i="7" s="1" a="1"/>
  <c r="C1746" i="7" s="1"/>
  <c r="B1745" i="7"/>
  <c r="C1745" i="7" s="1" a="1"/>
  <c r="C1745" i="7" s="1"/>
  <c r="B1744" i="7"/>
  <c r="C1744" i="7" s="1" a="1"/>
  <c r="C1744" i="7" s="1"/>
  <c r="B1743" i="7"/>
  <c r="C1743" i="7" s="1" a="1"/>
  <c r="C1743" i="7" s="1"/>
  <c r="B1742" i="7"/>
  <c r="C1742" i="7" s="1" a="1"/>
  <c r="C1742" i="7" s="1"/>
  <c r="B1741" i="7"/>
  <c r="C1741" i="7" s="1" a="1"/>
  <c r="C1741" i="7" s="1"/>
  <c r="B1740" i="7"/>
  <c r="C1740" i="7" s="1" a="1"/>
  <c r="C1740" i="7" s="1"/>
  <c r="B1739" i="7"/>
  <c r="C1739" i="7" s="1" a="1"/>
  <c r="C1739" i="7" s="1"/>
  <c r="B1738" i="7"/>
  <c r="C1738" i="7" s="1" a="1"/>
  <c r="C1738" i="7" s="1"/>
  <c r="B1737" i="7"/>
  <c r="C1737" i="7" s="1" a="1"/>
  <c r="C1737" i="7" s="1"/>
  <c r="B1736" i="7"/>
  <c r="C1736" i="7" s="1" a="1"/>
  <c r="C1736" i="7" s="1"/>
  <c r="B1735" i="7"/>
  <c r="C1735" i="7" s="1" a="1"/>
  <c r="C1735" i="7" s="1"/>
  <c r="B1734" i="7"/>
  <c r="C1734" i="7" s="1" a="1"/>
  <c r="C1734" i="7" s="1"/>
  <c r="B1733" i="7"/>
  <c r="C1733" i="7" s="1" a="1"/>
  <c r="C1733" i="7" s="1"/>
  <c r="B1732" i="7"/>
  <c r="C1732" i="7" s="1" a="1"/>
  <c r="C1732" i="7" s="1"/>
  <c r="B1731" i="7"/>
  <c r="C1731" i="7" s="1" a="1"/>
  <c r="C1731" i="7" s="1"/>
  <c r="B1730" i="7"/>
  <c r="C1730" i="7" s="1" a="1"/>
  <c r="C1730" i="7" s="1"/>
  <c r="B1729" i="7"/>
  <c r="C1729" i="7" s="1" a="1"/>
  <c r="C1729" i="7" s="1"/>
  <c r="B1728" i="7"/>
  <c r="C1728" i="7" s="1" a="1"/>
  <c r="C1728" i="7" s="1"/>
  <c r="B1727" i="7"/>
  <c r="C1727" i="7" s="1" a="1"/>
  <c r="C1727" i="7" s="1"/>
  <c r="B1726" i="7"/>
  <c r="C1726" i="7" s="1" a="1"/>
  <c r="C1726" i="7" s="1"/>
  <c r="B1725" i="7"/>
  <c r="C1725" i="7" s="1" a="1"/>
  <c r="C1725" i="7" s="1"/>
  <c r="B1724" i="7"/>
  <c r="C1724" i="7" s="1" a="1"/>
  <c r="C1724" i="7" s="1"/>
  <c r="B1723" i="7"/>
  <c r="C1723" i="7" s="1" a="1"/>
  <c r="C1723" i="7" s="1"/>
  <c r="B1722" i="7"/>
  <c r="C1722" i="7" s="1" a="1"/>
  <c r="C1722" i="7" s="1"/>
  <c r="B1721" i="7"/>
  <c r="C1721" i="7" s="1" a="1"/>
  <c r="C1721" i="7" s="1"/>
  <c r="B1720" i="7"/>
  <c r="C1720" i="7" s="1" a="1"/>
  <c r="C1720" i="7" s="1"/>
  <c r="B1719" i="7"/>
  <c r="C1719" i="7" s="1" a="1"/>
  <c r="C1719" i="7" s="1"/>
  <c r="B1718" i="7"/>
  <c r="C1718" i="7" s="1" a="1"/>
  <c r="C1718" i="7" s="1"/>
  <c r="B1717" i="7"/>
  <c r="C1717" i="7" s="1" a="1"/>
  <c r="C1717" i="7" s="1"/>
  <c r="B1716" i="7"/>
  <c r="C1716" i="7" s="1" a="1"/>
  <c r="C1716" i="7" s="1"/>
  <c r="B1715" i="7"/>
  <c r="C1715" i="7" s="1" a="1"/>
  <c r="C1715" i="7" s="1"/>
  <c r="B1714" i="7"/>
  <c r="C1714" i="7" s="1" a="1"/>
  <c r="C1714" i="7" s="1"/>
  <c r="B1713" i="7"/>
  <c r="C1713" i="7" s="1" a="1"/>
  <c r="C1713" i="7" s="1"/>
  <c r="B1712" i="7"/>
  <c r="C1712" i="7" s="1" a="1"/>
  <c r="C1712" i="7" s="1"/>
  <c r="B1711" i="7"/>
  <c r="C1711" i="7" s="1" a="1"/>
  <c r="C1711" i="7" s="1"/>
  <c r="B1710" i="7"/>
  <c r="C1710" i="7" s="1" a="1"/>
  <c r="C1710" i="7" s="1"/>
  <c r="B1709" i="7"/>
  <c r="C1709" i="7" s="1" a="1"/>
  <c r="C1709" i="7" s="1"/>
  <c r="B1708" i="7"/>
  <c r="C1708" i="7" s="1" a="1"/>
  <c r="C1708" i="7" s="1"/>
  <c r="B1707" i="7"/>
  <c r="C1707" i="7" s="1" a="1"/>
  <c r="C1707" i="7" s="1"/>
  <c r="B1706" i="7"/>
  <c r="C1706" i="7" s="1" a="1"/>
  <c r="C1706" i="7" s="1"/>
  <c r="B1705" i="7"/>
  <c r="C1705" i="7" s="1" a="1"/>
  <c r="C1705" i="7" s="1"/>
  <c r="B1704" i="7"/>
  <c r="C1704" i="7" s="1" a="1"/>
  <c r="C1704" i="7" s="1"/>
  <c r="B1703" i="7"/>
  <c r="C1703" i="7" s="1" a="1"/>
  <c r="C1703" i="7" s="1"/>
  <c r="B1702" i="7"/>
  <c r="C1702" i="7" s="1" a="1"/>
  <c r="C1702" i="7" s="1"/>
  <c r="B1701" i="7"/>
  <c r="C1701" i="7" s="1" a="1"/>
  <c r="C1701" i="7" s="1"/>
  <c r="B1700" i="7"/>
  <c r="C1700" i="7" s="1" a="1"/>
  <c r="C1700" i="7" s="1"/>
  <c r="B1699" i="7"/>
  <c r="C1699" i="7" s="1" a="1"/>
  <c r="C1699" i="7" s="1"/>
  <c r="B1698" i="7"/>
  <c r="C1698" i="7" s="1" a="1"/>
  <c r="C1698" i="7" s="1"/>
  <c r="B1697" i="7"/>
  <c r="C1697" i="7" s="1" a="1"/>
  <c r="C1697" i="7" s="1"/>
  <c r="B1696" i="7"/>
  <c r="C1696" i="7" s="1" a="1"/>
  <c r="C1696" i="7" s="1"/>
  <c r="B1695" i="7"/>
  <c r="C1695" i="7" s="1" a="1"/>
  <c r="C1695" i="7" s="1"/>
  <c r="B1694" i="7"/>
  <c r="C1694" i="7" s="1" a="1"/>
  <c r="C1694" i="7" s="1"/>
  <c r="B1693" i="7"/>
  <c r="C1693" i="7" s="1" a="1"/>
  <c r="C1693" i="7" s="1"/>
  <c r="B1692" i="7"/>
  <c r="C1692" i="7" s="1" a="1"/>
  <c r="C1692" i="7" s="1"/>
  <c r="B1691" i="7"/>
  <c r="C1691" i="7" s="1" a="1"/>
  <c r="C1691" i="7" s="1"/>
  <c r="B1690" i="7"/>
  <c r="C1690" i="7" s="1" a="1"/>
  <c r="C1690" i="7" s="1"/>
  <c r="B1689" i="7"/>
  <c r="C1689" i="7" s="1" a="1"/>
  <c r="C1689" i="7" s="1"/>
  <c r="B1688" i="7"/>
  <c r="C1688" i="7" s="1" a="1"/>
  <c r="C1688" i="7" s="1"/>
  <c r="B1687" i="7"/>
  <c r="C1687" i="7" s="1" a="1"/>
  <c r="C1687" i="7" s="1"/>
  <c r="B1686" i="7"/>
  <c r="C1686" i="7" s="1" a="1"/>
  <c r="C1686" i="7" s="1"/>
  <c r="B1685" i="7"/>
  <c r="C1685" i="7" s="1" a="1"/>
  <c r="C1685" i="7" s="1"/>
  <c r="B1684" i="7"/>
  <c r="C1684" i="7" s="1" a="1"/>
  <c r="C1684" i="7" s="1"/>
  <c r="B1683" i="7"/>
  <c r="C1683" i="7" s="1" a="1"/>
  <c r="C1683" i="7" s="1"/>
  <c r="B1682" i="7"/>
  <c r="C1682" i="7" s="1" a="1"/>
  <c r="C1682" i="7" s="1"/>
  <c r="B1681" i="7"/>
  <c r="C1681" i="7" s="1" a="1"/>
  <c r="C1681" i="7" s="1"/>
  <c r="B1680" i="7"/>
  <c r="C1680" i="7" s="1" a="1"/>
  <c r="C1680" i="7" s="1"/>
  <c r="B1679" i="7"/>
  <c r="C1679" i="7" s="1" a="1"/>
  <c r="C1679" i="7" s="1"/>
  <c r="B1678" i="7"/>
  <c r="C1678" i="7" s="1" a="1"/>
  <c r="C1678" i="7" s="1"/>
  <c r="B1677" i="7"/>
  <c r="C1677" i="7" s="1" a="1"/>
  <c r="C1677" i="7" s="1"/>
  <c r="B1676" i="7"/>
  <c r="C1676" i="7" s="1" a="1"/>
  <c r="C1676" i="7" s="1"/>
  <c r="B1675" i="7"/>
  <c r="C1675" i="7" s="1" a="1"/>
  <c r="C1675" i="7" s="1"/>
  <c r="B1674" i="7"/>
  <c r="C1674" i="7" s="1" a="1"/>
  <c r="C1674" i="7" s="1"/>
  <c r="B1673" i="7"/>
  <c r="C1673" i="7" s="1" a="1"/>
  <c r="C1673" i="7" s="1"/>
  <c r="B1672" i="7"/>
  <c r="C1672" i="7" s="1" a="1"/>
  <c r="C1672" i="7" s="1"/>
  <c r="B1671" i="7"/>
  <c r="C1671" i="7" s="1" a="1"/>
  <c r="C1671" i="7" s="1"/>
  <c r="B1670" i="7"/>
  <c r="C1670" i="7" s="1" a="1"/>
  <c r="C1670" i="7" s="1"/>
  <c r="B1669" i="7"/>
  <c r="C1669" i="7" s="1" a="1"/>
  <c r="C1669" i="7" s="1"/>
  <c r="B1668" i="7"/>
  <c r="C1668" i="7" s="1" a="1"/>
  <c r="C1668" i="7" s="1"/>
  <c r="B1667" i="7"/>
  <c r="C1667" i="7" s="1" a="1"/>
  <c r="C1667" i="7" s="1"/>
  <c r="B1666" i="7"/>
  <c r="C1666" i="7" s="1" a="1"/>
  <c r="C1666" i="7" s="1"/>
  <c r="B1665" i="7"/>
  <c r="C1665" i="7" s="1" a="1"/>
  <c r="C1665" i="7" s="1"/>
  <c r="B1664" i="7"/>
  <c r="C1664" i="7" s="1" a="1"/>
  <c r="C1664" i="7" s="1"/>
  <c r="B1663" i="7"/>
  <c r="C1663" i="7" s="1" a="1"/>
  <c r="C1663" i="7" s="1"/>
  <c r="B1662" i="7"/>
  <c r="C1662" i="7" s="1" a="1"/>
  <c r="C1662" i="7" s="1"/>
  <c r="B1661" i="7"/>
  <c r="C1661" i="7" s="1" a="1"/>
  <c r="C1661" i="7" s="1"/>
  <c r="B1660" i="7"/>
  <c r="C1660" i="7" s="1" a="1"/>
  <c r="C1660" i="7" s="1"/>
  <c r="B1659" i="7"/>
  <c r="C1659" i="7" s="1" a="1"/>
  <c r="C1659" i="7" s="1"/>
  <c r="B1658" i="7"/>
  <c r="C1658" i="7" s="1" a="1"/>
  <c r="C1658" i="7" s="1"/>
  <c r="B1657" i="7"/>
  <c r="C1657" i="7" s="1" a="1"/>
  <c r="C1657" i="7" s="1"/>
  <c r="B1656" i="7"/>
  <c r="C1656" i="7" s="1" a="1"/>
  <c r="C1656" i="7" s="1"/>
  <c r="B1655" i="7"/>
  <c r="C1655" i="7" s="1" a="1"/>
  <c r="C1655" i="7" s="1"/>
  <c r="B1654" i="7"/>
  <c r="C1654" i="7" s="1" a="1"/>
  <c r="C1654" i="7" s="1"/>
  <c r="B1653" i="7"/>
  <c r="C1653" i="7" s="1" a="1"/>
  <c r="C1653" i="7" s="1"/>
  <c r="B1652" i="7"/>
  <c r="C1652" i="7" s="1" a="1"/>
  <c r="C1652" i="7" s="1"/>
  <c r="B1651" i="7"/>
  <c r="C1651" i="7" s="1" a="1"/>
  <c r="C1651" i="7" s="1"/>
  <c r="B1650" i="7"/>
  <c r="C1650" i="7" s="1" a="1"/>
  <c r="C1650" i="7" s="1"/>
  <c r="B1649" i="7"/>
  <c r="C1649" i="7" s="1" a="1"/>
  <c r="C1649" i="7" s="1"/>
  <c r="B1648" i="7"/>
  <c r="C1648" i="7" s="1" a="1"/>
  <c r="C1648" i="7" s="1"/>
  <c r="B1647" i="7"/>
  <c r="C1647" i="7" s="1" a="1"/>
  <c r="C1647" i="7" s="1"/>
  <c r="B1646" i="7"/>
  <c r="C1646" i="7" s="1" a="1"/>
  <c r="C1646" i="7" s="1"/>
  <c r="B1645" i="7"/>
  <c r="C1645" i="7" s="1" a="1"/>
  <c r="C1645" i="7" s="1"/>
  <c r="B1644" i="7"/>
  <c r="C1644" i="7" s="1" a="1"/>
  <c r="C1644" i="7" s="1"/>
  <c r="B1643" i="7"/>
  <c r="C1643" i="7" s="1" a="1"/>
  <c r="C1643" i="7" s="1"/>
  <c r="B1642" i="7"/>
  <c r="C1642" i="7" s="1" a="1"/>
  <c r="C1642" i="7" s="1"/>
  <c r="B1641" i="7"/>
  <c r="C1641" i="7" s="1" a="1"/>
  <c r="C1641" i="7" s="1"/>
  <c r="B1640" i="7"/>
  <c r="C1640" i="7" s="1" a="1"/>
  <c r="C1640" i="7" s="1"/>
  <c r="B1639" i="7"/>
  <c r="C1639" i="7" s="1" a="1"/>
  <c r="C1639" i="7" s="1"/>
  <c r="B1638" i="7"/>
  <c r="C1638" i="7" s="1" a="1"/>
  <c r="C1638" i="7" s="1"/>
  <c r="B1637" i="7"/>
  <c r="C1637" i="7" s="1" a="1"/>
  <c r="C1637" i="7" s="1"/>
  <c r="B1636" i="7"/>
  <c r="C1636" i="7" s="1" a="1"/>
  <c r="C1636" i="7" s="1"/>
  <c r="B1635" i="7"/>
  <c r="C1635" i="7" s="1" a="1"/>
  <c r="C1635" i="7" s="1"/>
  <c r="B1634" i="7"/>
  <c r="C1634" i="7" s="1" a="1"/>
  <c r="C1634" i="7" s="1"/>
  <c r="B1633" i="7"/>
  <c r="C1633" i="7" s="1" a="1"/>
  <c r="C1633" i="7" s="1"/>
  <c r="B1632" i="7"/>
  <c r="C1632" i="7" s="1" a="1"/>
  <c r="C1632" i="7" s="1"/>
  <c r="B1631" i="7"/>
  <c r="C1631" i="7" s="1" a="1"/>
  <c r="C1631" i="7" s="1"/>
  <c r="B1630" i="7"/>
  <c r="C1630" i="7" s="1" a="1"/>
  <c r="C1630" i="7" s="1"/>
  <c r="B1629" i="7"/>
  <c r="C1629" i="7" s="1" a="1"/>
  <c r="C1629" i="7" s="1"/>
  <c r="B1628" i="7"/>
  <c r="C1628" i="7" s="1" a="1"/>
  <c r="C1628" i="7" s="1"/>
  <c r="B1627" i="7"/>
  <c r="C1627" i="7" s="1" a="1"/>
  <c r="C1627" i="7" s="1"/>
  <c r="B1626" i="7"/>
  <c r="C1626" i="7" s="1" a="1"/>
  <c r="C1626" i="7" s="1"/>
  <c r="B1625" i="7"/>
  <c r="C1625" i="7" s="1" a="1"/>
  <c r="C1625" i="7" s="1"/>
  <c r="B1624" i="7"/>
  <c r="C1624" i="7" s="1" a="1"/>
  <c r="C1624" i="7" s="1"/>
  <c r="B1623" i="7"/>
  <c r="C1623" i="7" s="1" a="1"/>
  <c r="C1623" i="7" s="1"/>
  <c r="B1622" i="7"/>
  <c r="C1622" i="7" s="1" a="1"/>
  <c r="C1622" i="7" s="1"/>
  <c r="B1621" i="7"/>
  <c r="C1621" i="7" s="1" a="1"/>
  <c r="C1621" i="7" s="1"/>
  <c r="B1620" i="7"/>
  <c r="C1620" i="7" s="1" a="1"/>
  <c r="C1620" i="7" s="1"/>
  <c r="B1619" i="7"/>
  <c r="C1619" i="7" s="1" a="1"/>
  <c r="C1619" i="7" s="1"/>
  <c r="B1618" i="7"/>
  <c r="C1618" i="7" s="1" a="1"/>
  <c r="C1618" i="7" s="1"/>
  <c r="B1617" i="7"/>
  <c r="C1617" i="7" s="1" a="1"/>
  <c r="C1617" i="7" s="1"/>
  <c r="B1616" i="7"/>
  <c r="C1616" i="7" s="1" a="1"/>
  <c r="C1616" i="7" s="1"/>
  <c r="B1615" i="7"/>
  <c r="C1615" i="7" s="1" a="1"/>
  <c r="C1615" i="7" s="1"/>
  <c r="B1614" i="7"/>
  <c r="C1614" i="7" s="1" a="1"/>
  <c r="C1614" i="7" s="1"/>
  <c r="B1613" i="7"/>
  <c r="C1613" i="7" s="1" a="1"/>
  <c r="C1613" i="7" s="1"/>
  <c r="B1612" i="7"/>
  <c r="C1612" i="7" s="1" a="1"/>
  <c r="C1612" i="7" s="1"/>
  <c r="B1611" i="7"/>
  <c r="C1611" i="7" s="1" a="1"/>
  <c r="C1611" i="7" s="1"/>
  <c r="B1610" i="7"/>
  <c r="C1610" i="7" s="1" a="1"/>
  <c r="C1610" i="7" s="1"/>
  <c r="B1609" i="7"/>
  <c r="C1609" i="7" s="1" a="1"/>
  <c r="C1609" i="7" s="1"/>
  <c r="B1608" i="7"/>
  <c r="C1608" i="7" s="1" a="1"/>
  <c r="C1608" i="7" s="1"/>
  <c r="B1607" i="7"/>
  <c r="C1607" i="7" s="1" a="1"/>
  <c r="C1607" i="7" s="1"/>
  <c r="B1606" i="7"/>
  <c r="C1606" i="7" s="1" a="1"/>
  <c r="C1606" i="7" s="1"/>
  <c r="B1605" i="7"/>
  <c r="C1605" i="7" s="1" a="1"/>
  <c r="C1605" i="7" s="1"/>
  <c r="B1604" i="7"/>
  <c r="C1604" i="7" s="1" a="1"/>
  <c r="C1604" i="7" s="1"/>
  <c r="B1603" i="7"/>
  <c r="C1603" i="7" s="1" a="1"/>
  <c r="C1603" i="7" s="1"/>
  <c r="B1602" i="7"/>
  <c r="C1602" i="7" s="1" a="1"/>
  <c r="C1602" i="7" s="1"/>
  <c r="B1601" i="7"/>
  <c r="C1601" i="7" s="1" a="1"/>
  <c r="C1601" i="7" s="1"/>
  <c r="B1600" i="7"/>
  <c r="C1600" i="7" s="1" a="1"/>
  <c r="C1600" i="7" s="1"/>
  <c r="B1599" i="7"/>
  <c r="C1599" i="7" s="1" a="1"/>
  <c r="C1599" i="7" s="1"/>
  <c r="B1598" i="7"/>
  <c r="C1598" i="7" s="1" a="1"/>
  <c r="C1598" i="7" s="1"/>
  <c r="B1597" i="7"/>
  <c r="C1597" i="7" s="1" a="1"/>
  <c r="C1597" i="7" s="1"/>
  <c r="B1596" i="7"/>
  <c r="C1596" i="7" s="1" a="1"/>
  <c r="C1596" i="7" s="1"/>
  <c r="B1595" i="7"/>
  <c r="C1595" i="7" s="1" a="1"/>
  <c r="C1595" i="7" s="1"/>
  <c r="B1594" i="7"/>
  <c r="C1594" i="7" s="1" a="1"/>
  <c r="C1594" i="7" s="1"/>
  <c r="B1593" i="7"/>
  <c r="C1593" i="7" s="1" a="1"/>
  <c r="C1593" i="7" s="1"/>
  <c r="B1592" i="7"/>
  <c r="C1592" i="7" s="1" a="1"/>
  <c r="C1592" i="7" s="1"/>
  <c r="B1591" i="7"/>
  <c r="C1591" i="7" s="1" a="1"/>
  <c r="C1591" i="7" s="1"/>
  <c r="B1590" i="7"/>
  <c r="C1590" i="7" s="1" a="1"/>
  <c r="C1590" i="7" s="1"/>
  <c r="B1589" i="7"/>
  <c r="C1589" i="7" s="1" a="1"/>
  <c r="C1589" i="7" s="1"/>
  <c r="B1588" i="7"/>
  <c r="C1588" i="7" s="1" a="1"/>
  <c r="C1588" i="7" s="1"/>
  <c r="B1587" i="7"/>
  <c r="C1587" i="7" s="1" a="1"/>
  <c r="C1587" i="7" s="1"/>
  <c r="B1586" i="7"/>
  <c r="C1586" i="7" s="1" a="1"/>
  <c r="C1586" i="7" s="1"/>
  <c r="B1585" i="7"/>
  <c r="C1585" i="7" s="1" a="1"/>
  <c r="C1585" i="7" s="1"/>
  <c r="B1584" i="7"/>
  <c r="C1584" i="7" s="1" a="1"/>
  <c r="C1584" i="7" s="1"/>
  <c r="B1583" i="7"/>
  <c r="C1583" i="7" s="1" a="1"/>
  <c r="C1583" i="7" s="1"/>
  <c r="B1582" i="7"/>
  <c r="C1582" i="7" s="1" a="1"/>
  <c r="C1582" i="7" s="1"/>
  <c r="B1581" i="7"/>
  <c r="C1581" i="7" s="1" a="1"/>
  <c r="C1581" i="7" s="1"/>
  <c r="B1580" i="7"/>
  <c r="C1580" i="7" s="1" a="1"/>
  <c r="C1580" i="7" s="1"/>
  <c r="B1579" i="7"/>
  <c r="C1579" i="7" s="1" a="1"/>
  <c r="C1579" i="7" s="1"/>
  <c r="B1578" i="7"/>
  <c r="C1578" i="7" s="1" a="1"/>
  <c r="C1578" i="7" s="1"/>
  <c r="B1577" i="7"/>
  <c r="C1577" i="7" s="1" a="1"/>
  <c r="C1577" i="7" s="1"/>
  <c r="B1576" i="7"/>
  <c r="C1576" i="7" s="1" a="1"/>
  <c r="C1576" i="7" s="1"/>
  <c r="B1575" i="7"/>
  <c r="C1575" i="7" s="1" a="1"/>
  <c r="C1575" i="7" s="1"/>
  <c r="B1574" i="7"/>
  <c r="C1574" i="7" s="1" a="1"/>
  <c r="C1574" i="7" s="1"/>
  <c r="B1573" i="7"/>
  <c r="C1573" i="7" s="1" a="1"/>
  <c r="C1573" i="7" s="1"/>
  <c r="B1572" i="7"/>
  <c r="C1572" i="7" s="1" a="1"/>
  <c r="C1572" i="7" s="1"/>
  <c r="B1571" i="7"/>
  <c r="C1571" i="7" s="1" a="1"/>
  <c r="C1571" i="7" s="1"/>
  <c r="B1570" i="7"/>
  <c r="C1570" i="7" s="1" a="1"/>
  <c r="C1570" i="7" s="1"/>
  <c r="B1569" i="7"/>
  <c r="C1569" i="7" s="1" a="1"/>
  <c r="C1569" i="7" s="1"/>
  <c r="B1568" i="7"/>
  <c r="C1568" i="7" s="1" a="1"/>
  <c r="C1568" i="7" s="1"/>
  <c r="B1567" i="7"/>
  <c r="C1567" i="7" s="1" a="1"/>
  <c r="C1567" i="7" s="1"/>
  <c r="B1566" i="7"/>
  <c r="C1566" i="7" s="1" a="1"/>
  <c r="C1566" i="7" s="1"/>
  <c r="B1565" i="7"/>
  <c r="C1565" i="7" s="1" a="1"/>
  <c r="C1565" i="7" s="1"/>
  <c r="B1564" i="7"/>
  <c r="C1564" i="7" s="1" a="1"/>
  <c r="C1564" i="7" s="1"/>
  <c r="B1563" i="7"/>
  <c r="C1563" i="7" s="1" a="1"/>
  <c r="C1563" i="7" s="1"/>
  <c r="B1562" i="7"/>
  <c r="C1562" i="7" s="1" a="1"/>
  <c r="C1562" i="7" s="1"/>
  <c r="B1561" i="7"/>
  <c r="C1561" i="7" s="1" a="1"/>
  <c r="C1561" i="7" s="1"/>
  <c r="B1560" i="7"/>
  <c r="C1560" i="7" s="1" a="1"/>
  <c r="C1560" i="7" s="1"/>
  <c r="B1559" i="7"/>
  <c r="C1559" i="7" s="1" a="1"/>
  <c r="C1559" i="7" s="1"/>
  <c r="B1558" i="7"/>
  <c r="C1558" i="7" s="1" a="1"/>
  <c r="C1558" i="7" s="1"/>
  <c r="B1557" i="7"/>
  <c r="C1557" i="7" s="1" a="1"/>
  <c r="C1557" i="7" s="1"/>
  <c r="B1556" i="7"/>
  <c r="C1556" i="7" s="1" a="1"/>
  <c r="C1556" i="7" s="1"/>
  <c r="B1555" i="7"/>
  <c r="C1555" i="7" s="1" a="1"/>
  <c r="C1555" i="7" s="1"/>
  <c r="B1554" i="7"/>
  <c r="C1554" i="7" s="1" a="1"/>
  <c r="C1554" i="7" s="1"/>
  <c r="B1553" i="7"/>
  <c r="C1553" i="7" s="1" a="1"/>
  <c r="C1553" i="7" s="1"/>
  <c r="B1552" i="7"/>
  <c r="C1552" i="7" s="1" a="1"/>
  <c r="C1552" i="7" s="1"/>
  <c r="B1551" i="7"/>
  <c r="C1551" i="7" s="1" a="1"/>
  <c r="C1551" i="7" s="1"/>
  <c r="B1550" i="7"/>
  <c r="C1550" i="7" s="1" a="1"/>
  <c r="C1550" i="7" s="1"/>
  <c r="B1549" i="7"/>
  <c r="C1549" i="7" s="1" a="1"/>
  <c r="C1549" i="7" s="1"/>
  <c r="B1548" i="7"/>
  <c r="C1548" i="7" s="1" a="1"/>
  <c r="C1548" i="7" s="1"/>
  <c r="B1547" i="7"/>
  <c r="C1547" i="7" s="1" a="1"/>
  <c r="C1547" i="7" s="1"/>
  <c r="B1546" i="7"/>
  <c r="C1546" i="7" s="1" a="1"/>
  <c r="C1546" i="7" s="1"/>
  <c r="B1545" i="7"/>
  <c r="C1545" i="7" s="1" a="1"/>
  <c r="C1545" i="7" s="1"/>
  <c r="B1544" i="7"/>
  <c r="C1544" i="7" s="1" a="1"/>
  <c r="C1544" i="7" s="1"/>
  <c r="B1543" i="7"/>
  <c r="C1543" i="7" s="1" a="1"/>
  <c r="C1543" i="7" s="1"/>
  <c r="B1542" i="7"/>
  <c r="C1542" i="7" s="1" a="1"/>
  <c r="C1542" i="7" s="1"/>
  <c r="B1541" i="7"/>
  <c r="C1541" i="7" s="1" a="1"/>
  <c r="C1541" i="7" s="1"/>
  <c r="B1540" i="7"/>
  <c r="C1540" i="7" s="1" a="1"/>
  <c r="C1540" i="7" s="1"/>
  <c r="B1539" i="7"/>
  <c r="C1539" i="7" s="1" a="1"/>
  <c r="C1539" i="7" s="1"/>
  <c r="B1538" i="7"/>
  <c r="C1538" i="7" s="1" a="1"/>
  <c r="C1538" i="7" s="1"/>
  <c r="B1537" i="7"/>
  <c r="C1537" i="7" s="1" a="1"/>
  <c r="C1537" i="7" s="1"/>
  <c r="B1536" i="7"/>
  <c r="C1536" i="7" s="1" a="1"/>
  <c r="C1536" i="7" s="1"/>
  <c r="B1535" i="7"/>
  <c r="C1535" i="7" s="1" a="1"/>
  <c r="C1535" i="7" s="1"/>
  <c r="B1534" i="7"/>
  <c r="C1534" i="7" s="1" a="1"/>
  <c r="C1534" i="7" s="1"/>
  <c r="B1533" i="7"/>
  <c r="C1533" i="7" s="1" a="1"/>
  <c r="C1533" i="7" s="1"/>
  <c r="B1532" i="7"/>
  <c r="C1532" i="7" s="1" a="1"/>
  <c r="C1532" i="7" s="1"/>
  <c r="B1531" i="7"/>
  <c r="C1531" i="7" s="1" a="1"/>
  <c r="C1531" i="7" s="1"/>
  <c r="B1530" i="7"/>
  <c r="C1530" i="7" s="1" a="1"/>
  <c r="C1530" i="7" s="1"/>
  <c r="B1529" i="7"/>
  <c r="C1529" i="7" s="1" a="1"/>
  <c r="C1529" i="7" s="1"/>
  <c r="B1528" i="7"/>
  <c r="C1528" i="7" s="1" a="1"/>
  <c r="C1528" i="7" s="1"/>
  <c r="B1527" i="7"/>
  <c r="C1527" i="7" s="1" a="1"/>
  <c r="C1527" i="7" s="1"/>
  <c r="B1526" i="7"/>
  <c r="C1526" i="7" s="1" a="1"/>
  <c r="C1526" i="7" s="1"/>
  <c r="B1525" i="7"/>
  <c r="C1525" i="7" s="1" a="1"/>
  <c r="C1525" i="7" s="1"/>
  <c r="B1524" i="7"/>
  <c r="C1524" i="7" s="1" a="1"/>
  <c r="C1524" i="7" s="1"/>
  <c r="B1523" i="7"/>
  <c r="C1523" i="7" s="1" a="1"/>
  <c r="C1523" i="7" s="1"/>
  <c r="B1522" i="7"/>
  <c r="C1522" i="7" s="1" a="1"/>
  <c r="C1522" i="7" s="1"/>
  <c r="B1521" i="7"/>
  <c r="C1521" i="7" s="1" a="1"/>
  <c r="C1521" i="7" s="1"/>
  <c r="B1520" i="7"/>
  <c r="C1520" i="7" s="1" a="1"/>
  <c r="C1520" i="7" s="1"/>
  <c r="B1519" i="7"/>
  <c r="C1519" i="7" s="1" a="1"/>
  <c r="C1519" i="7" s="1"/>
  <c r="B1518" i="7"/>
  <c r="C1518" i="7" s="1" a="1"/>
  <c r="C1518" i="7" s="1"/>
  <c r="B1517" i="7"/>
  <c r="C1517" i="7" s="1" a="1"/>
  <c r="C1517" i="7" s="1"/>
  <c r="B1516" i="7"/>
  <c r="C1516" i="7" s="1" a="1"/>
  <c r="C1516" i="7" s="1"/>
  <c r="B1515" i="7"/>
  <c r="C1515" i="7" s="1" a="1"/>
  <c r="C1515" i="7" s="1"/>
  <c r="B1514" i="7"/>
  <c r="C1514" i="7" s="1" a="1"/>
  <c r="C1514" i="7" s="1"/>
  <c r="B1513" i="7"/>
  <c r="C1513" i="7" s="1" a="1"/>
  <c r="C1513" i="7" s="1"/>
  <c r="B1512" i="7"/>
  <c r="C1512" i="7" s="1" a="1"/>
  <c r="C1512" i="7" s="1"/>
  <c r="B1511" i="7"/>
  <c r="C1511" i="7" s="1" a="1"/>
  <c r="C1511" i="7" s="1"/>
  <c r="B1510" i="7"/>
  <c r="C1510" i="7" s="1" a="1"/>
  <c r="C1510" i="7" s="1"/>
  <c r="B1509" i="7"/>
  <c r="C1509" i="7" s="1" a="1"/>
  <c r="C1509" i="7" s="1"/>
  <c r="B1508" i="7"/>
  <c r="C1508" i="7" s="1" a="1"/>
  <c r="C1508" i="7" s="1"/>
  <c r="B1507" i="7"/>
  <c r="C1507" i="7" s="1" a="1"/>
  <c r="C1507" i="7" s="1"/>
  <c r="B1506" i="7"/>
  <c r="C1506" i="7" s="1" a="1"/>
  <c r="C1506" i="7" s="1"/>
  <c r="B1505" i="7"/>
  <c r="C1505" i="7" s="1" a="1"/>
  <c r="C1505" i="7" s="1"/>
  <c r="B1504" i="7"/>
  <c r="C1504" i="7" s="1" a="1"/>
  <c r="C1504" i="7" s="1"/>
  <c r="B1503" i="7"/>
  <c r="C1503" i="7" s="1" a="1"/>
  <c r="C1503" i="7" s="1"/>
  <c r="B1502" i="7"/>
  <c r="C1502" i="7" s="1" a="1"/>
  <c r="C1502" i="7" s="1"/>
  <c r="B1501" i="7"/>
  <c r="C1501" i="7" s="1" a="1"/>
  <c r="C1501" i="7" s="1"/>
  <c r="B1500" i="7"/>
  <c r="C1500" i="7" s="1" a="1"/>
  <c r="C1500" i="7" s="1"/>
  <c r="B1499" i="7"/>
  <c r="C1499" i="7" s="1" a="1"/>
  <c r="C1499" i="7" s="1"/>
  <c r="B1498" i="7"/>
  <c r="C1498" i="7" s="1" a="1"/>
  <c r="C1498" i="7" s="1"/>
  <c r="B1497" i="7"/>
  <c r="C1497" i="7" s="1" a="1"/>
  <c r="C1497" i="7" s="1"/>
  <c r="B1496" i="7"/>
  <c r="C1496" i="7" s="1" a="1"/>
  <c r="C1496" i="7" s="1"/>
  <c r="B1495" i="7"/>
  <c r="C1495" i="7" s="1" a="1"/>
  <c r="C1495" i="7" s="1"/>
  <c r="B1494" i="7"/>
  <c r="C1494" i="7" s="1" a="1"/>
  <c r="C1494" i="7" s="1"/>
  <c r="B1493" i="7"/>
  <c r="C1493" i="7" s="1" a="1"/>
  <c r="C1493" i="7" s="1"/>
  <c r="B1492" i="7"/>
  <c r="C1492" i="7" s="1" a="1"/>
  <c r="C1492" i="7" s="1"/>
  <c r="B1491" i="7"/>
  <c r="C1491" i="7" s="1" a="1"/>
  <c r="C1491" i="7" s="1"/>
  <c r="B1490" i="7"/>
  <c r="C1490" i="7" s="1" a="1"/>
  <c r="C1490" i="7" s="1"/>
  <c r="B1489" i="7"/>
  <c r="C1489" i="7" s="1" a="1"/>
  <c r="C1489" i="7" s="1"/>
  <c r="B1488" i="7"/>
  <c r="C1488" i="7" s="1" a="1"/>
  <c r="C1488" i="7" s="1"/>
  <c r="B1487" i="7"/>
  <c r="C1487" i="7" s="1" a="1"/>
  <c r="C1487" i="7" s="1"/>
  <c r="B1486" i="7"/>
  <c r="C1486" i="7" s="1" a="1"/>
  <c r="C1486" i="7" s="1"/>
  <c r="B1485" i="7"/>
  <c r="C1485" i="7" s="1" a="1"/>
  <c r="C1485" i="7" s="1"/>
  <c r="B1484" i="7"/>
  <c r="C1484" i="7" s="1" a="1"/>
  <c r="C1484" i="7" s="1"/>
  <c r="B1483" i="7"/>
  <c r="C1483" i="7" s="1" a="1"/>
  <c r="C1483" i="7" s="1"/>
  <c r="B1482" i="7"/>
  <c r="C1482" i="7" s="1" a="1"/>
  <c r="C1482" i="7" s="1"/>
  <c r="B1481" i="7"/>
  <c r="C1481" i="7" s="1" a="1"/>
  <c r="C1481" i="7" s="1"/>
  <c r="B1480" i="7"/>
  <c r="C1480" i="7" s="1" a="1"/>
  <c r="C1480" i="7" s="1"/>
  <c r="B1479" i="7"/>
  <c r="C1479" i="7" s="1" a="1"/>
  <c r="C1479" i="7" s="1"/>
  <c r="B1478" i="7"/>
  <c r="C1478" i="7" s="1" a="1"/>
  <c r="C1478" i="7" s="1"/>
  <c r="B1477" i="7"/>
  <c r="C1477" i="7" s="1" a="1"/>
  <c r="C1477" i="7" s="1"/>
  <c r="B1476" i="7"/>
  <c r="C1476" i="7" s="1" a="1"/>
  <c r="C1476" i="7" s="1"/>
  <c r="B1475" i="7"/>
  <c r="C1475" i="7" s="1" a="1"/>
  <c r="C1475" i="7" s="1"/>
  <c r="B1474" i="7"/>
  <c r="C1474" i="7" s="1" a="1"/>
  <c r="C1474" i="7" s="1"/>
  <c r="B1473" i="7"/>
  <c r="C1473" i="7" s="1" a="1"/>
  <c r="C1473" i="7" s="1"/>
  <c r="B1472" i="7"/>
  <c r="C1472" i="7" s="1" a="1"/>
  <c r="C1472" i="7" s="1"/>
  <c r="B1471" i="7"/>
  <c r="C1471" i="7" s="1" a="1"/>
  <c r="C1471" i="7" s="1"/>
  <c r="B1470" i="7"/>
  <c r="C1470" i="7" s="1" a="1"/>
  <c r="C1470" i="7" s="1"/>
  <c r="B1469" i="7"/>
  <c r="C1469" i="7" s="1" a="1"/>
  <c r="C1469" i="7" s="1"/>
  <c r="B1468" i="7"/>
  <c r="C1468" i="7" s="1" a="1"/>
  <c r="C1468" i="7" s="1"/>
  <c r="B1467" i="7"/>
  <c r="C1467" i="7" s="1" a="1"/>
  <c r="C1467" i="7" s="1"/>
  <c r="B1466" i="7"/>
  <c r="C1466" i="7" s="1" a="1"/>
  <c r="C1466" i="7" s="1"/>
  <c r="B1465" i="7"/>
  <c r="C1465" i="7" s="1" a="1"/>
  <c r="C1465" i="7" s="1"/>
  <c r="B1464" i="7"/>
  <c r="C1464" i="7" s="1" a="1"/>
  <c r="C1464" i="7" s="1"/>
  <c r="B1463" i="7"/>
  <c r="C1463" i="7" s="1" a="1"/>
  <c r="C1463" i="7" s="1"/>
  <c r="B1462" i="7"/>
  <c r="C1462" i="7" s="1" a="1"/>
  <c r="C1462" i="7" s="1"/>
  <c r="B1461" i="7"/>
  <c r="C1461" i="7" s="1" a="1"/>
  <c r="C1461" i="7" s="1"/>
  <c r="B1460" i="7"/>
  <c r="C1460" i="7" s="1" a="1"/>
  <c r="C1460" i="7" s="1"/>
  <c r="B1459" i="7"/>
  <c r="C1459" i="7" s="1" a="1"/>
  <c r="C1459" i="7" s="1"/>
  <c r="B1458" i="7"/>
  <c r="C1458" i="7" s="1" a="1"/>
  <c r="C1458" i="7" s="1"/>
  <c r="B1457" i="7"/>
  <c r="C1457" i="7" s="1" a="1"/>
  <c r="C1457" i="7" s="1"/>
  <c r="B1456" i="7"/>
  <c r="C1456" i="7" s="1" a="1"/>
  <c r="C1456" i="7" s="1"/>
  <c r="B1455" i="7"/>
  <c r="C1455" i="7" s="1" a="1"/>
  <c r="C1455" i="7" s="1"/>
  <c r="B1454" i="7"/>
  <c r="C1454" i="7" s="1" a="1"/>
  <c r="C1454" i="7" s="1"/>
  <c r="B1453" i="7"/>
  <c r="C1453" i="7" s="1" a="1"/>
  <c r="C1453" i="7" s="1"/>
  <c r="B1452" i="7"/>
  <c r="C1452" i="7" s="1" a="1"/>
  <c r="C1452" i="7" s="1"/>
  <c r="B1451" i="7"/>
  <c r="C1451" i="7" s="1" a="1"/>
  <c r="C1451" i="7" s="1"/>
  <c r="B1450" i="7"/>
  <c r="C1450" i="7" s="1" a="1"/>
  <c r="C1450" i="7" s="1"/>
  <c r="B1449" i="7"/>
  <c r="C1449" i="7" s="1" a="1"/>
  <c r="C1449" i="7" s="1"/>
  <c r="B1448" i="7"/>
  <c r="C1448" i="7" s="1" a="1"/>
  <c r="C1448" i="7" s="1"/>
  <c r="B1447" i="7"/>
  <c r="C1447" i="7" s="1" a="1"/>
  <c r="C1447" i="7" s="1"/>
  <c r="B1446" i="7"/>
  <c r="C1446" i="7" s="1" a="1"/>
  <c r="C1446" i="7" s="1"/>
  <c r="B1445" i="7"/>
  <c r="C1445" i="7" s="1" a="1"/>
  <c r="C1445" i="7" s="1"/>
  <c r="B1444" i="7"/>
  <c r="C1444" i="7" s="1" a="1"/>
  <c r="C1444" i="7" s="1"/>
  <c r="B1443" i="7"/>
  <c r="C1443" i="7" s="1" a="1"/>
  <c r="C1443" i="7" s="1"/>
  <c r="B1442" i="7"/>
  <c r="C1442" i="7" s="1" a="1"/>
  <c r="C1442" i="7" s="1"/>
  <c r="B1441" i="7"/>
  <c r="C1441" i="7" s="1" a="1"/>
  <c r="C1441" i="7" s="1"/>
  <c r="B1440" i="7"/>
  <c r="C1440" i="7" s="1" a="1"/>
  <c r="C1440" i="7" s="1"/>
  <c r="B1439" i="7"/>
  <c r="C1439" i="7" s="1" a="1"/>
  <c r="C1439" i="7" s="1"/>
  <c r="B1438" i="7"/>
  <c r="C1438" i="7" s="1" a="1"/>
  <c r="C1438" i="7" s="1"/>
  <c r="B1437" i="7"/>
  <c r="C1437" i="7" s="1" a="1"/>
  <c r="C1437" i="7" s="1"/>
  <c r="B1436" i="7"/>
  <c r="C1436" i="7" s="1" a="1"/>
  <c r="C1436" i="7" s="1"/>
  <c r="B1435" i="7"/>
  <c r="C1435" i="7" s="1" a="1"/>
  <c r="C1435" i="7" s="1"/>
  <c r="B1434" i="7"/>
  <c r="C1434" i="7" s="1" a="1"/>
  <c r="C1434" i="7" s="1"/>
  <c r="B1433" i="7"/>
  <c r="C1433" i="7" s="1" a="1"/>
  <c r="C1433" i="7" s="1"/>
  <c r="B1432" i="7"/>
  <c r="C1432" i="7" s="1" a="1"/>
  <c r="C1432" i="7" s="1"/>
  <c r="B1431" i="7"/>
  <c r="C1431" i="7" s="1" a="1"/>
  <c r="C1431" i="7" s="1"/>
  <c r="B1430" i="7"/>
  <c r="C1430" i="7" s="1" a="1"/>
  <c r="C1430" i="7" s="1"/>
  <c r="B1429" i="7"/>
  <c r="C1429" i="7" s="1" a="1"/>
  <c r="C1429" i="7" s="1"/>
  <c r="B1428" i="7"/>
  <c r="C1428" i="7" s="1" a="1"/>
  <c r="C1428" i="7" s="1"/>
  <c r="B1427" i="7"/>
  <c r="C1427" i="7" s="1" a="1"/>
  <c r="C1427" i="7" s="1"/>
  <c r="B1426" i="7"/>
  <c r="C1426" i="7" s="1" a="1"/>
  <c r="C1426" i="7" s="1"/>
  <c r="B1425" i="7"/>
  <c r="C1425" i="7" s="1" a="1"/>
  <c r="C1425" i="7" s="1"/>
  <c r="B1424" i="7"/>
  <c r="C1424" i="7" s="1" a="1"/>
  <c r="C1424" i="7" s="1"/>
  <c r="B1423" i="7"/>
  <c r="C1423" i="7" s="1" a="1"/>
  <c r="C1423" i="7" s="1"/>
  <c r="B1422" i="7"/>
  <c r="C1422" i="7" s="1" a="1"/>
  <c r="C1422" i="7" s="1"/>
  <c r="B1421" i="7"/>
  <c r="C1421" i="7" s="1" a="1"/>
  <c r="C1421" i="7" s="1"/>
  <c r="B1420" i="7"/>
  <c r="C1420" i="7" s="1" a="1"/>
  <c r="C1420" i="7" s="1"/>
  <c r="B1419" i="7"/>
  <c r="C1419" i="7" s="1" a="1"/>
  <c r="C1419" i="7" s="1"/>
  <c r="B1418" i="7"/>
  <c r="C1418" i="7" s="1" a="1"/>
  <c r="C1418" i="7" s="1"/>
  <c r="B1417" i="7"/>
  <c r="C1417" i="7" s="1" a="1"/>
  <c r="C1417" i="7" s="1"/>
  <c r="B1416" i="7"/>
  <c r="C1416" i="7" s="1" a="1"/>
  <c r="C1416" i="7" s="1"/>
  <c r="B1415" i="7"/>
  <c r="C1415" i="7" s="1" a="1"/>
  <c r="C1415" i="7" s="1"/>
  <c r="B1414" i="7"/>
  <c r="C1414" i="7" s="1" a="1"/>
  <c r="C1414" i="7" s="1"/>
  <c r="B1413" i="7"/>
  <c r="C1413" i="7" s="1" a="1"/>
  <c r="C1413" i="7" s="1"/>
  <c r="B1412" i="7"/>
  <c r="C1412" i="7" s="1" a="1"/>
  <c r="C1412" i="7" s="1"/>
  <c r="B1411" i="7"/>
  <c r="C1411" i="7" s="1" a="1"/>
  <c r="C1411" i="7" s="1"/>
  <c r="B1410" i="7"/>
  <c r="C1410" i="7" s="1" a="1"/>
  <c r="C1410" i="7" s="1"/>
  <c r="B1409" i="7"/>
  <c r="C1409" i="7" s="1" a="1"/>
  <c r="C1409" i="7" s="1"/>
  <c r="B1408" i="7"/>
  <c r="C1408" i="7" s="1" a="1"/>
  <c r="C1408" i="7" s="1"/>
  <c r="B1407" i="7"/>
  <c r="C1407" i="7" s="1" a="1"/>
  <c r="C1407" i="7" s="1"/>
  <c r="B1406" i="7"/>
  <c r="C1406" i="7" s="1" a="1"/>
  <c r="C1406" i="7" s="1"/>
  <c r="B1405" i="7"/>
  <c r="C1405" i="7" s="1" a="1"/>
  <c r="C1405" i="7" s="1"/>
  <c r="B1404" i="7"/>
  <c r="C1404" i="7" s="1" a="1"/>
  <c r="C1404" i="7" s="1"/>
  <c r="B1403" i="7"/>
  <c r="C1403" i="7" s="1" a="1"/>
  <c r="C1403" i="7" s="1"/>
  <c r="B1402" i="7"/>
  <c r="C1402" i="7" s="1" a="1"/>
  <c r="C1402" i="7" s="1"/>
  <c r="B1401" i="7"/>
  <c r="C1401" i="7" s="1" a="1"/>
  <c r="C1401" i="7" s="1"/>
  <c r="B1400" i="7"/>
  <c r="C1400" i="7" s="1" a="1"/>
  <c r="C1400" i="7" s="1"/>
  <c r="B1399" i="7"/>
  <c r="C1399" i="7" s="1" a="1"/>
  <c r="C1399" i="7" s="1"/>
  <c r="B1398" i="7"/>
  <c r="C1398" i="7" s="1" a="1"/>
  <c r="C1398" i="7" s="1"/>
  <c r="B1397" i="7"/>
  <c r="C1397" i="7" s="1" a="1"/>
  <c r="C1397" i="7" s="1"/>
  <c r="B1396" i="7"/>
  <c r="C1396" i="7" s="1" a="1"/>
  <c r="C1396" i="7" s="1"/>
  <c r="B1395" i="7"/>
  <c r="C1395" i="7" s="1" a="1"/>
  <c r="C1395" i="7" s="1"/>
  <c r="B1394" i="7"/>
  <c r="C1394" i="7" s="1" a="1"/>
  <c r="C1394" i="7" s="1"/>
  <c r="B1393" i="7"/>
  <c r="C1393" i="7" s="1" a="1"/>
  <c r="C1393" i="7" s="1"/>
  <c r="B1392" i="7"/>
  <c r="C1392" i="7" s="1" a="1"/>
  <c r="C1392" i="7" s="1"/>
  <c r="B1391" i="7"/>
  <c r="C1391" i="7" s="1" a="1"/>
  <c r="C1391" i="7" s="1"/>
  <c r="B1390" i="7"/>
  <c r="C1390" i="7" s="1" a="1"/>
  <c r="C1390" i="7" s="1"/>
  <c r="B1389" i="7"/>
  <c r="C1389" i="7" s="1" a="1"/>
  <c r="C1389" i="7" s="1"/>
  <c r="B1388" i="7"/>
  <c r="C1388" i="7" s="1" a="1"/>
  <c r="C1388" i="7" s="1"/>
  <c r="B1387" i="7"/>
  <c r="C1387" i="7" s="1" a="1"/>
  <c r="C1387" i="7" s="1"/>
  <c r="B1386" i="7"/>
  <c r="C1386" i="7" s="1" a="1"/>
  <c r="C1386" i="7" s="1"/>
  <c r="B1385" i="7"/>
  <c r="C1385" i="7" s="1" a="1"/>
  <c r="C1385" i="7" s="1"/>
  <c r="B1384" i="7"/>
  <c r="C1384" i="7" s="1" a="1"/>
  <c r="C1384" i="7" s="1"/>
  <c r="B1383" i="7"/>
  <c r="C1383" i="7" s="1" a="1"/>
  <c r="C1383" i="7" s="1"/>
  <c r="B1382" i="7"/>
  <c r="C1382" i="7" s="1" a="1"/>
  <c r="C1382" i="7" s="1"/>
  <c r="B1381" i="7"/>
  <c r="C1381" i="7" s="1" a="1"/>
  <c r="C1381" i="7" s="1"/>
  <c r="B1380" i="7"/>
  <c r="C1380" i="7" s="1" a="1"/>
  <c r="C1380" i="7" s="1"/>
  <c r="B1379" i="7"/>
  <c r="C1379" i="7" s="1" a="1"/>
  <c r="C1379" i="7" s="1"/>
  <c r="B1378" i="7"/>
  <c r="C1378" i="7" s="1" a="1"/>
  <c r="C1378" i="7" s="1"/>
  <c r="B1377" i="7"/>
  <c r="C1377" i="7" s="1" a="1"/>
  <c r="C1377" i="7" s="1"/>
  <c r="B1376" i="7"/>
  <c r="C1376" i="7" s="1" a="1"/>
  <c r="C1376" i="7" s="1"/>
  <c r="B1375" i="7"/>
  <c r="C1375" i="7" s="1" a="1"/>
  <c r="C1375" i="7" s="1"/>
  <c r="B1374" i="7"/>
  <c r="C1374" i="7" s="1" a="1"/>
  <c r="C1374" i="7" s="1"/>
  <c r="B1373" i="7"/>
  <c r="C1373" i="7" s="1" a="1"/>
  <c r="C1373" i="7" s="1"/>
  <c r="B1372" i="7"/>
  <c r="C1372" i="7" s="1" a="1"/>
  <c r="C1372" i="7" s="1"/>
  <c r="B1371" i="7"/>
  <c r="C1371" i="7" s="1" a="1"/>
  <c r="C1371" i="7" s="1"/>
  <c r="B1370" i="7"/>
  <c r="C1370" i="7" s="1" a="1"/>
  <c r="C1370" i="7" s="1"/>
  <c r="B1369" i="7"/>
  <c r="C1369" i="7" s="1" a="1"/>
  <c r="C1369" i="7" s="1"/>
  <c r="B1368" i="7"/>
  <c r="C1368" i="7" s="1" a="1"/>
  <c r="C1368" i="7" s="1"/>
  <c r="B1367" i="7"/>
  <c r="C1367" i="7" s="1" a="1"/>
  <c r="C1367" i="7" s="1"/>
  <c r="B1366" i="7"/>
  <c r="C1366" i="7" s="1" a="1"/>
  <c r="C1366" i="7" s="1"/>
  <c r="B1365" i="7"/>
  <c r="C1365" i="7" s="1" a="1"/>
  <c r="C1365" i="7" s="1"/>
  <c r="B1364" i="7"/>
  <c r="C1364" i="7" s="1" a="1"/>
  <c r="C1364" i="7" s="1"/>
  <c r="B1363" i="7"/>
  <c r="C1363" i="7" s="1" a="1"/>
  <c r="C1363" i="7" s="1"/>
  <c r="B1362" i="7"/>
  <c r="C1362" i="7" s="1" a="1"/>
  <c r="C1362" i="7" s="1"/>
  <c r="B1361" i="7"/>
  <c r="C1361" i="7" s="1" a="1"/>
  <c r="C1361" i="7" s="1"/>
  <c r="B1360" i="7"/>
  <c r="C1360" i="7" s="1" a="1"/>
  <c r="C1360" i="7" s="1"/>
  <c r="B1359" i="7"/>
  <c r="C1359" i="7" s="1" a="1"/>
  <c r="C1359" i="7" s="1"/>
  <c r="B1358" i="7"/>
  <c r="C1358" i="7" s="1" a="1"/>
  <c r="C1358" i="7" s="1"/>
  <c r="B1357" i="7"/>
  <c r="C1357" i="7" s="1" a="1"/>
  <c r="C1357" i="7" s="1"/>
  <c r="B1356" i="7"/>
  <c r="C1356" i="7" s="1" a="1"/>
  <c r="C1356" i="7" s="1"/>
  <c r="B1355" i="7"/>
  <c r="C1355" i="7" s="1" a="1"/>
  <c r="C1355" i="7" s="1"/>
  <c r="B1354" i="7"/>
  <c r="C1354" i="7" s="1" a="1"/>
  <c r="C1354" i="7" s="1"/>
  <c r="B1353" i="7"/>
  <c r="C1353" i="7" s="1" a="1"/>
  <c r="C1353" i="7" s="1"/>
  <c r="B1352" i="7"/>
  <c r="C1352" i="7" s="1" a="1"/>
  <c r="C1352" i="7" s="1"/>
  <c r="B1351" i="7"/>
  <c r="C1351" i="7" s="1" a="1"/>
  <c r="C1351" i="7" s="1"/>
  <c r="B1350" i="7"/>
  <c r="C1350" i="7" s="1" a="1"/>
  <c r="C1350" i="7" s="1"/>
  <c r="B1349" i="7"/>
  <c r="C1349" i="7" s="1" a="1"/>
  <c r="C1349" i="7" s="1"/>
  <c r="B1348" i="7"/>
  <c r="C1348" i="7" s="1" a="1"/>
  <c r="C1348" i="7" s="1"/>
  <c r="B1347" i="7"/>
  <c r="C1347" i="7" s="1" a="1"/>
  <c r="C1347" i="7" s="1"/>
  <c r="B1346" i="7"/>
  <c r="C1346" i="7" s="1" a="1"/>
  <c r="C1346" i="7" s="1"/>
  <c r="B1345" i="7"/>
  <c r="C1345" i="7" s="1" a="1"/>
  <c r="C1345" i="7" s="1"/>
  <c r="B1344" i="7"/>
  <c r="C1344" i="7" s="1" a="1"/>
  <c r="C1344" i="7" s="1"/>
  <c r="B1343" i="7"/>
  <c r="C1343" i="7" s="1" a="1"/>
  <c r="C1343" i="7" s="1"/>
  <c r="B1342" i="7"/>
  <c r="C1342" i="7" s="1" a="1"/>
  <c r="C1342" i="7" s="1"/>
  <c r="B1341" i="7"/>
  <c r="C1341" i="7" s="1" a="1"/>
  <c r="C1341" i="7" s="1"/>
  <c r="B1340" i="7"/>
  <c r="C1340" i="7" s="1" a="1"/>
  <c r="C1340" i="7" s="1"/>
  <c r="B1339" i="7"/>
  <c r="C1339" i="7" s="1" a="1"/>
  <c r="C1339" i="7" s="1"/>
  <c r="B1338" i="7"/>
  <c r="C1338" i="7" s="1" a="1"/>
  <c r="C1338" i="7" s="1"/>
  <c r="B1337" i="7"/>
  <c r="C1337" i="7" s="1" a="1"/>
  <c r="C1337" i="7" s="1"/>
  <c r="B1336" i="7"/>
  <c r="C1336" i="7" s="1" a="1"/>
  <c r="C1336" i="7" s="1"/>
  <c r="B1335" i="7"/>
  <c r="C1335" i="7" s="1" a="1"/>
  <c r="C1335" i="7" s="1"/>
  <c r="B1334" i="7"/>
  <c r="C1334" i="7" s="1" a="1"/>
  <c r="C1334" i="7" s="1"/>
  <c r="B1333" i="7"/>
  <c r="C1333" i="7" s="1" a="1"/>
  <c r="C1333" i="7" s="1"/>
  <c r="B1332" i="7"/>
  <c r="C1332" i="7" s="1" a="1"/>
  <c r="C1332" i="7" s="1"/>
  <c r="B1331" i="7"/>
  <c r="C1331" i="7" s="1" a="1"/>
  <c r="C1331" i="7" s="1"/>
  <c r="B1330" i="7"/>
  <c r="C1330" i="7" s="1" a="1"/>
  <c r="C1330" i="7" s="1"/>
  <c r="B1329" i="7"/>
  <c r="C1329" i="7" s="1" a="1"/>
  <c r="C1329" i="7" s="1"/>
  <c r="B1328" i="7"/>
  <c r="C1328" i="7" s="1" a="1"/>
  <c r="C1328" i="7" s="1"/>
  <c r="B1327" i="7"/>
  <c r="C1327" i="7" s="1" a="1"/>
  <c r="C1327" i="7" s="1"/>
  <c r="B1326" i="7"/>
  <c r="C1326" i="7" s="1" a="1"/>
  <c r="C1326" i="7" s="1"/>
  <c r="B1325" i="7"/>
  <c r="C1325" i="7" s="1" a="1"/>
  <c r="C1325" i="7" s="1"/>
  <c r="B1324" i="7"/>
  <c r="C1324" i="7" s="1" a="1"/>
  <c r="C1324" i="7" s="1"/>
  <c r="B1323" i="7"/>
  <c r="C1323" i="7" s="1" a="1"/>
  <c r="C1323" i="7" s="1"/>
  <c r="B1322" i="7"/>
  <c r="C1322" i="7" s="1" a="1"/>
  <c r="C1322" i="7" s="1"/>
  <c r="B1321" i="7"/>
  <c r="C1321" i="7" s="1" a="1"/>
  <c r="C1321" i="7" s="1"/>
  <c r="B1320" i="7"/>
  <c r="C1320" i="7" s="1" a="1"/>
  <c r="C1320" i="7" s="1"/>
  <c r="B1319" i="7"/>
  <c r="C1319" i="7" s="1" a="1"/>
  <c r="C1319" i="7" s="1"/>
  <c r="B1318" i="7"/>
  <c r="C1318" i="7" s="1" a="1"/>
  <c r="C1318" i="7" s="1"/>
  <c r="B1317" i="7"/>
  <c r="C1317" i="7" s="1" a="1"/>
  <c r="C1317" i="7" s="1"/>
  <c r="B1316" i="7"/>
  <c r="C1316" i="7" s="1" a="1"/>
  <c r="C1316" i="7" s="1"/>
  <c r="B1315" i="7"/>
  <c r="C1315" i="7" s="1" a="1"/>
  <c r="C1315" i="7" s="1"/>
  <c r="B1314" i="7"/>
  <c r="C1314" i="7" s="1" a="1"/>
  <c r="C1314" i="7" s="1"/>
  <c r="B1313" i="7"/>
  <c r="C1313" i="7" s="1" a="1"/>
  <c r="C1313" i="7" s="1"/>
  <c r="B1312" i="7"/>
  <c r="C1312" i="7" s="1" a="1"/>
  <c r="C1312" i="7" s="1"/>
  <c r="B1311" i="7"/>
  <c r="C1311" i="7" s="1" a="1"/>
  <c r="C1311" i="7" s="1"/>
  <c r="B1310" i="7"/>
  <c r="C1310" i="7" s="1" a="1"/>
  <c r="C1310" i="7" s="1"/>
  <c r="B1309" i="7"/>
  <c r="C1309" i="7" s="1" a="1"/>
  <c r="C1309" i="7" s="1"/>
  <c r="B1308" i="7"/>
  <c r="C1308" i="7" s="1" a="1"/>
  <c r="C1308" i="7" s="1"/>
  <c r="B1307" i="7"/>
  <c r="C1307" i="7" s="1" a="1"/>
  <c r="C1307" i="7" s="1"/>
  <c r="B1306" i="7"/>
  <c r="C1306" i="7" s="1" a="1"/>
  <c r="C1306" i="7" s="1"/>
  <c r="B1305" i="7"/>
  <c r="C1305" i="7" s="1" a="1"/>
  <c r="C1305" i="7" s="1"/>
  <c r="B1304" i="7"/>
  <c r="C1304" i="7" s="1" a="1"/>
  <c r="C1304" i="7" s="1"/>
  <c r="B1303" i="7"/>
  <c r="C1303" i="7" s="1" a="1"/>
  <c r="C1303" i="7" s="1"/>
  <c r="B1302" i="7"/>
  <c r="C1302" i="7" s="1" a="1"/>
  <c r="C1302" i="7" s="1"/>
  <c r="B1301" i="7"/>
  <c r="C1301" i="7" s="1" a="1"/>
  <c r="C1301" i="7" s="1"/>
  <c r="B1300" i="7"/>
  <c r="C1300" i="7" s="1" a="1"/>
  <c r="C1300" i="7" s="1"/>
  <c r="B1299" i="7"/>
  <c r="C1299" i="7" s="1" a="1"/>
  <c r="C1299" i="7" s="1"/>
  <c r="B1298" i="7"/>
  <c r="C1298" i="7" s="1" a="1"/>
  <c r="C1298" i="7" s="1"/>
  <c r="B1297" i="7"/>
  <c r="C1297" i="7" s="1" a="1"/>
  <c r="C1297" i="7" s="1"/>
  <c r="B1296" i="7"/>
  <c r="C1296" i="7" s="1" a="1"/>
  <c r="C1296" i="7" s="1"/>
  <c r="B1295" i="7"/>
  <c r="C1295" i="7" s="1" a="1"/>
  <c r="C1295" i="7" s="1"/>
  <c r="B1294" i="7"/>
  <c r="C1294" i="7" s="1" a="1"/>
  <c r="C1294" i="7" s="1"/>
  <c r="B1293" i="7"/>
  <c r="C1293" i="7" s="1" a="1"/>
  <c r="C1293" i="7" s="1"/>
  <c r="B1292" i="7"/>
  <c r="C1292" i="7" s="1" a="1"/>
  <c r="C1292" i="7" s="1"/>
  <c r="B1291" i="7"/>
  <c r="C1291" i="7" s="1" a="1"/>
  <c r="C1291" i="7" s="1"/>
  <c r="B1290" i="7"/>
  <c r="C1290" i="7" s="1" a="1"/>
  <c r="C1290" i="7" s="1"/>
  <c r="B1289" i="7"/>
  <c r="C1289" i="7" s="1" a="1"/>
  <c r="C1289" i="7" s="1"/>
  <c r="B1288" i="7"/>
  <c r="C1288" i="7" s="1" a="1"/>
  <c r="C1288" i="7" s="1"/>
  <c r="B1287" i="7"/>
  <c r="C1287" i="7" s="1" a="1"/>
  <c r="C1287" i="7" s="1"/>
  <c r="B1286" i="7"/>
  <c r="C1286" i="7" s="1" a="1"/>
  <c r="C1286" i="7" s="1"/>
  <c r="B1285" i="7"/>
  <c r="C1285" i="7" s="1" a="1"/>
  <c r="C1285" i="7" s="1"/>
  <c r="B1284" i="7"/>
  <c r="C1284" i="7" s="1" a="1"/>
  <c r="C1284" i="7" s="1"/>
  <c r="B1283" i="7"/>
  <c r="C1283" i="7" s="1" a="1"/>
  <c r="C1283" i="7" s="1"/>
  <c r="B1282" i="7"/>
  <c r="C1282" i="7" s="1" a="1"/>
  <c r="C1282" i="7" s="1"/>
  <c r="B1281" i="7"/>
  <c r="C1281" i="7" s="1" a="1"/>
  <c r="C1281" i="7" s="1"/>
  <c r="B1280" i="7"/>
  <c r="C1280" i="7" s="1" a="1"/>
  <c r="C1280" i="7" s="1"/>
  <c r="B1279" i="7"/>
  <c r="C1279" i="7" s="1" a="1"/>
  <c r="C1279" i="7" s="1"/>
  <c r="B1278" i="7"/>
  <c r="C1278" i="7" s="1" a="1"/>
  <c r="C1278" i="7" s="1"/>
  <c r="B1277" i="7"/>
  <c r="C1277" i="7" s="1" a="1"/>
  <c r="C1277" i="7" s="1"/>
  <c r="B1276" i="7"/>
  <c r="C1276" i="7" s="1" a="1"/>
  <c r="C1276" i="7" s="1"/>
  <c r="B1275" i="7"/>
  <c r="C1275" i="7" s="1" a="1"/>
  <c r="C1275" i="7" s="1"/>
  <c r="B1274" i="7"/>
  <c r="C1274" i="7" s="1" a="1"/>
  <c r="C1274" i="7" s="1"/>
  <c r="B1273" i="7"/>
  <c r="C1273" i="7" s="1" a="1"/>
  <c r="C1273" i="7" s="1"/>
  <c r="B1272" i="7"/>
  <c r="C1272" i="7" s="1" a="1"/>
  <c r="C1272" i="7" s="1"/>
  <c r="B1271" i="7"/>
  <c r="C1271" i="7" s="1" a="1"/>
  <c r="C1271" i="7" s="1"/>
  <c r="B1270" i="7"/>
  <c r="C1270" i="7" s="1" a="1"/>
  <c r="C1270" i="7" s="1"/>
  <c r="B1269" i="7"/>
  <c r="C1269" i="7" s="1" a="1"/>
  <c r="C1269" i="7" s="1"/>
  <c r="B1268" i="7"/>
  <c r="C1268" i="7" s="1" a="1"/>
  <c r="C1268" i="7" s="1"/>
  <c r="B1267" i="7"/>
  <c r="C1267" i="7" s="1" a="1"/>
  <c r="C1267" i="7" s="1"/>
  <c r="B1266" i="7"/>
  <c r="C1266" i="7" s="1" a="1"/>
  <c r="C1266" i="7" s="1"/>
  <c r="B1265" i="7"/>
  <c r="C1265" i="7" s="1" a="1"/>
  <c r="C1265" i="7" s="1"/>
  <c r="B1264" i="7"/>
  <c r="C1264" i="7" s="1" a="1"/>
  <c r="C1264" i="7" s="1"/>
  <c r="B1263" i="7"/>
  <c r="C1263" i="7" s="1" a="1"/>
  <c r="C1263" i="7" s="1"/>
  <c r="B1262" i="7"/>
  <c r="C1262" i="7" s="1" a="1"/>
  <c r="C1262" i="7" s="1"/>
  <c r="B1261" i="7"/>
  <c r="C1261" i="7" s="1" a="1"/>
  <c r="C1261" i="7" s="1"/>
  <c r="B1260" i="7"/>
  <c r="C1260" i="7" s="1" a="1"/>
  <c r="C1260" i="7" s="1"/>
  <c r="B1259" i="7"/>
  <c r="C1259" i="7" s="1" a="1"/>
  <c r="C1259" i="7" s="1"/>
  <c r="B1258" i="7"/>
  <c r="C1258" i="7" s="1" a="1"/>
  <c r="C1258" i="7" s="1"/>
  <c r="B1257" i="7"/>
  <c r="C1257" i="7" s="1" a="1"/>
  <c r="C1257" i="7" s="1"/>
  <c r="B1256" i="7"/>
  <c r="C1256" i="7" s="1" a="1"/>
  <c r="C1256" i="7" s="1"/>
  <c r="B1255" i="7"/>
  <c r="C1255" i="7" s="1" a="1"/>
  <c r="C1255" i="7" s="1"/>
  <c r="B1254" i="7"/>
  <c r="C1254" i="7" s="1" a="1"/>
  <c r="C1254" i="7" s="1"/>
  <c r="B1253" i="7"/>
  <c r="C1253" i="7" s="1" a="1"/>
  <c r="C1253" i="7" s="1"/>
  <c r="B1252" i="7"/>
  <c r="C1252" i="7" s="1" a="1"/>
  <c r="C1252" i="7" s="1"/>
  <c r="B1251" i="7"/>
  <c r="C1251" i="7" s="1" a="1"/>
  <c r="C1251" i="7" s="1"/>
  <c r="B1250" i="7"/>
  <c r="C1250" i="7" s="1" a="1"/>
  <c r="C1250" i="7" s="1"/>
  <c r="B1249" i="7"/>
  <c r="C1249" i="7" s="1" a="1"/>
  <c r="C1249" i="7" s="1"/>
  <c r="B1248" i="7"/>
  <c r="C1248" i="7" s="1" a="1"/>
  <c r="C1248" i="7" s="1"/>
  <c r="B1247" i="7"/>
  <c r="C1247" i="7" s="1" a="1"/>
  <c r="C1247" i="7" s="1"/>
  <c r="B1246" i="7"/>
  <c r="C1246" i="7" s="1" a="1"/>
  <c r="C1246" i="7" s="1"/>
  <c r="B1245" i="7"/>
  <c r="C1245" i="7" s="1" a="1"/>
  <c r="C1245" i="7" s="1"/>
  <c r="B1244" i="7"/>
  <c r="C1244" i="7" s="1" a="1"/>
  <c r="C1244" i="7" s="1"/>
  <c r="B1243" i="7"/>
  <c r="C1243" i="7" s="1" a="1"/>
  <c r="C1243" i="7" s="1"/>
  <c r="B1242" i="7"/>
  <c r="C1242" i="7" s="1" a="1"/>
  <c r="C1242" i="7" s="1"/>
  <c r="B1241" i="7"/>
  <c r="C1241" i="7" s="1" a="1"/>
  <c r="C1241" i="7" s="1"/>
  <c r="B1240" i="7"/>
  <c r="C1240" i="7" s="1" a="1"/>
  <c r="C1240" i="7" s="1"/>
  <c r="B1239" i="7"/>
  <c r="C1239" i="7" s="1" a="1"/>
  <c r="C1239" i="7" s="1"/>
  <c r="B1238" i="7"/>
  <c r="C1238" i="7" s="1" a="1"/>
  <c r="C1238" i="7" s="1"/>
  <c r="B1237" i="7"/>
  <c r="C1237" i="7" s="1" a="1"/>
  <c r="C1237" i="7" s="1"/>
  <c r="B1236" i="7"/>
  <c r="C1236" i="7" s="1" a="1"/>
  <c r="C1236" i="7" s="1"/>
  <c r="B1235" i="7"/>
  <c r="C1235" i="7" s="1" a="1"/>
  <c r="C1235" i="7" s="1"/>
  <c r="B1234" i="7"/>
  <c r="C1234" i="7" s="1" a="1"/>
  <c r="C1234" i="7" s="1"/>
  <c r="B1233" i="7"/>
  <c r="C1233" i="7" s="1" a="1"/>
  <c r="C1233" i="7" s="1"/>
  <c r="B1232" i="7"/>
  <c r="C1232" i="7" s="1" a="1"/>
  <c r="C1232" i="7" s="1"/>
  <c r="B1231" i="7"/>
  <c r="C1231" i="7" s="1" a="1"/>
  <c r="C1231" i="7" s="1"/>
  <c r="B1230" i="7"/>
  <c r="C1230" i="7" s="1" a="1"/>
  <c r="C1230" i="7" s="1"/>
  <c r="B1229" i="7"/>
  <c r="C1229" i="7" s="1" a="1"/>
  <c r="C1229" i="7" s="1"/>
  <c r="B1228" i="7"/>
  <c r="C1228" i="7" s="1" a="1"/>
  <c r="C1228" i="7" s="1"/>
  <c r="B1227" i="7"/>
  <c r="C1227" i="7" s="1" a="1"/>
  <c r="C1227" i="7" s="1"/>
  <c r="B1226" i="7"/>
  <c r="C1226" i="7" s="1" a="1"/>
  <c r="C1226" i="7" s="1"/>
  <c r="B1225" i="7"/>
  <c r="C1225" i="7" s="1" a="1"/>
  <c r="C1225" i="7" s="1"/>
  <c r="B1224" i="7"/>
  <c r="C1224" i="7" s="1" a="1"/>
  <c r="C1224" i="7" s="1"/>
  <c r="B1223" i="7"/>
  <c r="C1223" i="7" s="1" a="1"/>
  <c r="C1223" i="7" s="1"/>
  <c r="B1222" i="7"/>
  <c r="C1222" i="7" s="1" a="1"/>
  <c r="C1222" i="7" s="1"/>
  <c r="B1221" i="7"/>
  <c r="C1221" i="7" s="1" a="1"/>
  <c r="C1221" i="7" s="1"/>
  <c r="B1220" i="7"/>
  <c r="C1220" i="7" s="1" a="1"/>
  <c r="C1220" i="7" s="1"/>
  <c r="B1219" i="7"/>
  <c r="C1219" i="7" s="1" a="1"/>
  <c r="C1219" i="7" s="1"/>
  <c r="B1218" i="7"/>
  <c r="C1218" i="7" s="1" a="1"/>
  <c r="C1218" i="7" s="1"/>
  <c r="B1217" i="7"/>
  <c r="C1217" i="7" s="1" a="1"/>
  <c r="C1217" i="7" s="1"/>
  <c r="B1216" i="7"/>
  <c r="C1216" i="7" s="1" a="1"/>
  <c r="C1216" i="7" s="1"/>
  <c r="B1215" i="7"/>
  <c r="C1215" i="7" s="1" a="1"/>
  <c r="C1215" i="7" s="1"/>
  <c r="B1214" i="7"/>
  <c r="C1214" i="7" s="1" a="1"/>
  <c r="C1214" i="7" s="1"/>
  <c r="B1213" i="7"/>
  <c r="C1213" i="7" s="1" a="1"/>
  <c r="C1213" i="7" s="1"/>
  <c r="B1212" i="7"/>
  <c r="C1212" i="7" s="1" a="1"/>
  <c r="C1212" i="7" s="1"/>
  <c r="B1211" i="7"/>
  <c r="C1211" i="7" s="1" a="1"/>
  <c r="C1211" i="7" s="1"/>
  <c r="B1210" i="7"/>
  <c r="C1210" i="7" s="1" a="1"/>
  <c r="C1210" i="7" s="1"/>
  <c r="B1209" i="7"/>
  <c r="C1209" i="7" s="1" a="1"/>
  <c r="C1209" i="7" s="1"/>
  <c r="B1208" i="7"/>
  <c r="C1208" i="7" s="1" a="1"/>
  <c r="C1208" i="7" s="1"/>
  <c r="B1207" i="7"/>
  <c r="C1207" i="7" s="1" a="1"/>
  <c r="C1207" i="7" s="1"/>
  <c r="B1206" i="7"/>
  <c r="C1206" i="7" s="1" a="1"/>
  <c r="C1206" i="7" s="1"/>
  <c r="B1205" i="7"/>
  <c r="C1205" i="7" s="1" a="1"/>
  <c r="C1205" i="7" s="1"/>
  <c r="B1204" i="7"/>
  <c r="C1204" i="7" s="1" a="1"/>
  <c r="C1204" i="7" s="1"/>
  <c r="B1203" i="7"/>
  <c r="C1203" i="7" s="1" a="1"/>
  <c r="C1203" i="7" s="1"/>
  <c r="B1202" i="7"/>
  <c r="C1202" i="7" s="1" a="1"/>
  <c r="C1202" i="7" s="1"/>
  <c r="B1201" i="7"/>
  <c r="C1201" i="7" s="1" a="1"/>
  <c r="C1201" i="7" s="1"/>
  <c r="B1200" i="7"/>
  <c r="C1200" i="7" s="1" a="1"/>
  <c r="C1200" i="7" s="1"/>
  <c r="B1199" i="7"/>
  <c r="C1199" i="7" s="1" a="1"/>
  <c r="C1199" i="7" s="1"/>
  <c r="B1198" i="7"/>
  <c r="C1198" i="7" s="1" a="1"/>
  <c r="C1198" i="7" s="1"/>
  <c r="B1197" i="7"/>
  <c r="C1197" i="7" s="1" a="1"/>
  <c r="C1197" i="7" s="1"/>
  <c r="B1196" i="7"/>
  <c r="C1196" i="7" s="1" a="1"/>
  <c r="C1196" i="7" s="1"/>
  <c r="B1195" i="7"/>
  <c r="C1195" i="7" s="1" a="1"/>
  <c r="C1195" i="7" s="1"/>
  <c r="B1194" i="7"/>
  <c r="C1194" i="7" s="1" a="1"/>
  <c r="C1194" i="7" s="1"/>
  <c r="B1193" i="7"/>
  <c r="C1193" i="7" s="1" a="1"/>
  <c r="C1193" i="7" s="1"/>
  <c r="B1192" i="7"/>
  <c r="C1192" i="7" s="1" a="1"/>
  <c r="C1192" i="7" s="1"/>
  <c r="B1191" i="7"/>
  <c r="C1191" i="7" s="1" a="1"/>
  <c r="C1191" i="7" s="1"/>
  <c r="B1190" i="7"/>
  <c r="C1190" i="7" s="1" a="1"/>
  <c r="C1190" i="7" s="1"/>
  <c r="B1189" i="7"/>
  <c r="C1189" i="7" s="1" a="1"/>
  <c r="C1189" i="7" s="1"/>
  <c r="B1188" i="7"/>
  <c r="C1188" i="7" s="1" a="1"/>
  <c r="C1188" i="7" s="1"/>
  <c r="B1187" i="7"/>
  <c r="C1187" i="7" s="1" a="1"/>
  <c r="C1187" i="7" s="1"/>
  <c r="B1186" i="7"/>
  <c r="C1186" i="7" s="1" a="1"/>
  <c r="C1186" i="7" s="1"/>
  <c r="B1185" i="7"/>
  <c r="C1185" i="7" s="1" a="1"/>
  <c r="C1185" i="7" s="1"/>
  <c r="B1184" i="7"/>
  <c r="C1184" i="7" s="1" a="1"/>
  <c r="C1184" i="7" s="1"/>
  <c r="B1183" i="7"/>
  <c r="C1183" i="7" s="1" a="1"/>
  <c r="C1183" i="7" s="1"/>
  <c r="B1182" i="7"/>
  <c r="C1182" i="7" s="1" a="1"/>
  <c r="C1182" i="7" s="1"/>
  <c r="B1181" i="7"/>
  <c r="C1181" i="7" s="1" a="1"/>
  <c r="C1181" i="7" s="1"/>
  <c r="B1180" i="7"/>
  <c r="C1180" i="7" s="1" a="1"/>
  <c r="C1180" i="7" s="1"/>
  <c r="B1179" i="7"/>
  <c r="C1179" i="7" s="1" a="1"/>
  <c r="C1179" i="7" s="1"/>
  <c r="B1178" i="7"/>
  <c r="C1178" i="7" s="1" a="1"/>
  <c r="C1178" i="7" s="1"/>
  <c r="B1177" i="7"/>
  <c r="C1177" i="7" s="1" a="1"/>
  <c r="C1177" i="7" s="1"/>
  <c r="B1176" i="7"/>
  <c r="C1176" i="7" s="1" a="1"/>
  <c r="C1176" i="7" s="1"/>
  <c r="B1175" i="7"/>
  <c r="C1175" i="7" s="1" a="1"/>
  <c r="C1175" i="7" s="1"/>
  <c r="B1174" i="7"/>
  <c r="C1174" i="7" s="1" a="1"/>
  <c r="C1174" i="7" s="1"/>
  <c r="B1173" i="7"/>
  <c r="C1173" i="7" s="1" a="1"/>
  <c r="C1173" i="7" s="1"/>
  <c r="B1172" i="7"/>
  <c r="C1172" i="7" s="1" a="1"/>
  <c r="C1172" i="7" s="1"/>
  <c r="B1171" i="7"/>
  <c r="C1171" i="7" s="1" a="1"/>
  <c r="C1171" i="7" s="1"/>
  <c r="B1170" i="7"/>
  <c r="C1170" i="7" s="1" a="1"/>
  <c r="C1170" i="7" s="1"/>
  <c r="B1169" i="7"/>
  <c r="C1169" i="7" s="1" a="1"/>
  <c r="C1169" i="7" s="1"/>
  <c r="B1168" i="7"/>
  <c r="C1168" i="7" s="1" a="1"/>
  <c r="C1168" i="7" s="1"/>
  <c r="B1167" i="7"/>
  <c r="C1167" i="7" s="1" a="1"/>
  <c r="C1167" i="7" s="1"/>
  <c r="B1166" i="7"/>
  <c r="C1166" i="7" s="1" a="1"/>
  <c r="C1166" i="7" s="1"/>
  <c r="B1165" i="7"/>
  <c r="C1165" i="7" s="1" a="1"/>
  <c r="C1165" i="7" s="1"/>
  <c r="B1164" i="7"/>
  <c r="C1164" i="7" s="1" a="1"/>
  <c r="C1164" i="7" s="1"/>
  <c r="B1163" i="7"/>
  <c r="C1163" i="7" s="1" a="1"/>
  <c r="C1163" i="7" s="1"/>
  <c r="B1162" i="7"/>
  <c r="C1162" i="7" s="1" a="1"/>
  <c r="C1162" i="7" s="1"/>
  <c r="B1161" i="7"/>
  <c r="C1161" i="7" s="1" a="1"/>
  <c r="C1161" i="7" s="1"/>
  <c r="B1160" i="7"/>
  <c r="C1160" i="7" s="1" a="1"/>
  <c r="C1160" i="7" s="1"/>
  <c r="B1159" i="7"/>
  <c r="C1159" i="7" s="1" a="1"/>
  <c r="C1159" i="7" s="1"/>
  <c r="B1158" i="7"/>
  <c r="C1158" i="7" s="1" a="1"/>
  <c r="C1158" i="7" s="1"/>
  <c r="B1157" i="7"/>
  <c r="C1157" i="7" s="1" a="1"/>
  <c r="C1157" i="7" s="1"/>
  <c r="B1156" i="7"/>
  <c r="C1156" i="7" s="1" a="1"/>
  <c r="C1156" i="7" s="1"/>
  <c r="B1155" i="7"/>
  <c r="C1155" i="7" s="1" a="1"/>
  <c r="C1155" i="7" s="1"/>
  <c r="B1154" i="7"/>
  <c r="C1154" i="7" s="1" a="1"/>
  <c r="C1154" i="7" s="1"/>
  <c r="B1153" i="7"/>
  <c r="C1153" i="7" s="1" a="1"/>
  <c r="C1153" i="7" s="1"/>
  <c r="B1152" i="7"/>
  <c r="C1152" i="7" s="1" a="1"/>
  <c r="C1152" i="7" s="1"/>
  <c r="B1151" i="7"/>
  <c r="C1151" i="7" s="1" a="1"/>
  <c r="C1151" i="7" s="1"/>
  <c r="B1150" i="7"/>
  <c r="C1150" i="7" s="1" a="1"/>
  <c r="C1150" i="7" s="1"/>
  <c r="B1149" i="7"/>
  <c r="C1149" i="7" s="1" a="1"/>
  <c r="C1149" i="7" s="1"/>
  <c r="B1148" i="7"/>
  <c r="C1148" i="7" s="1" a="1"/>
  <c r="C1148" i="7" s="1"/>
  <c r="B1147" i="7"/>
  <c r="C1147" i="7" s="1" a="1"/>
  <c r="C1147" i="7" s="1"/>
  <c r="B1146" i="7"/>
  <c r="C1146" i="7" s="1" a="1"/>
  <c r="C1146" i="7" s="1"/>
  <c r="B1145" i="7"/>
  <c r="C1145" i="7" s="1" a="1"/>
  <c r="C1145" i="7" s="1"/>
  <c r="B1144" i="7"/>
  <c r="C1144" i="7" s="1" a="1"/>
  <c r="C1144" i="7" s="1"/>
  <c r="B1143" i="7"/>
  <c r="C1143" i="7" s="1" a="1"/>
  <c r="C1143" i="7" s="1"/>
  <c r="B1142" i="7"/>
  <c r="C1142" i="7" s="1" a="1"/>
  <c r="C1142" i="7" s="1"/>
  <c r="B1141" i="7"/>
  <c r="C1141" i="7" s="1" a="1"/>
  <c r="C1141" i="7" s="1"/>
  <c r="B1140" i="7"/>
  <c r="C1140" i="7" s="1" a="1"/>
  <c r="C1140" i="7" s="1"/>
  <c r="B1139" i="7"/>
  <c r="C1139" i="7" s="1" a="1"/>
  <c r="C1139" i="7" s="1"/>
  <c r="B1138" i="7"/>
  <c r="C1138" i="7" s="1" a="1"/>
  <c r="C1138" i="7" s="1"/>
  <c r="B1137" i="7"/>
  <c r="C1137" i="7" s="1" a="1"/>
  <c r="C1137" i="7" s="1"/>
  <c r="B1136" i="7"/>
  <c r="C1136" i="7" s="1" a="1"/>
  <c r="C1136" i="7" s="1"/>
  <c r="B1135" i="7"/>
  <c r="C1135" i="7" s="1" a="1"/>
  <c r="C1135" i="7" s="1"/>
  <c r="B1134" i="7"/>
  <c r="C1134" i="7" s="1" a="1"/>
  <c r="C1134" i="7" s="1"/>
  <c r="B1133" i="7"/>
  <c r="C1133" i="7" s="1" a="1"/>
  <c r="C1133" i="7" s="1"/>
  <c r="B1132" i="7"/>
  <c r="C1132" i="7" s="1" a="1"/>
  <c r="C1132" i="7" s="1"/>
  <c r="B1131" i="7"/>
  <c r="C1131" i="7" s="1" a="1"/>
  <c r="C1131" i="7" s="1"/>
  <c r="B1130" i="7"/>
  <c r="C1130" i="7" s="1" a="1"/>
  <c r="C1130" i="7" s="1"/>
  <c r="B1129" i="7"/>
  <c r="C1129" i="7" s="1" a="1"/>
  <c r="C1129" i="7" s="1"/>
  <c r="B1128" i="7"/>
  <c r="C1128" i="7" s="1" a="1"/>
  <c r="C1128" i="7" s="1"/>
  <c r="B1127" i="7"/>
  <c r="C1127" i="7" s="1" a="1"/>
  <c r="C1127" i="7" s="1"/>
  <c r="B1126" i="7"/>
  <c r="C1126" i="7" s="1" a="1"/>
  <c r="C1126" i="7" s="1"/>
  <c r="B1125" i="7"/>
  <c r="C1125" i="7" s="1" a="1"/>
  <c r="C1125" i="7" s="1"/>
  <c r="B1124" i="7"/>
  <c r="C1124" i="7" s="1" a="1"/>
  <c r="C1124" i="7" s="1"/>
  <c r="B1123" i="7"/>
  <c r="C1123" i="7" s="1" a="1"/>
  <c r="C1123" i="7" s="1"/>
  <c r="B1122" i="7"/>
  <c r="C1122" i="7" s="1" a="1"/>
  <c r="C1122" i="7" s="1"/>
  <c r="B1121" i="7"/>
  <c r="C1121" i="7" s="1" a="1"/>
  <c r="C1121" i="7" s="1"/>
  <c r="B1120" i="7"/>
  <c r="C1120" i="7" s="1" a="1"/>
  <c r="C1120" i="7" s="1"/>
  <c r="B1119" i="7"/>
  <c r="C1119" i="7" s="1" a="1"/>
  <c r="C1119" i="7" s="1"/>
  <c r="B1118" i="7"/>
  <c r="C1118" i="7" s="1" a="1"/>
  <c r="C1118" i="7" s="1"/>
  <c r="B1117" i="7"/>
  <c r="C1117" i="7" s="1" a="1"/>
  <c r="C1117" i="7" s="1"/>
  <c r="B1116" i="7"/>
  <c r="C1116" i="7" s="1" a="1"/>
  <c r="C1116" i="7" s="1"/>
  <c r="B1115" i="7"/>
  <c r="C1115" i="7" s="1" a="1"/>
  <c r="C1115" i="7" s="1"/>
  <c r="B1114" i="7"/>
  <c r="C1114" i="7" s="1" a="1"/>
  <c r="C1114" i="7" s="1"/>
  <c r="B1113" i="7"/>
  <c r="C1113" i="7" s="1" a="1"/>
  <c r="C1113" i="7" s="1"/>
  <c r="B1112" i="7"/>
  <c r="C1112" i="7" s="1" a="1"/>
  <c r="C1112" i="7" s="1"/>
  <c r="B1111" i="7"/>
  <c r="C1111" i="7" s="1" a="1"/>
  <c r="C1111" i="7" s="1"/>
  <c r="B1110" i="7"/>
  <c r="C1110" i="7" s="1" a="1"/>
  <c r="C1110" i="7" s="1"/>
  <c r="B1109" i="7"/>
  <c r="C1109" i="7" s="1" a="1"/>
  <c r="C1109" i="7" s="1"/>
  <c r="B1108" i="7"/>
  <c r="C1108" i="7" s="1" a="1"/>
  <c r="C1108" i="7" s="1"/>
  <c r="B1107" i="7"/>
  <c r="C1107" i="7" s="1" a="1"/>
  <c r="C1107" i="7" s="1"/>
  <c r="B1106" i="7"/>
  <c r="C1106" i="7" s="1" a="1"/>
  <c r="C1106" i="7" s="1"/>
  <c r="B1105" i="7"/>
  <c r="C1105" i="7" s="1" a="1"/>
  <c r="C1105" i="7" s="1"/>
  <c r="B1104" i="7"/>
  <c r="C1104" i="7" s="1" a="1"/>
  <c r="C1104" i="7" s="1"/>
  <c r="B1103" i="7"/>
  <c r="C1103" i="7" s="1" a="1"/>
  <c r="C1103" i="7" s="1"/>
  <c r="B1102" i="7"/>
  <c r="C1102" i="7" s="1" a="1"/>
  <c r="C1102" i="7" s="1"/>
  <c r="B1101" i="7"/>
  <c r="C1101" i="7" s="1" a="1"/>
  <c r="C1101" i="7" s="1"/>
  <c r="B1100" i="7"/>
  <c r="C1100" i="7" s="1" a="1"/>
  <c r="C1100" i="7" s="1"/>
  <c r="B1099" i="7"/>
  <c r="C1099" i="7" s="1" a="1"/>
  <c r="C1099" i="7" s="1"/>
  <c r="B1098" i="7"/>
  <c r="C1098" i="7" s="1" a="1"/>
  <c r="C1098" i="7" s="1"/>
  <c r="B1097" i="7"/>
  <c r="C1097" i="7" s="1" a="1"/>
  <c r="C1097" i="7" s="1"/>
  <c r="B1096" i="7"/>
  <c r="C1096" i="7" s="1" a="1"/>
  <c r="C1096" i="7" s="1"/>
  <c r="B1095" i="7"/>
  <c r="C1095" i="7" s="1" a="1"/>
  <c r="C1095" i="7" s="1"/>
  <c r="B1094" i="7"/>
  <c r="C1094" i="7" s="1" a="1"/>
  <c r="C1094" i="7" s="1"/>
  <c r="B1093" i="7"/>
  <c r="C1093" i="7" s="1" a="1"/>
  <c r="C1093" i="7" s="1"/>
  <c r="B1092" i="7"/>
  <c r="C1092" i="7" s="1" a="1"/>
  <c r="C1092" i="7" s="1"/>
  <c r="B1091" i="7"/>
  <c r="C1091" i="7" s="1" a="1"/>
  <c r="C1091" i="7" s="1"/>
  <c r="B1090" i="7"/>
  <c r="C1090" i="7" s="1" a="1"/>
  <c r="C1090" i="7" s="1"/>
  <c r="B1089" i="7"/>
  <c r="C1089" i="7" s="1" a="1"/>
  <c r="C1089" i="7" s="1"/>
  <c r="B1088" i="7"/>
  <c r="C1088" i="7" s="1" a="1"/>
  <c r="C1088" i="7" s="1"/>
  <c r="B1087" i="7"/>
  <c r="C1087" i="7" s="1" a="1"/>
  <c r="C1087" i="7" s="1"/>
  <c r="B1086" i="7"/>
  <c r="C1086" i="7" s="1" a="1"/>
  <c r="C1086" i="7" s="1"/>
  <c r="B1085" i="7"/>
  <c r="C1085" i="7" s="1" a="1"/>
  <c r="C1085" i="7" s="1"/>
  <c r="B1084" i="7"/>
  <c r="C1084" i="7" s="1" a="1"/>
  <c r="C1084" i="7" s="1"/>
  <c r="B1083" i="7"/>
  <c r="C1083" i="7" s="1" a="1"/>
  <c r="C1083" i="7" s="1"/>
  <c r="B1082" i="7"/>
  <c r="C1082" i="7" s="1" a="1"/>
  <c r="C1082" i="7" s="1"/>
  <c r="B1081" i="7"/>
  <c r="C1081" i="7" s="1" a="1"/>
  <c r="C1081" i="7" s="1"/>
  <c r="B1080" i="7"/>
  <c r="C1080" i="7" s="1" a="1"/>
  <c r="C1080" i="7" s="1"/>
  <c r="B1079" i="7"/>
  <c r="C1079" i="7" s="1" a="1"/>
  <c r="C1079" i="7" s="1"/>
  <c r="B1078" i="7"/>
  <c r="C1078" i="7" s="1" a="1"/>
  <c r="C1078" i="7" s="1"/>
  <c r="B1077" i="7"/>
  <c r="C1077" i="7" s="1" a="1"/>
  <c r="C1077" i="7" s="1"/>
  <c r="B1076" i="7"/>
  <c r="C1076" i="7" s="1" a="1"/>
  <c r="C1076" i="7" s="1"/>
  <c r="B1075" i="7"/>
  <c r="C1075" i="7" s="1" a="1"/>
  <c r="C1075" i="7" s="1"/>
  <c r="B1074" i="7"/>
  <c r="C1074" i="7" s="1" a="1"/>
  <c r="C1074" i="7" s="1"/>
  <c r="B1073" i="7"/>
  <c r="C1073" i="7" s="1" a="1"/>
  <c r="C1073" i="7" s="1"/>
  <c r="B1072" i="7"/>
  <c r="C1072" i="7" s="1" a="1"/>
  <c r="C1072" i="7" s="1"/>
  <c r="B1071" i="7"/>
  <c r="C1071" i="7" s="1" a="1"/>
  <c r="C1071" i="7" s="1"/>
  <c r="B1070" i="7"/>
  <c r="C1070" i="7" s="1" a="1"/>
  <c r="C1070" i="7" s="1"/>
  <c r="B1069" i="7"/>
  <c r="C1069" i="7" s="1" a="1"/>
  <c r="C1069" i="7" s="1"/>
  <c r="B1068" i="7"/>
  <c r="C1068" i="7" s="1" a="1"/>
  <c r="C1068" i="7" s="1"/>
  <c r="B1067" i="7"/>
  <c r="C1067" i="7" s="1" a="1"/>
  <c r="C1067" i="7" s="1"/>
  <c r="B1066" i="7"/>
  <c r="C1066" i="7" s="1" a="1"/>
  <c r="C1066" i="7" s="1"/>
  <c r="B1065" i="7"/>
  <c r="C1065" i="7" s="1" a="1"/>
  <c r="C1065" i="7" s="1"/>
  <c r="B1064" i="7"/>
  <c r="C1064" i="7" s="1" a="1"/>
  <c r="C1064" i="7" s="1"/>
  <c r="B1063" i="7"/>
  <c r="C1063" i="7" s="1" a="1"/>
  <c r="C1063" i="7" s="1"/>
  <c r="B1062" i="7"/>
  <c r="C1062" i="7" s="1" a="1"/>
  <c r="C1062" i="7" s="1"/>
  <c r="B1061" i="7"/>
  <c r="C1061" i="7" s="1" a="1"/>
  <c r="C1061" i="7" s="1"/>
  <c r="B1060" i="7"/>
  <c r="C1060" i="7" s="1" a="1"/>
  <c r="C1060" i="7" s="1"/>
  <c r="B1059" i="7"/>
  <c r="C1059" i="7" s="1" a="1"/>
  <c r="C1059" i="7" s="1"/>
  <c r="B1058" i="7"/>
  <c r="C1058" i="7" s="1" a="1"/>
  <c r="C1058" i="7" s="1"/>
  <c r="B1057" i="7"/>
  <c r="C1057" i="7" s="1" a="1"/>
  <c r="C1057" i="7" s="1"/>
  <c r="B1056" i="7"/>
  <c r="C1056" i="7" s="1" a="1"/>
  <c r="C1056" i="7" s="1"/>
  <c r="B1055" i="7"/>
  <c r="C1055" i="7" s="1" a="1"/>
  <c r="C1055" i="7" s="1"/>
  <c r="B1054" i="7"/>
  <c r="C1054" i="7" s="1" a="1"/>
  <c r="C1054" i="7" s="1"/>
  <c r="B1053" i="7"/>
  <c r="C1053" i="7" s="1" a="1"/>
  <c r="C1053" i="7" s="1"/>
  <c r="B1052" i="7"/>
  <c r="C1052" i="7" s="1" a="1"/>
  <c r="C1052" i="7" s="1"/>
  <c r="B1051" i="7"/>
  <c r="C1051" i="7" s="1" a="1"/>
  <c r="C1051" i="7" s="1"/>
  <c r="B1050" i="7"/>
  <c r="C1050" i="7" s="1" a="1"/>
  <c r="C1050" i="7" s="1"/>
  <c r="B1049" i="7"/>
  <c r="C1049" i="7" s="1" a="1"/>
  <c r="C1049" i="7" s="1"/>
  <c r="B1048" i="7"/>
  <c r="C1048" i="7" s="1" a="1"/>
  <c r="C1048" i="7" s="1"/>
  <c r="B1047" i="7"/>
  <c r="C1047" i="7" s="1" a="1"/>
  <c r="C1047" i="7" s="1"/>
  <c r="B1046" i="7"/>
  <c r="C1046" i="7" s="1" a="1"/>
  <c r="C1046" i="7" s="1"/>
  <c r="B1045" i="7"/>
  <c r="C1045" i="7" s="1" a="1"/>
  <c r="C1045" i="7" s="1"/>
  <c r="B1044" i="7"/>
  <c r="C1044" i="7" s="1" a="1"/>
  <c r="C1044" i="7" s="1"/>
  <c r="B1043" i="7"/>
  <c r="C1043" i="7" s="1" a="1"/>
  <c r="C1043" i="7" s="1"/>
  <c r="B1042" i="7"/>
  <c r="C1042" i="7" s="1" a="1"/>
  <c r="C1042" i="7" s="1"/>
  <c r="B1041" i="7"/>
  <c r="C1041" i="7" s="1" a="1"/>
  <c r="C1041" i="7" s="1"/>
  <c r="B1040" i="7"/>
  <c r="C1040" i="7" s="1" a="1"/>
  <c r="C1040" i="7" s="1"/>
  <c r="B1039" i="7"/>
  <c r="C1039" i="7" s="1" a="1"/>
  <c r="C1039" i="7" s="1"/>
  <c r="B1038" i="7"/>
  <c r="C1038" i="7" s="1" a="1"/>
  <c r="C1038" i="7" s="1"/>
  <c r="B1037" i="7"/>
  <c r="C1037" i="7" s="1" a="1"/>
  <c r="C1037" i="7" s="1"/>
  <c r="B1036" i="7"/>
  <c r="C1036" i="7" s="1" a="1"/>
  <c r="C1036" i="7" s="1"/>
  <c r="B1035" i="7"/>
  <c r="C1035" i="7" s="1" a="1"/>
  <c r="C1035" i="7" s="1"/>
  <c r="B1034" i="7"/>
  <c r="C1034" i="7" s="1" a="1"/>
  <c r="C1034" i="7" s="1"/>
  <c r="B1033" i="7"/>
  <c r="C1033" i="7" s="1" a="1"/>
  <c r="C1033" i="7" s="1"/>
  <c r="B1032" i="7"/>
  <c r="C1032" i="7" s="1" a="1"/>
  <c r="C1032" i="7" s="1"/>
  <c r="B1031" i="7"/>
  <c r="C1031" i="7" s="1" a="1"/>
  <c r="C1031" i="7" s="1"/>
  <c r="B1030" i="7"/>
  <c r="C1030" i="7" s="1" a="1"/>
  <c r="C1030" i="7" s="1"/>
  <c r="B1029" i="7"/>
  <c r="C1029" i="7" s="1" a="1"/>
  <c r="C1029" i="7" s="1"/>
  <c r="B1028" i="7"/>
  <c r="C1028" i="7" s="1" a="1"/>
  <c r="C1028" i="7" s="1"/>
  <c r="B1027" i="7"/>
  <c r="C1027" i="7" s="1" a="1"/>
  <c r="C1027" i="7" s="1"/>
  <c r="B1026" i="7"/>
  <c r="C1026" i="7" s="1" a="1"/>
  <c r="C1026" i="7" s="1"/>
  <c r="B1025" i="7"/>
  <c r="C1025" i="7" s="1" a="1"/>
  <c r="C1025" i="7" s="1"/>
  <c r="B1024" i="7"/>
  <c r="C1024" i="7" s="1" a="1"/>
  <c r="C1024" i="7" s="1"/>
  <c r="B1023" i="7"/>
  <c r="C1023" i="7" s="1" a="1"/>
  <c r="C1023" i="7" s="1"/>
  <c r="B1022" i="7"/>
  <c r="C1022" i="7" s="1" a="1"/>
  <c r="C1022" i="7" s="1"/>
  <c r="B1021" i="7"/>
  <c r="C1021" i="7" s="1" a="1"/>
  <c r="C1021" i="7" s="1"/>
  <c r="B1020" i="7"/>
  <c r="C1020" i="7" s="1" a="1"/>
  <c r="C1020" i="7" s="1"/>
  <c r="B1019" i="7"/>
  <c r="C1019" i="7" s="1" a="1"/>
  <c r="C1019" i="7" s="1"/>
  <c r="B1018" i="7"/>
  <c r="C1018" i="7" s="1" a="1"/>
  <c r="C1018" i="7" s="1"/>
  <c r="B1017" i="7"/>
  <c r="C1017" i="7" s="1" a="1"/>
  <c r="C1017" i="7" s="1"/>
  <c r="B1016" i="7"/>
  <c r="C1016" i="7" s="1" a="1"/>
  <c r="C1016" i="7" s="1"/>
  <c r="B1015" i="7"/>
  <c r="C1015" i="7" s="1" a="1"/>
  <c r="C1015" i="7" s="1"/>
  <c r="B1014" i="7"/>
  <c r="C1014" i="7" s="1" a="1"/>
  <c r="C1014" i="7" s="1"/>
  <c r="B1013" i="7"/>
  <c r="C1013" i="7" s="1" a="1"/>
  <c r="C1013" i="7" s="1"/>
  <c r="B1012" i="7"/>
  <c r="C1012" i="7" s="1" a="1"/>
  <c r="C1012" i="7" s="1"/>
  <c r="B1011" i="7"/>
  <c r="C1011" i="7" s="1" a="1"/>
  <c r="C1011" i="7" s="1"/>
  <c r="B1010" i="7"/>
  <c r="C1010" i="7" s="1" a="1"/>
  <c r="C1010" i="7" s="1"/>
  <c r="B1009" i="7"/>
  <c r="C1009" i="7" s="1" a="1"/>
  <c r="C1009" i="7" s="1"/>
  <c r="B1008" i="7"/>
  <c r="C1008" i="7" s="1" a="1"/>
  <c r="C1008" i="7" s="1"/>
  <c r="B1007" i="7"/>
  <c r="C1007" i="7" s="1" a="1"/>
  <c r="C1007" i="7" s="1"/>
  <c r="B1006" i="7"/>
  <c r="C1006" i="7" s="1" a="1"/>
  <c r="C1006" i="7" s="1"/>
  <c r="B1005" i="7"/>
  <c r="C1005" i="7" s="1" a="1"/>
  <c r="C1005" i="7" s="1"/>
  <c r="B1004" i="7"/>
  <c r="C1004" i="7" s="1" a="1"/>
  <c r="C1004" i="7" s="1"/>
  <c r="B1003" i="7"/>
  <c r="C1003" i="7" s="1" a="1"/>
  <c r="C1003" i="7" s="1"/>
  <c r="B1002" i="7"/>
  <c r="C1002" i="7" s="1" a="1"/>
  <c r="C1002" i="7" s="1"/>
  <c r="B1001" i="7"/>
  <c r="C1001" i="7" s="1" a="1"/>
  <c r="C1001" i="7" s="1"/>
  <c r="B1000" i="7"/>
  <c r="C1000" i="7" s="1" a="1"/>
  <c r="C1000" i="7" s="1"/>
  <c r="B999" i="7"/>
  <c r="C999" i="7" s="1" a="1"/>
  <c r="C999" i="7" s="1"/>
  <c r="B998" i="7"/>
  <c r="C998" i="7" s="1" a="1"/>
  <c r="C998" i="7" s="1"/>
  <c r="B997" i="7"/>
  <c r="C997" i="7" s="1" a="1"/>
  <c r="C997" i="7" s="1"/>
  <c r="B996" i="7"/>
  <c r="C996" i="7" s="1" a="1"/>
  <c r="C996" i="7" s="1"/>
  <c r="B995" i="7"/>
  <c r="C995" i="7" s="1" a="1"/>
  <c r="C995" i="7" s="1"/>
  <c r="B994" i="7"/>
  <c r="C994" i="7" s="1" a="1"/>
  <c r="C994" i="7" s="1"/>
  <c r="B993" i="7"/>
  <c r="C993" i="7" s="1" a="1"/>
  <c r="C993" i="7" s="1"/>
  <c r="B992" i="7"/>
  <c r="C992" i="7" s="1" a="1"/>
  <c r="C992" i="7" s="1"/>
  <c r="B991" i="7"/>
  <c r="C991" i="7" s="1" a="1"/>
  <c r="C991" i="7" s="1"/>
  <c r="B990" i="7"/>
  <c r="C990" i="7" s="1" a="1"/>
  <c r="C990" i="7" s="1"/>
  <c r="B989" i="7"/>
  <c r="C989" i="7" s="1" a="1"/>
  <c r="C989" i="7" s="1"/>
  <c r="B988" i="7"/>
  <c r="C988" i="7" s="1" a="1"/>
  <c r="C988" i="7" s="1"/>
  <c r="B987" i="7"/>
  <c r="C987" i="7" s="1" a="1"/>
  <c r="C987" i="7" s="1"/>
  <c r="B986" i="7"/>
  <c r="C986" i="7" s="1" a="1"/>
  <c r="C986" i="7" s="1"/>
  <c r="B985" i="7"/>
  <c r="C985" i="7" s="1" a="1"/>
  <c r="C985" i="7" s="1"/>
  <c r="B984" i="7"/>
  <c r="C984" i="7" s="1" a="1"/>
  <c r="C984" i="7" s="1"/>
  <c r="B983" i="7"/>
  <c r="C983" i="7" s="1" a="1"/>
  <c r="C983" i="7" s="1"/>
  <c r="B982" i="7"/>
  <c r="C982" i="7" s="1" a="1"/>
  <c r="C982" i="7" s="1"/>
  <c r="B981" i="7"/>
  <c r="C981" i="7" s="1" a="1"/>
  <c r="C981" i="7" s="1"/>
  <c r="B980" i="7"/>
  <c r="C980" i="7" s="1" a="1"/>
  <c r="C980" i="7" s="1"/>
  <c r="B979" i="7"/>
  <c r="C979" i="7" s="1" a="1"/>
  <c r="C979" i="7" s="1"/>
  <c r="B978" i="7"/>
  <c r="C978" i="7" s="1" a="1"/>
  <c r="C978" i="7" s="1"/>
  <c r="B977" i="7"/>
  <c r="C977" i="7" s="1" a="1"/>
  <c r="C977" i="7" s="1"/>
  <c r="B976" i="7"/>
  <c r="C976" i="7" s="1" a="1"/>
  <c r="C976" i="7" s="1"/>
  <c r="B975" i="7"/>
  <c r="C975" i="7" s="1" a="1"/>
  <c r="C975" i="7" s="1"/>
  <c r="B974" i="7"/>
  <c r="C974" i="7" s="1" a="1"/>
  <c r="C974" i="7" s="1"/>
  <c r="B973" i="7"/>
  <c r="C973" i="7" s="1" a="1"/>
  <c r="C973" i="7" s="1"/>
  <c r="B972" i="7"/>
  <c r="C972" i="7" s="1" a="1"/>
  <c r="C972" i="7" s="1"/>
  <c r="B971" i="7"/>
  <c r="C971" i="7" s="1" a="1"/>
  <c r="C971" i="7" s="1"/>
  <c r="B970" i="7"/>
  <c r="C970" i="7" s="1" a="1"/>
  <c r="C970" i="7" s="1"/>
  <c r="B969" i="7"/>
  <c r="C969" i="7" s="1" a="1"/>
  <c r="C969" i="7" s="1"/>
  <c r="B968" i="7"/>
  <c r="C968" i="7" s="1" a="1"/>
  <c r="C968" i="7" s="1"/>
  <c r="B967" i="7"/>
  <c r="C967" i="7" s="1" a="1"/>
  <c r="C967" i="7" s="1"/>
  <c r="B966" i="7"/>
  <c r="C966" i="7" s="1" a="1"/>
  <c r="C966" i="7" s="1"/>
  <c r="B965" i="7"/>
  <c r="C965" i="7" s="1" a="1"/>
  <c r="C965" i="7" s="1"/>
  <c r="B964" i="7"/>
  <c r="C964" i="7" s="1" a="1"/>
  <c r="C964" i="7" s="1"/>
  <c r="B963" i="7"/>
  <c r="C963" i="7" s="1" a="1"/>
  <c r="C963" i="7" s="1"/>
  <c r="B962" i="7"/>
  <c r="C962" i="7" s="1" a="1"/>
  <c r="C962" i="7" s="1"/>
  <c r="B961" i="7"/>
  <c r="C961" i="7" s="1" a="1"/>
  <c r="C961" i="7" s="1"/>
  <c r="B960" i="7"/>
  <c r="C960" i="7" s="1" a="1"/>
  <c r="C960" i="7" s="1"/>
  <c r="B959" i="7"/>
  <c r="C959" i="7" s="1" a="1"/>
  <c r="C959" i="7" s="1"/>
  <c r="B958" i="7"/>
  <c r="C958" i="7" s="1" a="1"/>
  <c r="C958" i="7" s="1"/>
  <c r="B957" i="7"/>
  <c r="C957" i="7" s="1" a="1"/>
  <c r="C957" i="7" s="1"/>
  <c r="B956" i="7"/>
  <c r="C956" i="7" s="1" a="1"/>
  <c r="C956" i="7" s="1"/>
  <c r="B955" i="7"/>
  <c r="C955" i="7" s="1" a="1"/>
  <c r="C955" i="7" s="1"/>
  <c r="B954" i="7"/>
  <c r="C954" i="7" s="1" a="1"/>
  <c r="C954" i="7" s="1"/>
  <c r="B953" i="7"/>
  <c r="C953" i="7" s="1" a="1"/>
  <c r="C953" i="7" s="1"/>
  <c r="B952" i="7"/>
  <c r="C952" i="7" s="1" a="1"/>
  <c r="C952" i="7" s="1"/>
  <c r="B951" i="7"/>
  <c r="C951" i="7" s="1" a="1"/>
  <c r="C951" i="7" s="1"/>
  <c r="B950" i="7"/>
  <c r="C950" i="7" s="1" a="1"/>
  <c r="C950" i="7" s="1"/>
  <c r="B949" i="7"/>
  <c r="C949" i="7" s="1" a="1"/>
  <c r="C949" i="7" s="1"/>
  <c r="B948" i="7"/>
  <c r="C948" i="7" s="1" a="1"/>
  <c r="C948" i="7" s="1"/>
  <c r="B947" i="7"/>
  <c r="C947" i="7" s="1" a="1"/>
  <c r="C947" i="7" s="1"/>
  <c r="B946" i="7"/>
  <c r="C946" i="7" s="1" a="1"/>
  <c r="C946" i="7" s="1"/>
  <c r="B945" i="7"/>
  <c r="C945" i="7" s="1" a="1"/>
  <c r="C945" i="7" s="1"/>
  <c r="B944" i="7"/>
  <c r="C944" i="7" s="1" a="1"/>
  <c r="C944" i="7" s="1"/>
  <c r="B943" i="7"/>
  <c r="C943" i="7" s="1" a="1"/>
  <c r="C943" i="7" s="1"/>
  <c r="B942" i="7"/>
  <c r="C942" i="7" s="1" a="1"/>
  <c r="C942" i="7" s="1"/>
  <c r="B941" i="7"/>
  <c r="C941" i="7" s="1" a="1"/>
  <c r="C941" i="7" s="1"/>
  <c r="B940" i="7"/>
  <c r="C940" i="7" s="1" a="1"/>
  <c r="C940" i="7" s="1"/>
  <c r="B939" i="7"/>
  <c r="C939" i="7" s="1" a="1"/>
  <c r="C939" i="7" s="1"/>
  <c r="B938" i="7"/>
  <c r="C938" i="7" s="1" a="1"/>
  <c r="C938" i="7" s="1"/>
  <c r="B937" i="7"/>
  <c r="C937" i="7" s="1" a="1"/>
  <c r="C937" i="7" s="1"/>
  <c r="B936" i="7"/>
  <c r="C936" i="7" s="1" a="1"/>
  <c r="C936" i="7" s="1"/>
  <c r="B935" i="7"/>
  <c r="C935" i="7" s="1" a="1"/>
  <c r="C935" i="7" s="1"/>
  <c r="B934" i="7"/>
  <c r="C934" i="7" s="1" a="1"/>
  <c r="C934" i="7" s="1"/>
  <c r="B933" i="7"/>
  <c r="C933" i="7" s="1" a="1"/>
  <c r="C933" i="7" s="1"/>
  <c r="B932" i="7"/>
  <c r="C932" i="7" s="1" a="1"/>
  <c r="C932" i="7" s="1"/>
  <c r="B931" i="7"/>
  <c r="C931" i="7" s="1" a="1"/>
  <c r="C931" i="7" s="1"/>
  <c r="B930" i="7"/>
  <c r="C930" i="7" s="1" a="1"/>
  <c r="C930" i="7" s="1"/>
  <c r="B929" i="7"/>
  <c r="C929" i="7" s="1" a="1"/>
  <c r="C929" i="7" s="1"/>
  <c r="B928" i="7"/>
  <c r="C928" i="7" s="1" a="1"/>
  <c r="C928" i="7" s="1"/>
  <c r="B927" i="7"/>
  <c r="C927" i="7" s="1" a="1"/>
  <c r="C927" i="7" s="1"/>
  <c r="B926" i="7"/>
  <c r="C926" i="7" s="1" a="1"/>
  <c r="C926" i="7" s="1"/>
  <c r="B925" i="7"/>
  <c r="C925" i="7" s="1" a="1"/>
  <c r="C925" i="7" s="1"/>
  <c r="B924" i="7"/>
  <c r="C924" i="7" s="1" a="1"/>
  <c r="C924" i="7" s="1"/>
  <c r="B923" i="7"/>
  <c r="C923" i="7" s="1" a="1"/>
  <c r="C923" i="7" s="1"/>
  <c r="B922" i="7"/>
  <c r="C922" i="7" s="1" a="1"/>
  <c r="C922" i="7" s="1"/>
  <c r="B921" i="7"/>
  <c r="C921" i="7" s="1" a="1"/>
  <c r="C921" i="7" s="1"/>
  <c r="B920" i="7"/>
  <c r="C920" i="7" s="1" a="1"/>
  <c r="C920" i="7" s="1"/>
  <c r="B919" i="7"/>
  <c r="C919" i="7" s="1" a="1"/>
  <c r="C919" i="7" s="1"/>
  <c r="B918" i="7"/>
  <c r="C918" i="7" s="1" a="1"/>
  <c r="C918" i="7" s="1"/>
  <c r="B917" i="7"/>
  <c r="C917" i="7" s="1" a="1"/>
  <c r="C917" i="7" s="1"/>
  <c r="B916" i="7"/>
  <c r="C916" i="7" s="1" a="1"/>
  <c r="C916" i="7" s="1"/>
  <c r="B915" i="7"/>
  <c r="C915" i="7" s="1" a="1"/>
  <c r="C915" i="7" s="1"/>
  <c r="B914" i="7"/>
  <c r="C914" i="7" s="1" a="1"/>
  <c r="C914" i="7" s="1"/>
  <c r="B913" i="7"/>
  <c r="C913" i="7" s="1" a="1"/>
  <c r="C913" i="7" s="1"/>
  <c r="B912" i="7"/>
  <c r="C912" i="7" s="1" a="1"/>
  <c r="C912" i="7" s="1"/>
  <c r="B911" i="7"/>
  <c r="C911" i="7" s="1" a="1"/>
  <c r="C911" i="7" s="1"/>
  <c r="B910" i="7"/>
  <c r="C910" i="7" s="1" a="1"/>
  <c r="C910" i="7" s="1"/>
  <c r="B909" i="7"/>
  <c r="C909" i="7" s="1" a="1"/>
  <c r="C909" i="7" s="1"/>
  <c r="B908" i="7"/>
  <c r="C908" i="7" s="1" a="1"/>
  <c r="C908" i="7" s="1"/>
  <c r="B907" i="7"/>
  <c r="C907" i="7" s="1" a="1"/>
  <c r="C907" i="7" s="1"/>
  <c r="B906" i="7"/>
  <c r="C906" i="7" s="1" a="1"/>
  <c r="C906" i="7" s="1"/>
  <c r="B905" i="7"/>
  <c r="C905" i="7" s="1" a="1"/>
  <c r="C905" i="7" s="1"/>
  <c r="B904" i="7"/>
  <c r="C904" i="7" s="1" a="1"/>
  <c r="C904" i="7" s="1"/>
  <c r="B903" i="7"/>
  <c r="C903" i="7" s="1" a="1"/>
  <c r="C903" i="7" s="1"/>
  <c r="B902" i="7"/>
  <c r="C902" i="7" s="1" a="1"/>
  <c r="C902" i="7" s="1"/>
  <c r="B901" i="7"/>
  <c r="C901" i="7" s="1" a="1"/>
  <c r="C901" i="7" s="1"/>
  <c r="B900" i="7"/>
  <c r="C900" i="7" s="1" a="1"/>
  <c r="C900" i="7" s="1"/>
  <c r="B899" i="7"/>
  <c r="C899" i="7" s="1" a="1"/>
  <c r="C899" i="7" s="1"/>
  <c r="B898" i="7"/>
  <c r="C898" i="7" s="1" a="1"/>
  <c r="C898" i="7" s="1"/>
  <c r="B897" i="7"/>
  <c r="C897" i="7" s="1" a="1"/>
  <c r="C897" i="7" s="1"/>
  <c r="B896" i="7"/>
  <c r="C896" i="7" s="1" a="1"/>
  <c r="C896" i="7" s="1"/>
  <c r="B895" i="7"/>
  <c r="C895" i="7" s="1" a="1"/>
  <c r="C895" i="7" s="1"/>
  <c r="B894" i="7"/>
  <c r="C894" i="7" s="1" a="1"/>
  <c r="C894" i="7" s="1"/>
  <c r="B893" i="7"/>
  <c r="C893" i="7" s="1" a="1"/>
  <c r="C893" i="7" s="1"/>
  <c r="B892" i="7"/>
  <c r="C892" i="7" s="1" a="1"/>
  <c r="C892" i="7" s="1"/>
  <c r="B891" i="7"/>
  <c r="C891" i="7" s="1" a="1"/>
  <c r="C891" i="7" s="1"/>
  <c r="B890" i="7"/>
  <c r="C890" i="7" s="1" a="1"/>
  <c r="C890" i="7" s="1"/>
  <c r="B889" i="7"/>
  <c r="C889" i="7" s="1" a="1"/>
  <c r="C889" i="7" s="1"/>
  <c r="B888" i="7"/>
  <c r="C888" i="7" s="1" a="1"/>
  <c r="C888" i="7" s="1"/>
  <c r="B887" i="7"/>
  <c r="C887" i="7" s="1" a="1"/>
  <c r="C887" i="7" s="1"/>
  <c r="B886" i="7"/>
  <c r="C886" i="7" s="1" a="1"/>
  <c r="C886" i="7" s="1"/>
  <c r="B885" i="7"/>
  <c r="C885" i="7" s="1" a="1"/>
  <c r="C885" i="7" s="1"/>
  <c r="B884" i="7"/>
  <c r="C884" i="7" s="1" a="1"/>
  <c r="C884" i="7" s="1"/>
  <c r="B883" i="7"/>
  <c r="C883" i="7" s="1" a="1"/>
  <c r="C883" i="7" s="1"/>
  <c r="B882" i="7"/>
  <c r="C882" i="7" s="1" a="1"/>
  <c r="C882" i="7" s="1"/>
  <c r="B881" i="7"/>
  <c r="C881" i="7" s="1" a="1"/>
  <c r="C881" i="7" s="1"/>
  <c r="B880" i="7"/>
  <c r="C880" i="7" s="1" a="1"/>
  <c r="C880" i="7" s="1"/>
  <c r="B879" i="7"/>
  <c r="C879" i="7" s="1" a="1"/>
  <c r="C879" i="7" s="1"/>
  <c r="B878" i="7"/>
  <c r="C878" i="7" s="1" a="1"/>
  <c r="C878" i="7" s="1"/>
  <c r="B877" i="7"/>
  <c r="C877" i="7" s="1" a="1"/>
  <c r="C877" i="7" s="1"/>
  <c r="B876" i="7"/>
  <c r="C876" i="7" s="1" a="1"/>
  <c r="C876" i="7" s="1"/>
  <c r="B875" i="7"/>
  <c r="C875" i="7" s="1" a="1"/>
  <c r="C875" i="7" s="1"/>
  <c r="B874" i="7"/>
  <c r="C874" i="7" s="1" a="1"/>
  <c r="C874" i="7" s="1"/>
  <c r="B873" i="7"/>
  <c r="C873" i="7" s="1" a="1"/>
  <c r="C873" i="7" s="1"/>
  <c r="B872" i="7"/>
  <c r="C872" i="7" s="1" a="1"/>
  <c r="C872" i="7" s="1"/>
  <c r="B871" i="7"/>
  <c r="C871" i="7" s="1" a="1"/>
  <c r="C871" i="7" s="1"/>
  <c r="B870" i="7"/>
  <c r="C870" i="7" s="1" a="1"/>
  <c r="C870" i="7" s="1"/>
  <c r="B869" i="7"/>
  <c r="C869" i="7" s="1" a="1"/>
  <c r="C869" i="7" s="1"/>
  <c r="B868" i="7"/>
  <c r="C868" i="7" s="1" a="1"/>
  <c r="C868" i="7" s="1"/>
  <c r="B867" i="7"/>
  <c r="C867" i="7" s="1" a="1"/>
  <c r="C867" i="7" s="1"/>
  <c r="B866" i="7"/>
  <c r="C866" i="7" s="1" a="1"/>
  <c r="C866" i="7" s="1"/>
  <c r="B865" i="7"/>
  <c r="C865" i="7" s="1" a="1"/>
  <c r="C865" i="7" s="1"/>
  <c r="B864" i="7"/>
  <c r="C864" i="7" s="1" a="1"/>
  <c r="C864" i="7" s="1"/>
  <c r="B863" i="7"/>
  <c r="C863" i="7" s="1" a="1"/>
  <c r="C863" i="7" s="1"/>
  <c r="B862" i="7"/>
  <c r="C862" i="7" s="1" a="1"/>
  <c r="C862" i="7" s="1"/>
  <c r="B861" i="7"/>
  <c r="C861" i="7" s="1" a="1"/>
  <c r="C861" i="7" s="1"/>
  <c r="B860" i="7"/>
  <c r="C860" i="7" s="1" a="1"/>
  <c r="C860" i="7" s="1"/>
  <c r="B859" i="7"/>
  <c r="C859" i="7" s="1" a="1"/>
  <c r="C859" i="7" s="1"/>
  <c r="B858" i="7"/>
  <c r="C858" i="7" s="1" a="1"/>
  <c r="C858" i="7" s="1"/>
  <c r="B857" i="7"/>
  <c r="C857" i="7" s="1" a="1"/>
  <c r="C857" i="7" s="1"/>
  <c r="B856" i="7"/>
  <c r="C856" i="7" s="1" a="1"/>
  <c r="C856" i="7" s="1"/>
  <c r="B855" i="7"/>
  <c r="C855" i="7" s="1" a="1"/>
  <c r="C855" i="7" s="1"/>
  <c r="B854" i="7"/>
  <c r="C854" i="7" s="1" a="1"/>
  <c r="C854" i="7" s="1"/>
  <c r="B853" i="7"/>
  <c r="C853" i="7" s="1" a="1"/>
  <c r="C853" i="7" s="1"/>
  <c r="B852" i="7"/>
  <c r="C852" i="7" s="1" a="1"/>
  <c r="C852" i="7" s="1"/>
  <c r="B851" i="7"/>
  <c r="C851" i="7" s="1" a="1"/>
  <c r="C851" i="7" s="1"/>
  <c r="B850" i="7"/>
  <c r="C850" i="7" s="1" a="1"/>
  <c r="C850" i="7" s="1"/>
  <c r="B849" i="7"/>
  <c r="C849" i="7" s="1" a="1"/>
  <c r="C849" i="7" s="1"/>
  <c r="B848" i="7"/>
  <c r="C848" i="7" s="1" a="1"/>
  <c r="C848" i="7" s="1"/>
  <c r="B847" i="7"/>
  <c r="C847" i="7" s="1" a="1"/>
  <c r="C847" i="7" s="1"/>
  <c r="B846" i="7"/>
  <c r="C846" i="7" s="1" a="1"/>
  <c r="C846" i="7" s="1"/>
  <c r="B845" i="7"/>
  <c r="C845" i="7" s="1" a="1"/>
  <c r="C845" i="7" s="1"/>
  <c r="B844" i="7"/>
  <c r="C844" i="7" s="1" a="1"/>
  <c r="C844" i="7" s="1"/>
  <c r="B843" i="7"/>
  <c r="C843" i="7" s="1" a="1"/>
  <c r="C843" i="7" s="1"/>
  <c r="B842" i="7"/>
  <c r="C842" i="7" s="1" a="1"/>
  <c r="C842" i="7" s="1"/>
  <c r="B841" i="7"/>
  <c r="C841" i="7" s="1" a="1"/>
  <c r="C841" i="7" s="1"/>
  <c r="B840" i="7"/>
  <c r="C840" i="7" s="1" a="1"/>
  <c r="C840" i="7" s="1"/>
  <c r="B839" i="7"/>
  <c r="C839" i="7" s="1" a="1"/>
  <c r="C839" i="7" s="1"/>
  <c r="B838" i="7"/>
  <c r="C838" i="7" s="1" a="1"/>
  <c r="C838" i="7" s="1"/>
  <c r="B837" i="7"/>
  <c r="C837" i="7" s="1" a="1"/>
  <c r="C837" i="7" s="1"/>
  <c r="B836" i="7"/>
  <c r="C836" i="7" s="1" a="1"/>
  <c r="C836" i="7" s="1"/>
  <c r="B835" i="7"/>
  <c r="C835" i="7" s="1" a="1"/>
  <c r="C835" i="7" s="1"/>
  <c r="B834" i="7"/>
  <c r="C834" i="7" s="1" a="1"/>
  <c r="C834" i="7" s="1"/>
  <c r="B833" i="7"/>
  <c r="C833" i="7" s="1" a="1"/>
  <c r="C833" i="7" s="1"/>
  <c r="B832" i="7"/>
  <c r="C832" i="7" s="1" a="1"/>
  <c r="C832" i="7" s="1"/>
  <c r="B831" i="7"/>
  <c r="C831" i="7" s="1" a="1"/>
  <c r="C831" i="7" s="1"/>
  <c r="B830" i="7"/>
  <c r="C830" i="7" s="1" a="1"/>
  <c r="C830" i="7" s="1"/>
  <c r="B829" i="7"/>
  <c r="C829" i="7" s="1" a="1"/>
  <c r="C829" i="7" s="1"/>
  <c r="B828" i="7"/>
  <c r="C828" i="7" s="1" a="1"/>
  <c r="C828" i="7" s="1"/>
  <c r="B827" i="7"/>
  <c r="C827" i="7" s="1" a="1"/>
  <c r="C827" i="7" s="1"/>
  <c r="B826" i="7"/>
  <c r="C826" i="7" s="1" a="1"/>
  <c r="C826" i="7" s="1"/>
  <c r="B825" i="7"/>
  <c r="C825" i="7" s="1" a="1"/>
  <c r="C825" i="7" s="1"/>
  <c r="B824" i="7"/>
  <c r="C824" i="7" s="1" a="1"/>
  <c r="C824" i="7" s="1"/>
  <c r="B823" i="7"/>
  <c r="C823" i="7" s="1" a="1"/>
  <c r="C823" i="7" s="1"/>
  <c r="B822" i="7"/>
  <c r="C822" i="7" s="1" a="1"/>
  <c r="C822" i="7" s="1"/>
  <c r="B821" i="7"/>
  <c r="C821" i="7" s="1" a="1"/>
  <c r="C821" i="7" s="1"/>
  <c r="B820" i="7"/>
  <c r="C820" i="7" s="1" a="1"/>
  <c r="C820" i="7" s="1"/>
  <c r="B819" i="7"/>
  <c r="C819" i="7" s="1" a="1"/>
  <c r="C819" i="7" s="1"/>
  <c r="B818" i="7"/>
  <c r="C818" i="7" s="1" a="1"/>
  <c r="C818" i="7" s="1"/>
  <c r="B817" i="7"/>
  <c r="C817" i="7" s="1" a="1"/>
  <c r="C817" i="7" s="1"/>
  <c r="B816" i="7"/>
  <c r="C816" i="7" s="1" a="1"/>
  <c r="C816" i="7" s="1"/>
  <c r="B815" i="7"/>
  <c r="C815" i="7" s="1" a="1"/>
  <c r="C815" i="7" s="1"/>
  <c r="B814" i="7"/>
  <c r="C814" i="7" s="1" a="1"/>
  <c r="C814" i="7" s="1"/>
  <c r="B813" i="7"/>
  <c r="C813" i="7" s="1" a="1"/>
  <c r="C813" i="7" s="1"/>
  <c r="B812" i="7"/>
  <c r="C812" i="7" s="1" a="1"/>
  <c r="C812" i="7" s="1"/>
  <c r="B811" i="7"/>
  <c r="C811" i="7" s="1" a="1"/>
  <c r="C811" i="7" s="1"/>
  <c r="B810" i="7"/>
  <c r="C810" i="7" s="1" a="1"/>
  <c r="C810" i="7" s="1"/>
  <c r="B809" i="7"/>
  <c r="C809" i="7" s="1" a="1"/>
  <c r="C809" i="7" s="1"/>
  <c r="B808" i="7"/>
  <c r="C808" i="7" s="1" a="1"/>
  <c r="C808" i="7" s="1"/>
  <c r="B807" i="7"/>
  <c r="C807" i="7" s="1" a="1"/>
  <c r="C807" i="7" s="1"/>
  <c r="B806" i="7"/>
  <c r="C806" i="7" s="1" a="1"/>
  <c r="C806" i="7" s="1"/>
  <c r="B805" i="7"/>
  <c r="C805" i="7" s="1" a="1"/>
  <c r="C805" i="7" s="1"/>
  <c r="B804" i="7"/>
  <c r="C804" i="7" s="1" a="1"/>
  <c r="C804" i="7" s="1"/>
  <c r="B803" i="7"/>
  <c r="C803" i="7" s="1" a="1"/>
  <c r="C803" i="7" s="1"/>
  <c r="B802" i="7"/>
  <c r="C802" i="7" s="1" a="1"/>
  <c r="C802" i="7" s="1"/>
  <c r="B801" i="7"/>
  <c r="C801" i="7" s="1" a="1"/>
  <c r="C801" i="7" s="1"/>
  <c r="B800" i="7"/>
  <c r="C800" i="7" s="1" a="1"/>
  <c r="C800" i="7" s="1"/>
  <c r="B799" i="7"/>
  <c r="C799" i="7" s="1" a="1"/>
  <c r="C799" i="7" s="1"/>
  <c r="B798" i="7"/>
  <c r="C798" i="7" s="1" a="1"/>
  <c r="C798" i="7" s="1"/>
  <c r="B797" i="7"/>
  <c r="C797" i="7" s="1" a="1"/>
  <c r="C797" i="7" s="1"/>
  <c r="B796" i="7"/>
  <c r="C796" i="7" s="1" a="1"/>
  <c r="C796" i="7" s="1"/>
  <c r="B795" i="7"/>
  <c r="C795" i="7" s="1" a="1"/>
  <c r="C795" i="7" s="1"/>
  <c r="B794" i="7"/>
  <c r="C794" i="7" s="1" a="1"/>
  <c r="C794" i="7" s="1"/>
  <c r="B793" i="7"/>
  <c r="C793" i="7" s="1" a="1"/>
  <c r="C793" i="7" s="1"/>
  <c r="B792" i="7"/>
  <c r="C792" i="7" s="1" a="1"/>
  <c r="C792" i="7" s="1"/>
  <c r="B791" i="7"/>
  <c r="C791" i="7" s="1" a="1"/>
  <c r="C791" i="7" s="1"/>
  <c r="B790" i="7"/>
  <c r="C790" i="7" s="1" a="1"/>
  <c r="C790" i="7" s="1"/>
  <c r="B789" i="7"/>
  <c r="C789" i="7" s="1" a="1"/>
  <c r="C789" i="7" s="1"/>
  <c r="B788" i="7"/>
  <c r="C788" i="7" s="1" a="1"/>
  <c r="C788" i="7" s="1"/>
  <c r="B787" i="7"/>
  <c r="C787" i="7" s="1" a="1"/>
  <c r="C787" i="7" s="1"/>
  <c r="B786" i="7"/>
  <c r="C786" i="7" s="1" a="1"/>
  <c r="C786" i="7" s="1"/>
  <c r="B785" i="7"/>
  <c r="C785" i="7" s="1" a="1"/>
  <c r="C785" i="7" s="1"/>
  <c r="B784" i="7"/>
  <c r="C784" i="7" s="1" a="1"/>
  <c r="C784" i="7" s="1"/>
  <c r="B783" i="7"/>
  <c r="C783" i="7" s="1" a="1"/>
  <c r="C783" i="7" s="1"/>
  <c r="B782" i="7"/>
  <c r="C782" i="7" s="1" a="1"/>
  <c r="C782" i="7" s="1"/>
  <c r="B781" i="7"/>
  <c r="C781" i="7" s="1" a="1"/>
  <c r="C781" i="7" s="1"/>
  <c r="B780" i="7"/>
  <c r="C780" i="7" s="1" a="1"/>
  <c r="C780" i="7" s="1"/>
  <c r="B779" i="7"/>
  <c r="C779" i="7" s="1" a="1"/>
  <c r="C779" i="7" s="1"/>
  <c r="B778" i="7"/>
  <c r="C778" i="7" s="1" a="1"/>
  <c r="C778" i="7" s="1"/>
  <c r="B777" i="7"/>
  <c r="C777" i="7" s="1" a="1"/>
  <c r="C777" i="7" s="1"/>
  <c r="B776" i="7"/>
  <c r="C776" i="7" s="1" a="1"/>
  <c r="C776" i="7" s="1"/>
  <c r="B775" i="7"/>
  <c r="C775" i="7" s="1" a="1"/>
  <c r="C775" i="7" s="1"/>
  <c r="B774" i="7"/>
  <c r="C774" i="7" s="1" a="1"/>
  <c r="C774" i="7" s="1"/>
  <c r="B773" i="7"/>
  <c r="C773" i="7" s="1" a="1"/>
  <c r="C773" i="7" s="1"/>
  <c r="B772" i="7"/>
  <c r="C772" i="7" s="1" a="1"/>
  <c r="C772" i="7" s="1"/>
  <c r="B771" i="7"/>
  <c r="C771" i="7" s="1" a="1"/>
  <c r="C771" i="7" s="1"/>
  <c r="B770" i="7"/>
  <c r="C770" i="7" s="1" a="1"/>
  <c r="C770" i="7" s="1"/>
  <c r="B769" i="7"/>
  <c r="C769" i="7" s="1" a="1"/>
  <c r="C769" i="7" s="1"/>
  <c r="B768" i="7"/>
  <c r="C768" i="7" s="1" a="1"/>
  <c r="C768" i="7" s="1"/>
  <c r="B767" i="7"/>
  <c r="C767" i="7" s="1" a="1"/>
  <c r="C767" i="7" s="1"/>
  <c r="B766" i="7"/>
  <c r="C766" i="7" s="1" a="1"/>
  <c r="C766" i="7" s="1"/>
  <c r="B765" i="7"/>
  <c r="C765" i="7" s="1" a="1"/>
  <c r="C765" i="7" s="1"/>
  <c r="B764" i="7"/>
  <c r="C764" i="7" s="1" a="1"/>
  <c r="C764" i="7" s="1"/>
  <c r="B763" i="7"/>
  <c r="C763" i="7" s="1" a="1"/>
  <c r="C763" i="7" s="1"/>
  <c r="B762" i="7"/>
  <c r="C762" i="7" s="1" a="1"/>
  <c r="C762" i="7" s="1"/>
  <c r="B761" i="7"/>
  <c r="C761" i="7" s="1" a="1"/>
  <c r="C761" i="7" s="1"/>
  <c r="B760" i="7"/>
  <c r="C760" i="7" s="1" a="1"/>
  <c r="C760" i="7" s="1"/>
  <c r="B759" i="7"/>
  <c r="C759" i="7" s="1" a="1"/>
  <c r="C759" i="7" s="1"/>
  <c r="B758" i="7"/>
  <c r="C758" i="7" s="1" a="1"/>
  <c r="C758" i="7" s="1"/>
  <c r="B757" i="7"/>
  <c r="C757" i="7" s="1" a="1"/>
  <c r="C757" i="7" s="1"/>
  <c r="B756" i="7"/>
  <c r="C756" i="7" s="1" a="1"/>
  <c r="C756" i="7" s="1"/>
  <c r="B755" i="7"/>
  <c r="C755" i="7" s="1" a="1"/>
  <c r="C755" i="7" s="1"/>
  <c r="B754" i="7"/>
  <c r="C754" i="7" s="1" a="1"/>
  <c r="C754" i="7" s="1"/>
  <c r="B753" i="7"/>
  <c r="C753" i="7" s="1" a="1"/>
  <c r="C753" i="7" s="1"/>
  <c r="B752" i="7"/>
  <c r="C752" i="7" s="1" a="1"/>
  <c r="C752" i="7" s="1"/>
  <c r="B751" i="7"/>
  <c r="C751" i="7" s="1" a="1"/>
  <c r="C751" i="7" s="1"/>
  <c r="B750" i="7"/>
  <c r="C750" i="7" s="1" a="1"/>
  <c r="C750" i="7" s="1"/>
  <c r="B749" i="7"/>
  <c r="C749" i="7" s="1" a="1"/>
  <c r="C749" i="7" s="1"/>
  <c r="B748" i="7"/>
  <c r="C748" i="7" s="1" a="1"/>
  <c r="C748" i="7" s="1"/>
  <c r="B747" i="7"/>
  <c r="C747" i="7" s="1" a="1"/>
  <c r="C747" i="7" s="1"/>
  <c r="B746" i="7"/>
  <c r="C746" i="7" s="1" a="1"/>
  <c r="C746" i="7" s="1"/>
  <c r="B745" i="7"/>
  <c r="C745" i="7" s="1" a="1"/>
  <c r="C745" i="7" s="1"/>
  <c r="B744" i="7"/>
  <c r="C744" i="7" s="1" a="1"/>
  <c r="C744" i="7" s="1"/>
  <c r="B743" i="7"/>
  <c r="C743" i="7" s="1" a="1"/>
  <c r="C743" i="7" s="1"/>
  <c r="B742" i="7"/>
  <c r="C742" i="7" s="1" a="1"/>
  <c r="C742" i="7" s="1"/>
  <c r="B741" i="7"/>
  <c r="C741" i="7" s="1" a="1"/>
  <c r="C741" i="7" s="1"/>
  <c r="B740" i="7"/>
  <c r="C740" i="7" s="1" a="1"/>
  <c r="C740" i="7" s="1"/>
  <c r="B739" i="7"/>
  <c r="C739" i="7" s="1" a="1"/>
  <c r="C739" i="7" s="1"/>
  <c r="B738" i="7"/>
  <c r="C738" i="7" s="1" a="1"/>
  <c r="C738" i="7" s="1"/>
  <c r="B737" i="7"/>
  <c r="C737" i="7" s="1" a="1"/>
  <c r="C737" i="7" s="1"/>
  <c r="B736" i="7"/>
  <c r="C736" i="7" s="1" a="1"/>
  <c r="C736" i="7" s="1"/>
  <c r="B735" i="7"/>
  <c r="C735" i="7" s="1" a="1"/>
  <c r="C735" i="7" s="1"/>
  <c r="B734" i="7"/>
  <c r="C734" i="7" s="1" a="1"/>
  <c r="C734" i="7" s="1"/>
  <c r="B733" i="7"/>
  <c r="C733" i="7" s="1" a="1"/>
  <c r="C733" i="7" s="1"/>
  <c r="B732" i="7"/>
  <c r="C732" i="7" s="1" a="1"/>
  <c r="C732" i="7" s="1"/>
  <c r="B731" i="7"/>
  <c r="C731" i="7" s="1" a="1"/>
  <c r="C731" i="7" s="1"/>
  <c r="B730" i="7"/>
  <c r="C730" i="7" s="1" a="1"/>
  <c r="C730" i="7" s="1"/>
  <c r="B729" i="7"/>
  <c r="C729" i="7" s="1" a="1"/>
  <c r="C729" i="7" s="1"/>
  <c r="B728" i="7"/>
  <c r="C728" i="7" s="1" a="1"/>
  <c r="C728" i="7" s="1"/>
  <c r="B727" i="7"/>
  <c r="C727" i="7" s="1" a="1"/>
  <c r="C727" i="7" s="1"/>
  <c r="B726" i="7"/>
  <c r="C726" i="7" s="1" a="1"/>
  <c r="C726" i="7" s="1"/>
  <c r="B725" i="7"/>
  <c r="C725" i="7" s="1" a="1"/>
  <c r="C725" i="7" s="1"/>
  <c r="B724" i="7"/>
  <c r="C724" i="7" s="1" a="1"/>
  <c r="C724" i="7" s="1"/>
  <c r="B723" i="7"/>
  <c r="C723" i="7" s="1" a="1"/>
  <c r="C723" i="7" s="1"/>
  <c r="B722" i="7"/>
  <c r="C722" i="7" s="1" a="1"/>
  <c r="C722" i="7" s="1"/>
  <c r="B721" i="7"/>
  <c r="C721" i="7" s="1" a="1"/>
  <c r="C721" i="7" s="1"/>
  <c r="B720" i="7"/>
  <c r="C720" i="7" s="1" a="1"/>
  <c r="C720" i="7" s="1"/>
  <c r="B719" i="7"/>
  <c r="C719" i="7" s="1" a="1"/>
  <c r="C719" i="7" s="1"/>
  <c r="B718" i="7"/>
  <c r="C718" i="7" s="1" a="1"/>
  <c r="C718" i="7" s="1"/>
  <c r="B717" i="7"/>
  <c r="C717" i="7" s="1" a="1"/>
  <c r="C717" i="7" s="1"/>
  <c r="B716" i="7"/>
  <c r="C716" i="7" s="1" a="1"/>
  <c r="C716" i="7" s="1"/>
  <c r="B715" i="7"/>
  <c r="C715" i="7" s="1" a="1"/>
  <c r="C715" i="7" s="1"/>
  <c r="B714" i="7"/>
  <c r="C714" i="7" s="1" a="1"/>
  <c r="C714" i="7" s="1"/>
  <c r="B713" i="7"/>
  <c r="C713" i="7" s="1" a="1"/>
  <c r="C713" i="7" s="1"/>
  <c r="B712" i="7"/>
  <c r="C712" i="7" s="1" a="1"/>
  <c r="C712" i="7" s="1"/>
  <c r="B711" i="7"/>
  <c r="C711" i="7" s="1" a="1"/>
  <c r="C711" i="7" s="1"/>
  <c r="B710" i="7"/>
  <c r="C710" i="7" s="1" a="1"/>
  <c r="C710" i="7" s="1"/>
  <c r="B709" i="7"/>
  <c r="C709" i="7" s="1" a="1"/>
  <c r="C709" i="7" s="1"/>
  <c r="B708" i="7"/>
  <c r="C708" i="7" s="1" a="1"/>
  <c r="C708" i="7" s="1"/>
  <c r="B707" i="7"/>
  <c r="C707" i="7" s="1" a="1"/>
  <c r="C707" i="7" s="1"/>
  <c r="B706" i="7"/>
  <c r="C706" i="7" s="1" a="1"/>
  <c r="C706" i="7" s="1"/>
  <c r="B705" i="7"/>
  <c r="C705" i="7" s="1" a="1"/>
  <c r="C705" i="7" s="1"/>
  <c r="B704" i="7"/>
  <c r="C704" i="7" s="1" a="1"/>
  <c r="C704" i="7" s="1"/>
  <c r="B703" i="7"/>
  <c r="C703" i="7" s="1" a="1"/>
  <c r="C703" i="7" s="1"/>
  <c r="B702" i="7"/>
  <c r="C702" i="7" s="1" a="1"/>
  <c r="C702" i="7" s="1"/>
  <c r="B701" i="7"/>
  <c r="C701" i="7" s="1" a="1"/>
  <c r="C701" i="7" s="1"/>
  <c r="B700" i="7"/>
  <c r="C700" i="7" s="1" a="1"/>
  <c r="C700" i="7" s="1"/>
  <c r="B699" i="7"/>
  <c r="C699" i="7" s="1" a="1"/>
  <c r="C699" i="7" s="1"/>
  <c r="B698" i="7"/>
  <c r="C698" i="7" s="1" a="1"/>
  <c r="C698" i="7" s="1"/>
  <c r="B697" i="7"/>
  <c r="C697" i="7" s="1" a="1"/>
  <c r="C697" i="7" s="1"/>
  <c r="B696" i="7"/>
  <c r="C696" i="7" s="1" a="1"/>
  <c r="C696" i="7" s="1"/>
  <c r="B695" i="7"/>
  <c r="C695" i="7" s="1" a="1"/>
  <c r="C695" i="7" s="1"/>
  <c r="B694" i="7"/>
  <c r="C694" i="7" s="1" a="1"/>
  <c r="C694" i="7" s="1"/>
  <c r="B693" i="7"/>
  <c r="C693" i="7" s="1" a="1"/>
  <c r="C693" i="7" s="1"/>
  <c r="B692" i="7"/>
  <c r="C692" i="7" s="1" a="1"/>
  <c r="C692" i="7" s="1"/>
  <c r="B691" i="7"/>
  <c r="C691" i="7" s="1" a="1"/>
  <c r="C691" i="7" s="1"/>
  <c r="B690" i="7"/>
  <c r="C690" i="7" s="1" a="1"/>
  <c r="C690" i="7" s="1"/>
  <c r="B689" i="7"/>
  <c r="C689" i="7" s="1" a="1"/>
  <c r="C689" i="7" s="1"/>
  <c r="B688" i="7"/>
  <c r="C688" i="7" s="1" a="1"/>
  <c r="C688" i="7" s="1"/>
  <c r="B687" i="7"/>
  <c r="C687" i="7" s="1" a="1"/>
  <c r="C687" i="7" s="1"/>
  <c r="B686" i="7"/>
  <c r="C686" i="7" s="1" a="1"/>
  <c r="C686" i="7" s="1"/>
  <c r="B685" i="7"/>
  <c r="C685" i="7" s="1" a="1"/>
  <c r="C685" i="7" s="1"/>
  <c r="B684" i="7"/>
  <c r="C684" i="7" s="1" a="1"/>
  <c r="C684" i="7" s="1"/>
  <c r="B683" i="7"/>
  <c r="C683" i="7" s="1" a="1"/>
  <c r="C683" i="7" s="1"/>
  <c r="B682" i="7"/>
  <c r="C682" i="7" s="1" a="1"/>
  <c r="C682" i="7" s="1"/>
  <c r="B681" i="7"/>
  <c r="C681" i="7" s="1" a="1"/>
  <c r="C681" i="7" s="1"/>
  <c r="B680" i="7"/>
  <c r="C680" i="7" s="1" a="1"/>
  <c r="C680" i="7" s="1"/>
  <c r="B679" i="7"/>
  <c r="C679" i="7" s="1" a="1"/>
  <c r="C679" i="7" s="1"/>
  <c r="B678" i="7"/>
  <c r="C678" i="7" s="1" a="1"/>
  <c r="C678" i="7" s="1"/>
  <c r="B677" i="7"/>
  <c r="C677" i="7" s="1" a="1"/>
  <c r="C677" i="7" s="1"/>
  <c r="B676" i="7"/>
  <c r="C676" i="7" s="1" a="1"/>
  <c r="C676" i="7" s="1"/>
  <c r="B675" i="7"/>
  <c r="C675" i="7" s="1" a="1"/>
  <c r="C675" i="7" s="1"/>
  <c r="B674" i="7"/>
  <c r="C674" i="7" s="1" a="1"/>
  <c r="C674" i="7" s="1"/>
  <c r="B673" i="7"/>
  <c r="C673" i="7" s="1" a="1"/>
  <c r="C673" i="7" s="1"/>
  <c r="B672" i="7"/>
  <c r="C672" i="7" s="1" a="1"/>
  <c r="C672" i="7" s="1"/>
  <c r="B671" i="7"/>
  <c r="C671" i="7" s="1" a="1"/>
  <c r="C671" i="7" s="1"/>
  <c r="B670" i="7"/>
  <c r="C670" i="7" s="1" a="1"/>
  <c r="C670" i="7" s="1"/>
  <c r="B669" i="7"/>
  <c r="C669" i="7" s="1" a="1"/>
  <c r="C669" i="7" s="1"/>
  <c r="B668" i="7"/>
  <c r="C668" i="7" s="1" a="1"/>
  <c r="C668" i="7" s="1"/>
  <c r="B667" i="7"/>
  <c r="C667" i="7" s="1" a="1"/>
  <c r="C667" i="7" s="1"/>
  <c r="B666" i="7"/>
  <c r="C666" i="7" s="1" a="1"/>
  <c r="C666" i="7" s="1"/>
  <c r="B665" i="7"/>
  <c r="C665" i="7" s="1" a="1"/>
  <c r="C665" i="7" s="1"/>
  <c r="B664" i="7"/>
  <c r="C664" i="7" s="1" a="1"/>
  <c r="C664" i="7" s="1"/>
  <c r="B663" i="7"/>
  <c r="C663" i="7" s="1" a="1"/>
  <c r="C663" i="7" s="1"/>
  <c r="B662" i="7"/>
  <c r="C662" i="7" s="1" a="1"/>
  <c r="C662" i="7" s="1"/>
  <c r="B661" i="7"/>
  <c r="C661" i="7" s="1" a="1"/>
  <c r="C661" i="7" s="1"/>
  <c r="B660" i="7"/>
  <c r="C660" i="7" s="1" a="1"/>
  <c r="C660" i="7" s="1"/>
  <c r="B659" i="7"/>
  <c r="C659" i="7" s="1" a="1"/>
  <c r="C659" i="7" s="1"/>
  <c r="B658" i="7"/>
  <c r="C658" i="7" s="1" a="1"/>
  <c r="C658" i="7" s="1"/>
  <c r="B657" i="7"/>
  <c r="C657" i="7" s="1" a="1"/>
  <c r="C657" i="7" s="1"/>
  <c r="B656" i="7"/>
  <c r="C656" i="7" s="1" a="1"/>
  <c r="C656" i="7" s="1"/>
  <c r="B655" i="7"/>
  <c r="C655" i="7" s="1" a="1"/>
  <c r="C655" i="7" s="1"/>
  <c r="B654" i="7"/>
  <c r="C654" i="7" s="1" a="1"/>
  <c r="C654" i="7" s="1"/>
  <c r="B653" i="7"/>
  <c r="C653" i="7" s="1" a="1"/>
  <c r="C653" i="7" s="1"/>
  <c r="B652" i="7"/>
  <c r="C652" i="7" s="1" a="1"/>
  <c r="C652" i="7" s="1"/>
  <c r="B651" i="7"/>
  <c r="C651" i="7" s="1" a="1"/>
  <c r="C651" i="7" s="1"/>
  <c r="B650" i="7"/>
  <c r="C650" i="7" s="1" a="1"/>
  <c r="C650" i="7" s="1"/>
  <c r="B649" i="7"/>
  <c r="C649" i="7" s="1" a="1"/>
  <c r="C649" i="7" s="1"/>
  <c r="B648" i="7"/>
  <c r="C648" i="7" s="1" a="1"/>
  <c r="C648" i="7" s="1"/>
  <c r="B647" i="7"/>
  <c r="C647" i="7" s="1" a="1"/>
  <c r="C647" i="7" s="1"/>
  <c r="B646" i="7"/>
  <c r="C646" i="7" s="1" a="1"/>
  <c r="C646" i="7" s="1"/>
  <c r="B645" i="7"/>
  <c r="C645" i="7" s="1" a="1"/>
  <c r="C645" i="7" s="1"/>
  <c r="B644" i="7"/>
  <c r="C644" i="7" s="1" a="1"/>
  <c r="C644" i="7" s="1"/>
  <c r="B643" i="7"/>
  <c r="C643" i="7" s="1" a="1"/>
  <c r="C643" i="7" s="1"/>
  <c r="B642" i="7"/>
  <c r="C642" i="7" s="1" a="1"/>
  <c r="C642" i="7" s="1"/>
  <c r="B641" i="7"/>
  <c r="C641" i="7" s="1" a="1"/>
  <c r="C641" i="7" s="1"/>
  <c r="B640" i="7"/>
  <c r="C640" i="7" s="1" a="1"/>
  <c r="C640" i="7" s="1"/>
  <c r="B639" i="7"/>
  <c r="C639" i="7" s="1" a="1"/>
  <c r="C639" i="7" s="1"/>
  <c r="B638" i="7"/>
  <c r="C638" i="7" s="1" a="1"/>
  <c r="C638" i="7" s="1"/>
  <c r="B637" i="7"/>
  <c r="C637" i="7" s="1" a="1"/>
  <c r="C637" i="7" s="1"/>
  <c r="B636" i="7"/>
  <c r="C636" i="7" s="1" a="1"/>
  <c r="C636" i="7" s="1"/>
  <c r="B635" i="7"/>
  <c r="C635" i="7" s="1" a="1"/>
  <c r="C635" i="7" s="1"/>
  <c r="B634" i="7"/>
  <c r="C634" i="7" s="1" a="1"/>
  <c r="C634" i="7" s="1"/>
  <c r="B633" i="7"/>
  <c r="C633" i="7" s="1" a="1"/>
  <c r="C633" i="7" s="1"/>
  <c r="B632" i="7"/>
  <c r="C632" i="7" s="1" a="1"/>
  <c r="C632" i="7" s="1"/>
  <c r="B631" i="7"/>
  <c r="C631" i="7" s="1" a="1"/>
  <c r="C631" i="7" s="1"/>
  <c r="B630" i="7"/>
  <c r="C630" i="7" s="1" a="1"/>
  <c r="C630" i="7" s="1"/>
  <c r="B629" i="7"/>
  <c r="C629" i="7" s="1" a="1"/>
  <c r="C629" i="7" s="1"/>
  <c r="B628" i="7"/>
  <c r="C628" i="7" s="1" a="1"/>
  <c r="C628" i="7" s="1"/>
  <c r="B627" i="7"/>
  <c r="C627" i="7" s="1" a="1"/>
  <c r="C627" i="7" s="1"/>
  <c r="B626" i="7"/>
  <c r="C626" i="7" s="1" a="1"/>
  <c r="C626" i="7" s="1"/>
  <c r="B625" i="7"/>
  <c r="C625" i="7" s="1" a="1"/>
  <c r="C625" i="7" s="1"/>
  <c r="B624" i="7"/>
  <c r="C624" i="7" s="1" a="1"/>
  <c r="C624" i="7" s="1"/>
  <c r="B623" i="7"/>
  <c r="C623" i="7" s="1" a="1"/>
  <c r="C623" i="7" s="1"/>
  <c r="B622" i="7"/>
  <c r="C622" i="7" s="1" a="1"/>
  <c r="C622" i="7" s="1"/>
  <c r="B621" i="7"/>
  <c r="C621" i="7" s="1" a="1"/>
  <c r="C621" i="7" s="1"/>
  <c r="B620" i="7"/>
  <c r="C620" i="7" s="1" a="1"/>
  <c r="C620" i="7" s="1"/>
  <c r="B619" i="7"/>
  <c r="C619" i="7" s="1" a="1"/>
  <c r="C619" i="7" s="1"/>
  <c r="B618" i="7"/>
  <c r="C618" i="7" s="1" a="1"/>
  <c r="C618" i="7" s="1"/>
  <c r="B617" i="7"/>
  <c r="C617" i="7" s="1" a="1"/>
  <c r="C617" i="7" s="1"/>
  <c r="B616" i="7"/>
  <c r="C616" i="7" s="1" a="1"/>
  <c r="C616" i="7" s="1"/>
  <c r="B615" i="7"/>
  <c r="C615" i="7" s="1" a="1"/>
  <c r="C615" i="7" s="1"/>
  <c r="B614" i="7"/>
  <c r="C614" i="7" s="1" a="1"/>
  <c r="C614" i="7" s="1"/>
  <c r="B613" i="7"/>
  <c r="C613" i="7" s="1" a="1"/>
  <c r="C613" i="7" s="1"/>
  <c r="B612" i="7"/>
  <c r="C612" i="7" s="1" a="1"/>
  <c r="C612" i="7" s="1"/>
  <c r="B611" i="7"/>
  <c r="C611" i="7" s="1" a="1"/>
  <c r="C611" i="7" s="1"/>
  <c r="B610" i="7"/>
  <c r="C610" i="7" s="1" a="1"/>
  <c r="C610" i="7" s="1"/>
  <c r="B609" i="7"/>
  <c r="C609" i="7" s="1" a="1"/>
  <c r="C609" i="7" s="1"/>
  <c r="B608" i="7"/>
  <c r="C608" i="7" s="1" a="1"/>
  <c r="C608" i="7" s="1"/>
  <c r="B607" i="7"/>
  <c r="C607" i="7" s="1" a="1"/>
  <c r="C607" i="7" s="1"/>
  <c r="B606" i="7"/>
  <c r="C606" i="7" s="1" a="1"/>
  <c r="C606" i="7" s="1"/>
  <c r="B605" i="7"/>
  <c r="C605" i="7" s="1" a="1"/>
  <c r="C605" i="7" s="1"/>
  <c r="B604" i="7"/>
  <c r="C604" i="7" s="1" a="1"/>
  <c r="C604" i="7" s="1"/>
  <c r="B603" i="7"/>
  <c r="C603" i="7" s="1" a="1"/>
  <c r="C603" i="7" s="1"/>
  <c r="B602" i="7"/>
  <c r="C602" i="7" s="1" a="1"/>
  <c r="C602" i="7" s="1"/>
  <c r="B601" i="7"/>
  <c r="C601" i="7" s="1" a="1"/>
  <c r="C601" i="7" s="1"/>
  <c r="B600" i="7"/>
  <c r="C600" i="7" s="1" a="1"/>
  <c r="C600" i="7" s="1"/>
  <c r="B599" i="7"/>
  <c r="C599" i="7" s="1" a="1"/>
  <c r="C599" i="7" s="1"/>
  <c r="B598" i="7"/>
  <c r="C598" i="7" s="1" a="1"/>
  <c r="C598" i="7" s="1"/>
  <c r="B597" i="7"/>
  <c r="C597" i="7" s="1" a="1"/>
  <c r="C597" i="7" s="1"/>
  <c r="B596" i="7"/>
  <c r="C596" i="7" s="1" a="1"/>
  <c r="C596" i="7" s="1"/>
  <c r="B595" i="7"/>
  <c r="C595" i="7" s="1" a="1"/>
  <c r="C595" i="7" s="1"/>
  <c r="B594" i="7"/>
  <c r="C594" i="7" s="1" a="1"/>
  <c r="C594" i="7" s="1"/>
  <c r="B593" i="7"/>
  <c r="C593" i="7" s="1" a="1"/>
  <c r="C593" i="7" s="1"/>
  <c r="B592" i="7"/>
  <c r="C592" i="7" s="1" a="1"/>
  <c r="C592" i="7" s="1"/>
  <c r="B591" i="7"/>
  <c r="C591" i="7" s="1" a="1"/>
  <c r="C591" i="7" s="1"/>
  <c r="B590" i="7"/>
  <c r="C590" i="7" s="1" a="1"/>
  <c r="C590" i="7" s="1"/>
  <c r="B589" i="7"/>
  <c r="C589" i="7" s="1" a="1"/>
  <c r="C589" i="7" s="1"/>
  <c r="B588" i="7"/>
  <c r="C588" i="7" s="1" a="1"/>
  <c r="C588" i="7" s="1"/>
  <c r="B587" i="7"/>
  <c r="C587" i="7" s="1" a="1"/>
  <c r="C587" i="7" s="1"/>
  <c r="B586" i="7"/>
  <c r="C586" i="7" s="1" a="1"/>
  <c r="C586" i="7" s="1"/>
  <c r="B585" i="7"/>
  <c r="C585" i="7" s="1" a="1"/>
  <c r="C585" i="7" s="1"/>
  <c r="B584" i="7"/>
  <c r="C584" i="7" s="1" a="1"/>
  <c r="C584" i="7" s="1"/>
  <c r="B583" i="7"/>
  <c r="C583" i="7" s="1" a="1"/>
  <c r="C583" i="7" s="1"/>
  <c r="B582" i="7"/>
  <c r="C582" i="7" s="1" a="1"/>
  <c r="C582" i="7" s="1"/>
  <c r="B581" i="7"/>
  <c r="C581" i="7" s="1" a="1"/>
  <c r="C581" i="7" s="1"/>
  <c r="B580" i="7"/>
  <c r="C580" i="7" s="1" a="1"/>
  <c r="C580" i="7" s="1"/>
  <c r="B579" i="7"/>
  <c r="C579" i="7" s="1" a="1"/>
  <c r="C579" i="7" s="1"/>
  <c r="B578" i="7"/>
  <c r="C578" i="7" s="1" a="1"/>
  <c r="C578" i="7" s="1"/>
  <c r="B577" i="7"/>
  <c r="C577" i="7" s="1" a="1"/>
  <c r="C577" i="7" s="1"/>
  <c r="B576" i="7"/>
  <c r="C576" i="7" s="1" a="1"/>
  <c r="C576" i="7" s="1"/>
  <c r="B575" i="7"/>
  <c r="C575" i="7" s="1" a="1"/>
  <c r="C575" i="7" s="1"/>
  <c r="B574" i="7"/>
  <c r="C574" i="7" s="1" a="1"/>
  <c r="C574" i="7" s="1"/>
  <c r="B573" i="7"/>
  <c r="C573" i="7" s="1" a="1"/>
  <c r="C573" i="7" s="1"/>
  <c r="B572" i="7"/>
  <c r="C572" i="7" s="1" a="1"/>
  <c r="C572" i="7" s="1"/>
  <c r="B571" i="7"/>
  <c r="C571" i="7" s="1" a="1"/>
  <c r="C571" i="7" s="1"/>
  <c r="B570" i="7"/>
  <c r="C570" i="7" s="1" a="1"/>
  <c r="C570" i="7" s="1"/>
  <c r="B569" i="7"/>
  <c r="C569" i="7" s="1" a="1"/>
  <c r="C569" i="7" s="1"/>
  <c r="B568" i="7"/>
  <c r="C568" i="7" s="1" a="1"/>
  <c r="C568" i="7" s="1"/>
  <c r="B567" i="7"/>
  <c r="C567" i="7" s="1" a="1"/>
  <c r="C567" i="7" s="1"/>
  <c r="B566" i="7"/>
  <c r="C566" i="7" s="1" a="1"/>
  <c r="C566" i="7" s="1"/>
  <c r="B565" i="7"/>
  <c r="C565" i="7" s="1" a="1"/>
  <c r="C565" i="7" s="1"/>
  <c r="B564" i="7"/>
  <c r="C564" i="7" s="1" a="1"/>
  <c r="C564" i="7" s="1"/>
  <c r="B563" i="7"/>
  <c r="C563" i="7" s="1" a="1"/>
  <c r="C563" i="7" s="1"/>
  <c r="B562" i="7"/>
  <c r="C562" i="7" s="1" a="1"/>
  <c r="C562" i="7" s="1"/>
  <c r="B561" i="7"/>
  <c r="C561" i="7" s="1" a="1"/>
  <c r="C561" i="7" s="1"/>
  <c r="B560" i="7"/>
  <c r="C560" i="7" s="1" a="1"/>
  <c r="C560" i="7" s="1"/>
  <c r="B559" i="7"/>
  <c r="C559" i="7" s="1" a="1"/>
  <c r="C559" i="7" s="1"/>
  <c r="B558" i="7"/>
  <c r="C558" i="7" s="1" a="1"/>
  <c r="C558" i="7" s="1"/>
  <c r="B557" i="7"/>
  <c r="C557" i="7" s="1" a="1"/>
  <c r="C557" i="7" s="1"/>
  <c r="B556" i="7"/>
  <c r="C556" i="7" s="1" a="1"/>
  <c r="C556" i="7" s="1"/>
  <c r="B555" i="7"/>
  <c r="C555" i="7" s="1" a="1"/>
  <c r="C555" i="7" s="1"/>
  <c r="B554" i="7"/>
  <c r="C554" i="7" s="1" a="1"/>
  <c r="C554" i="7" s="1"/>
  <c r="B553" i="7"/>
  <c r="C553" i="7" s="1" a="1"/>
  <c r="C553" i="7" s="1"/>
  <c r="B552" i="7"/>
  <c r="C552" i="7" s="1" a="1"/>
  <c r="C552" i="7" s="1"/>
  <c r="B551" i="7"/>
  <c r="C551" i="7" s="1" a="1"/>
  <c r="C551" i="7" s="1"/>
  <c r="B550" i="7"/>
  <c r="C550" i="7" s="1" a="1"/>
  <c r="C550" i="7" s="1"/>
  <c r="B549" i="7"/>
  <c r="C549" i="7" s="1" a="1"/>
  <c r="C549" i="7" s="1"/>
  <c r="B548" i="7"/>
  <c r="C548" i="7" s="1" a="1"/>
  <c r="C548" i="7" s="1"/>
  <c r="B547" i="7"/>
  <c r="C547" i="7" s="1" a="1"/>
  <c r="C547" i="7" s="1"/>
  <c r="B546" i="7"/>
  <c r="C546" i="7" s="1" a="1"/>
  <c r="C546" i="7" s="1"/>
  <c r="B545" i="7"/>
  <c r="C545" i="7" s="1" a="1"/>
  <c r="C545" i="7" s="1"/>
  <c r="B544" i="7"/>
  <c r="C544" i="7" s="1" a="1"/>
  <c r="C544" i="7" s="1"/>
  <c r="B543" i="7"/>
  <c r="C543" i="7" s="1" a="1"/>
  <c r="C543" i="7" s="1"/>
  <c r="B542" i="7"/>
  <c r="C542" i="7" s="1" a="1"/>
  <c r="C542" i="7" s="1"/>
  <c r="B541" i="7"/>
  <c r="C541" i="7" s="1" a="1"/>
  <c r="C541" i="7" s="1"/>
  <c r="B540" i="7"/>
  <c r="C540" i="7" s="1" a="1"/>
  <c r="C540" i="7" s="1"/>
  <c r="B539" i="7"/>
  <c r="C539" i="7" s="1" a="1"/>
  <c r="C539" i="7" s="1"/>
  <c r="B538" i="7"/>
  <c r="C538" i="7" s="1" a="1"/>
  <c r="C538" i="7" s="1"/>
  <c r="B537" i="7"/>
  <c r="C537" i="7" s="1" a="1"/>
  <c r="C537" i="7" s="1"/>
  <c r="B536" i="7"/>
  <c r="C536" i="7" s="1" a="1"/>
  <c r="C536" i="7" s="1"/>
  <c r="B535" i="7"/>
  <c r="C535" i="7" s="1" a="1"/>
  <c r="C535" i="7" s="1"/>
  <c r="B534" i="7"/>
  <c r="C534" i="7" s="1" a="1"/>
  <c r="C534" i="7" s="1"/>
  <c r="B533" i="7"/>
  <c r="C533" i="7" s="1" a="1"/>
  <c r="C533" i="7" s="1"/>
  <c r="B532" i="7"/>
  <c r="C532" i="7" s="1" a="1"/>
  <c r="C532" i="7" s="1"/>
  <c r="B531" i="7"/>
  <c r="C531" i="7" s="1" a="1"/>
  <c r="C531" i="7" s="1"/>
  <c r="B530" i="7"/>
  <c r="C530" i="7" s="1" a="1"/>
  <c r="C530" i="7" s="1"/>
  <c r="B529" i="7"/>
  <c r="C529" i="7" s="1" a="1"/>
  <c r="C529" i="7" s="1"/>
  <c r="B528" i="7"/>
  <c r="C528" i="7" s="1" a="1"/>
  <c r="C528" i="7" s="1"/>
  <c r="B527" i="7"/>
  <c r="C527" i="7" s="1" a="1"/>
  <c r="C527" i="7" s="1"/>
  <c r="B526" i="7"/>
  <c r="C526" i="7" s="1" a="1"/>
  <c r="C526" i="7" s="1"/>
  <c r="B525" i="7"/>
  <c r="C525" i="7" s="1" a="1"/>
  <c r="C525" i="7" s="1"/>
  <c r="B524" i="7"/>
  <c r="C524" i="7" s="1" a="1"/>
  <c r="C524" i="7" s="1"/>
  <c r="B523" i="7"/>
  <c r="C523" i="7" s="1" a="1"/>
  <c r="C523" i="7" s="1"/>
  <c r="B522" i="7"/>
  <c r="C522" i="7" s="1" a="1"/>
  <c r="C522" i="7" s="1"/>
  <c r="B521" i="7"/>
  <c r="C521" i="7" s="1" a="1"/>
  <c r="C521" i="7" s="1"/>
  <c r="B520" i="7"/>
  <c r="C520" i="7" s="1" a="1"/>
  <c r="C520" i="7" s="1"/>
  <c r="B519" i="7"/>
  <c r="C519" i="7" s="1" a="1"/>
  <c r="C519" i="7" s="1"/>
  <c r="B518" i="7"/>
  <c r="C518" i="7" s="1" a="1"/>
  <c r="C518" i="7" s="1"/>
  <c r="B517" i="7"/>
  <c r="C517" i="7" s="1" a="1"/>
  <c r="C517" i="7" s="1"/>
  <c r="B516" i="7"/>
  <c r="C516" i="7" s="1" a="1"/>
  <c r="C516" i="7" s="1"/>
  <c r="B515" i="7"/>
  <c r="C515" i="7" s="1" a="1"/>
  <c r="C515" i="7" s="1"/>
  <c r="B514" i="7"/>
  <c r="C514" i="7" s="1" a="1"/>
  <c r="C514" i="7" s="1"/>
  <c r="B513" i="7"/>
  <c r="C513" i="7" s="1" a="1"/>
  <c r="C513" i="7" s="1"/>
  <c r="B512" i="7"/>
  <c r="C512" i="7" s="1" a="1"/>
  <c r="C512" i="7" s="1"/>
  <c r="B511" i="7"/>
  <c r="C511" i="7" s="1" a="1"/>
  <c r="C511" i="7" s="1"/>
  <c r="B510" i="7"/>
  <c r="C510" i="7" s="1" a="1"/>
  <c r="C510" i="7" s="1"/>
  <c r="B509" i="7"/>
  <c r="C509" i="7" s="1" a="1"/>
  <c r="C509" i="7" s="1"/>
  <c r="B508" i="7"/>
  <c r="C508" i="7" s="1" a="1"/>
  <c r="C508" i="7" s="1"/>
  <c r="B507" i="7"/>
  <c r="C507" i="7" s="1" a="1"/>
  <c r="C507" i="7" s="1"/>
  <c r="B506" i="7"/>
  <c r="C506" i="7" s="1" a="1"/>
  <c r="C506" i="7" s="1"/>
  <c r="B505" i="7"/>
  <c r="C505" i="7" s="1" a="1"/>
  <c r="C505" i="7" s="1"/>
  <c r="B504" i="7"/>
  <c r="C504" i="7" s="1" a="1"/>
  <c r="C504" i="7" s="1"/>
  <c r="B503" i="7"/>
  <c r="C503" i="7" s="1" a="1"/>
  <c r="C503" i="7" s="1"/>
  <c r="B502" i="7"/>
  <c r="C502" i="7" s="1" a="1"/>
  <c r="C502" i="7" s="1"/>
  <c r="B501" i="7"/>
  <c r="C501" i="7" s="1" a="1"/>
  <c r="C501" i="7" s="1"/>
  <c r="B500" i="7"/>
  <c r="C500" i="7" s="1" a="1"/>
  <c r="C500" i="7" s="1"/>
  <c r="B499" i="7"/>
  <c r="C499" i="7" s="1" a="1"/>
  <c r="C499" i="7" s="1"/>
  <c r="B498" i="7"/>
  <c r="C498" i="7" s="1" a="1"/>
  <c r="C498" i="7" s="1"/>
  <c r="B497" i="7"/>
  <c r="C497" i="7" s="1" a="1"/>
  <c r="C497" i="7" s="1"/>
  <c r="B496" i="7"/>
  <c r="C496" i="7" s="1" a="1"/>
  <c r="C496" i="7" s="1"/>
  <c r="B495" i="7"/>
  <c r="C495" i="7" s="1" a="1"/>
  <c r="C495" i="7" s="1"/>
  <c r="B494" i="7"/>
  <c r="C494" i="7" s="1" a="1"/>
  <c r="C494" i="7" s="1"/>
  <c r="B493" i="7"/>
  <c r="C493" i="7" s="1" a="1"/>
  <c r="C493" i="7" s="1"/>
  <c r="B492" i="7"/>
  <c r="C492" i="7" s="1" a="1"/>
  <c r="C492" i="7" s="1"/>
  <c r="B491" i="7"/>
  <c r="C491" i="7" s="1" a="1"/>
  <c r="C491" i="7" s="1"/>
  <c r="B490" i="7"/>
  <c r="C490" i="7" s="1" a="1"/>
  <c r="C490" i="7" s="1"/>
  <c r="B489" i="7"/>
  <c r="C489" i="7" s="1" a="1"/>
  <c r="C489" i="7" s="1"/>
  <c r="B488" i="7"/>
  <c r="C488" i="7" s="1" a="1"/>
  <c r="C488" i="7" s="1"/>
  <c r="B487" i="7"/>
  <c r="C487" i="7" s="1" a="1"/>
  <c r="C487" i="7" s="1"/>
  <c r="B486" i="7"/>
  <c r="C486" i="7" s="1" a="1"/>
  <c r="C486" i="7" s="1"/>
  <c r="B485" i="7"/>
  <c r="C485" i="7" s="1" a="1"/>
  <c r="C485" i="7" s="1"/>
  <c r="B484" i="7"/>
  <c r="C484" i="7" s="1" a="1"/>
  <c r="C484" i="7" s="1"/>
  <c r="B483" i="7"/>
  <c r="C483" i="7" s="1" a="1"/>
  <c r="C483" i="7" s="1"/>
  <c r="B482" i="7"/>
  <c r="C482" i="7" s="1" a="1"/>
  <c r="C482" i="7" s="1"/>
  <c r="B481" i="7"/>
  <c r="C481" i="7" s="1" a="1"/>
  <c r="C481" i="7" s="1"/>
  <c r="B480" i="7"/>
  <c r="C480" i="7" s="1" a="1"/>
  <c r="C480" i="7" s="1"/>
  <c r="B479" i="7"/>
  <c r="C479" i="7" s="1" a="1"/>
  <c r="C479" i="7" s="1"/>
  <c r="B478" i="7"/>
  <c r="C478" i="7" s="1" a="1"/>
  <c r="C478" i="7" s="1"/>
  <c r="B477" i="7"/>
  <c r="C477" i="7" s="1" a="1"/>
  <c r="C477" i="7" s="1"/>
  <c r="B476" i="7"/>
  <c r="C476" i="7" s="1" a="1"/>
  <c r="C476" i="7" s="1"/>
  <c r="B475" i="7"/>
  <c r="C475" i="7" s="1" a="1"/>
  <c r="C475" i="7" s="1"/>
  <c r="B474" i="7"/>
  <c r="C474" i="7" s="1" a="1"/>
  <c r="C474" i="7" s="1"/>
  <c r="B473" i="7"/>
  <c r="C473" i="7" s="1" a="1"/>
  <c r="C473" i="7" s="1"/>
  <c r="B472" i="7"/>
  <c r="C472" i="7" s="1" a="1"/>
  <c r="C472" i="7" s="1"/>
  <c r="B471" i="7"/>
  <c r="C471" i="7" s="1" a="1"/>
  <c r="C471" i="7" s="1"/>
  <c r="B470" i="7"/>
  <c r="C470" i="7" s="1" a="1"/>
  <c r="C470" i="7" s="1"/>
  <c r="B469" i="7"/>
  <c r="C469" i="7" s="1" a="1"/>
  <c r="C469" i="7" s="1"/>
  <c r="B468" i="7"/>
  <c r="C468" i="7" s="1" a="1"/>
  <c r="C468" i="7" s="1"/>
  <c r="B467" i="7"/>
  <c r="C467" i="7" s="1" a="1"/>
  <c r="C467" i="7" s="1"/>
  <c r="B466" i="7"/>
  <c r="C466" i="7" s="1" a="1"/>
  <c r="C466" i="7" s="1"/>
  <c r="B465" i="7"/>
  <c r="C465" i="7" s="1" a="1"/>
  <c r="C465" i="7" s="1"/>
  <c r="B464" i="7"/>
  <c r="C464" i="7" s="1" a="1"/>
  <c r="C464" i="7" s="1"/>
  <c r="B463" i="7"/>
  <c r="C463" i="7" s="1" a="1"/>
  <c r="C463" i="7" s="1"/>
  <c r="B462" i="7"/>
  <c r="C462" i="7" s="1" a="1"/>
  <c r="C462" i="7" s="1"/>
  <c r="B461" i="7"/>
  <c r="C461" i="7" s="1" a="1"/>
  <c r="C461" i="7" s="1"/>
  <c r="B460" i="7"/>
  <c r="C460" i="7" s="1" a="1"/>
  <c r="C460" i="7" s="1"/>
  <c r="B459" i="7"/>
  <c r="C459" i="7" s="1" a="1"/>
  <c r="C459" i="7" s="1"/>
  <c r="B458" i="7"/>
  <c r="C458" i="7" s="1" a="1"/>
  <c r="C458" i="7" s="1"/>
  <c r="B457" i="7"/>
  <c r="C457" i="7" s="1" a="1"/>
  <c r="C457" i="7" s="1"/>
  <c r="B456" i="7"/>
  <c r="C456" i="7" s="1" a="1"/>
  <c r="C456" i="7" s="1"/>
  <c r="B455" i="7"/>
  <c r="C455" i="7" s="1" a="1"/>
  <c r="C455" i="7" s="1"/>
  <c r="B454" i="7"/>
  <c r="C454" i="7" s="1" a="1"/>
  <c r="C454" i="7" s="1"/>
  <c r="B453" i="7"/>
  <c r="C453" i="7" s="1" a="1"/>
  <c r="C453" i="7" s="1"/>
  <c r="B452" i="7"/>
  <c r="C452" i="7" s="1" a="1"/>
  <c r="C452" i="7" s="1"/>
  <c r="B451" i="7"/>
  <c r="C451" i="7" s="1" a="1"/>
  <c r="C451" i="7" s="1"/>
  <c r="B450" i="7"/>
  <c r="C450" i="7" s="1" a="1"/>
  <c r="C450" i="7" s="1"/>
  <c r="B449" i="7"/>
  <c r="C449" i="7" s="1" a="1"/>
  <c r="C449" i="7" s="1"/>
  <c r="B448" i="7"/>
  <c r="C448" i="7" s="1" a="1"/>
  <c r="C448" i="7" s="1"/>
  <c r="B447" i="7"/>
  <c r="C447" i="7" s="1" a="1"/>
  <c r="C447" i="7" s="1"/>
  <c r="B446" i="7"/>
  <c r="C446" i="7" s="1" a="1"/>
  <c r="C446" i="7" s="1"/>
  <c r="B445" i="7"/>
  <c r="C445" i="7" s="1" a="1"/>
  <c r="C445" i="7" s="1"/>
  <c r="B444" i="7"/>
  <c r="C444" i="7" s="1" a="1"/>
  <c r="C444" i="7" s="1"/>
  <c r="B443" i="7"/>
  <c r="C443" i="7" s="1" a="1"/>
  <c r="C443" i="7" s="1"/>
  <c r="B442" i="7"/>
  <c r="C442" i="7" s="1" a="1"/>
  <c r="C442" i="7" s="1"/>
  <c r="B441" i="7"/>
  <c r="C441" i="7" s="1" a="1"/>
  <c r="C441" i="7" s="1"/>
  <c r="B440" i="7"/>
  <c r="C440" i="7" s="1" a="1"/>
  <c r="C440" i="7" s="1"/>
  <c r="B439" i="7"/>
  <c r="C439" i="7" s="1" a="1"/>
  <c r="C439" i="7" s="1"/>
  <c r="B438" i="7"/>
  <c r="C438" i="7" s="1" a="1"/>
  <c r="C438" i="7" s="1"/>
  <c r="B437" i="7"/>
  <c r="C437" i="7" s="1" a="1"/>
  <c r="C437" i="7" s="1"/>
  <c r="B436" i="7"/>
  <c r="C436" i="7" s="1" a="1"/>
  <c r="C436" i="7" s="1"/>
  <c r="B435" i="7"/>
  <c r="C435" i="7" s="1" a="1"/>
  <c r="C435" i="7" s="1"/>
  <c r="B434" i="7"/>
  <c r="C434" i="7" s="1" a="1"/>
  <c r="C434" i="7" s="1"/>
  <c r="B433" i="7"/>
  <c r="C433" i="7" s="1" a="1"/>
  <c r="C433" i="7" s="1"/>
  <c r="B432" i="7"/>
  <c r="C432" i="7" s="1" a="1"/>
  <c r="C432" i="7" s="1"/>
  <c r="B431" i="7"/>
  <c r="C431" i="7" s="1" a="1"/>
  <c r="C431" i="7" s="1"/>
  <c r="B430" i="7"/>
  <c r="C430" i="7" s="1" a="1"/>
  <c r="C430" i="7" s="1"/>
  <c r="B429" i="7"/>
  <c r="C429" i="7" s="1" a="1"/>
  <c r="C429" i="7" s="1"/>
  <c r="B428" i="7"/>
  <c r="C428" i="7" s="1" a="1"/>
  <c r="C428" i="7" s="1"/>
  <c r="B427" i="7"/>
  <c r="C427" i="7" s="1" a="1"/>
  <c r="C427" i="7" s="1"/>
  <c r="B426" i="7"/>
  <c r="C426" i="7" s="1" a="1"/>
  <c r="C426" i="7" s="1"/>
  <c r="B425" i="7"/>
  <c r="C425" i="7" s="1" a="1"/>
  <c r="C425" i="7" s="1"/>
  <c r="B424" i="7"/>
  <c r="C424" i="7" s="1" a="1"/>
  <c r="C424" i="7" s="1"/>
  <c r="B423" i="7"/>
  <c r="C423" i="7" s="1" a="1"/>
  <c r="C423" i="7" s="1"/>
  <c r="B422" i="7"/>
  <c r="C422" i="7" s="1" a="1"/>
  <c r="C422" i="7" s="1"/>
  <c r="B421" i="7"/>
  <c r="C421" i="7" s="1" a="1"/>
  <c r="C421" i="7" s="1"/>
  <c r="B420" i="7"/>
  <c r="C420" i="7" s="1" a="1"/>
  <c r="C420" i="7" s="1"/>
  <c r="B419" i="7"/>
  <c r="C419" i="7" s="1" a="1"/>
  <c r="C419" i="7" s="1"/>
  <c r="B418" i="7"/>
  <c r="C418" i="7" s="1" a="1"/>
  <c r="C418" i="7" s="1"/>
  <c r="B417" i="7"/>
  <c r="C417" i="7" s="1" a="1"/>
  <c r="C417" i="7" s="1"/>
  <c r="B416" i="7"/>
  <c r="C416" i="7" s="1" a="1"/>
  <c r="C416" i="7" s="1"/>
  <c r="B415" i="7"/>
  <c r="C415" i="7" s="1" a="1"/>
  <c r="C415" i="7" s="1"/>
  <c r="B414" i="7"/>
  <c r="C414" i="7" s="1" a="1"/>
  <c r="C414" i="7" s="1"/>
  <c r="B413" i="7"/>
  <c r="C413" i="7" s="1" a="1"/>
  <c r="C413" i="7" s="1"/>
  <c r="B412" i="7"/>
  <c r="C412" i="7" s="1" a="1"/>
  <c r="C412" i="7" s="1"/>
  <c r="B411" i="7"/>
  <c r="C411" i="7" s="1" a="1"/>
  <c r="C411" i="7" s="1"/>
  <c r="B410" i="7"/>
  <c r="C410" i="7" s="1" a="1"/>
  <c r="C410" i="7" s="1"/>
  <c r="B409" i="7"/>
  <c r="C409" i="7" s="1" a="1"/>
  <c r="C409" i="7" s="1"/>
  <c r="B408" i="7"/>
  <c r="C408" i="7" s="1" a="1"/>
  <c r="C408" i="7" s="1"/>
  <c r="B407" i="7"/>
  <c r="C407" i="7" s="1" a="1"/>
  <c r="C407" i="7" s="1"/>
  <c r="B406" i="7"/>
  <c r="C406" i="7" s="1" a="1"/>
  <c r="C406" i="7" s="1"/>
  <c r="B405" i="7"/>
  <c r="C405" i="7" s="1" a="1"/>
  <c r="C405" i="7" s="1"/>
  <c r="B404" i="7"/>
  <c r="C404" i="7" s="1" a="1"/>
  <c r="C404" i="7" s="1"/>
  <c r="B403" i="7"/>
  <c r="C403" i="7" s="1" a="1"/>
  <c r="C403" i="7" s="1"/>
  <c r="B402" i="7"/>
  <c r="C402" i="7" s="1" a="1"/>
  <c r="C402" i="7" s="1"/>
  <c r="B401" i="7"/>
  <c r="C401" i="7" s="1" a="1"/>
  <c r="C401" i="7" s="1"/>
  <c r="B400" i="7"/>
  <c r="C400" i="7" s="1" a="1"/>
  <c r="C400" i="7" s="1"/>
  <c r="B399" i="7"/>
  <c r="C399" i="7" s="1" a="1"/>
  <c r="C399" i="7" s="1"/>
  <c r="B398" i="7"/>
  <c r="C398" i="7" s="1" a="1"/>
  <c r="C398" i="7" s="1"/>
  <c r="B397" i="7"/>
  <c r="C397" i="7" s="1" a="1"/>
  <c r="C397" i="7" s="1"/>
  <c r="B396" i="7"/>
  <c r="C396" i="7" s="1" a="1"/>
  <c r="C396" i="7" s="1"/>
  <c r="B395" i="7"/>
  <c r="C395" i="7" s="1" a="1"/>
  <c r="C395" i="7" s="1"/>
  <c r="B394" i="7"/>
  <c r="C394" i="7" s="1" a="1"/>
  <c r="C394" i="7" s="1"/>
  <c r="B393" i="7"/>
  <c r="C393" i="7" s="1" a="1"/>
  <c r="C393" i="7" s="1"/>
  <c r="B392" i="7"/>
  <c r="C392" i="7" s="1" a="1"/>
  <c r="C392" i="7" s="1"/>
  <c r="B391" i="7"/>
  <c r="C391" i="7" s="1" a="1"/>
  <c r="C391" i="7" s="1"/>
  <c r="B390" i="7"/>
  <c r="C390" i="7" s="1" a="1"/>
  <c r="C390" i="7" s="1"/>
  <c r="B389" i="7"/>
  <c r="C389" i="7" s="1" a="1"/>
  <c r="C389" i="7" s="1"/>
  <c r="B388" i="7"/>
  <c r="C388" i="7" s="1" a="1"/>
  <c r="C388" i="7" s="1"/>
  <c r="B387" i="7"/>
  <c r="C387" i="7" s="1" a="1"/>
  <c r="C387" i="7" s="1"/>
  <c r="B386" i="7"/>
  <c r="C386" i="7" s="1" a="1"/>
  <c r="C386" i="7" s="1"/>
  <c r="B385" i="7"/>
  <c r="C385" i="7" s="1" a="1"/>
  <c r="C385" i="7" s="1"/>
  <c r="B384" i="7"/>
  <c r="C384" i="7" s="1" a="1"/>
  <c r="C384" i="7" s="1"/>
  <c r="B383" i="7"/>
  <c r="C383" i="7" s="1" a="1"/>
  <c r="C383" i="7" s="1"/>
  <c r="B382" i="7"/>
  <c r="C382" i="7" s="1" a="1"/>
  <c r="C382" i="7" s="1"/>
  <c r="B381" i="7"/>
  <c r="C381" i="7" s="1" a="1"/>
  <c r="C381" i="7" s="1"/>
  <c r="B380" i="7"/>
  <c r="C380" i="7" s="1" a="1"/>
  <c r="C380" i="7" s="1"/>
  <c r="B379" i="7"/>
  <c r="C379" i="7" s="1" a="1"/>
  <c r="C379" i="7" s="1"/>
  <c r="B378" i="7"/>
  <c r="C378" i="7" s="1" a="1"/>
  <c r="C378" i="7" s="1"/>
  <c r="B377" i="7"/>
  <c r="C377" i="7" s="1" a="1"/>
  <c r="C377" i="7" s="1"/>
  <c r="B376" i="7"/>
  <c r="C376" i="7" s="1" a="1"/>
  <c r="C376" i="7" s="1"/>
  <c r="B375" i="7"/>
  <c r="C375" i="7" s="1" a="1"/>
  <c r="C375" i="7" s="1"/>
  <c r="B374" i="7"/>
  <c r="C374" i="7" s="1" a="1"/>
  <c r="C374" i="7" s="1"/>
  <c r="B373" i="7"/>
  <c r="C373" i="7" s="1" a="1"/>
  <c r="C373" i="7" s="1"/>
  <c r="B372" i="7"/>
  <c r="C372" i="7" s="1" a="1"/>
  <c r="C372" i="7" s="1"/>
  <c r="B371" i="7"/>
  <c r="C371" i="7" s="1" a="1"/>
  <c r="C371" i="7" s="1"/>
  <c r="B370" i="7"/>
  <c r="C370" i="7" s="1" a="1"/>
  <c r="C370" i="7" s="1"/>
  <c r="B369" i="7"/>
  <c r="C369" i="7" s="1" a="1"/>
  <c r="C369" i="7" s="1"/>
  <c r="B368" i="7"/>
  <c r="C368" i="7" s="1" a="1"/>
  <c r="C368" i="7" s="1"/>
  <c r="B367" i="7"/>
  <c r="C367" i="7" s="1" a="1"/>
  <c r="C367" i="7" s="1"/>
  <c r="B366" i="7"/>
  <c r="C366" i="7" s="1" a="1"/>
  <c r="C366" i="7" s="1"/>
  <c r="B365" i="7"/>
  <c r="C365" i="7" s="1" a="1"/>
  <c r="C365" i="7" s="1"/>
  <c r="B364" i="7"/>
  <c r="C364" i="7" s="1" a="1"/>
  <c r="C364" i="7" s="1"/>
  <c r="B363" i="7"/>
  <c r="C363" i="7" s="1" a="1"/>
  <c r="C363" i="7" s="1"/>
  <c r="B362" i="7"/>
  <c r="C362" i="7" s="1" a="1"/>
  <c r="C362" i="7" s="1"/>
  <c r="B361" i="7"/>
  <c r="C361" i="7" s="1" a="1"/>
  <c r="C361" i="7" s="1"/>
  <c r="B360" i="7"/>
  <c r="C360" i="7" s="1" a="1"/>
  <c r="C360" i="7" s="1"/>
  <c r="B359" i="7"/>
  <c r="C359" i="7" s="1" a="1"/>
  <c r="C359" i="7" s="1"/>
  <c r="B358" i="7"/>
  <c r="C358" i="7" s="1" a="1"/>
  <c r="C358" i="7" s="1"/>
  <c r="B357" i="7"/>
  <c r="C357" i="7" s="1" a="1"/>
  <c r="C357" i="7" s="1"/>
  <c r="B356" i="7"/>
  <c r="C356" i="7" s="1" a="1"/>
  <c r="C356" i="7" s="1"/>
  <c r="B355" i="7"/>
  <c r="C355" i="7" s="1" a="1"/>
  <c r="C355" i="7" s="1"/>
  <c r="B354" i="7"/>
  <c r="C354" i="7" s="1" a="1"/>
  <c r="C354" i="7" s="1"/>
  <c r="B353" i="7"/>
  <c r="C353" i="7" s="1" a="1"/>
  <c r="C353" i="7" s="1"/>
  <c r="B352" i="7"/>
  <c r="C352" i="7" s="1" a="1"/>
  <c r="C352" i="7" s="1"/>
  <c r="B351" i="7"/>
  <c r="C351" i="7" s="1" a="1"/>
  <c r="C351" i="7" s="1"/>
  <c r="B350" i="7"/>
  <c r="C350" i="7" s="1" a="1"/>
  <c r="C350" i="7" s="1"/>
  <c r="B349" i="7"/>
  <c r="C349" i="7" s="1" a="1"/>
  <c r="C349" i="7" s="1"/>
  <c r="B348" i="7"/>
  <c r="C348" i="7" s="1" a="1"/>
  <c r="C348" i="7" s="1"/>
  <c r="B347" i="7"/>
  <c r="C347" i="7" s="1" a="1"/>
  <c r="C347" i="7" s="1"/>
  <c r="B346" i="7"/>
  <c r="C346" i="7" s="1" a="1"/>
  <c r="C346" i="7" s="1"/>
  <c r="B345" i="7"/>
  <c r="C345" i="7" s="1" a="1"/>
  <c r="C345" i="7" s="1"/>
  <c r="B344" i="7"/>
  <c r="C344" i="7" s="1" a="1"/>
  <c r="C344" i="7" s="1"/>
  <c r="B343" i="7"/>
  <c r="C343" i="7" s="1" a="1"/>
  <c r="C343" i="7" s="1"/>
  <c r="B342" i="7"/>
  <c r="C342" i="7" s="1" a="1"/>
  <c r="C342" i="7" s="1"/>
  <c r="B341" i="7"/>
  <c r="C341" i="7" s="1" a="1"/>
  <c r="C341" i="7" s="1"/>
  <c r="B340" i="7"/>
  <c r="C340" i="7" s="1" a="1"/>
  <c r="C340" i="7" s="1"/>
  <c r="B339" i="7"/>
  <c r="C339" i="7" s="1" a="1"/>
  <c r="C339" i="7" s="1"/>
  <c r="B338" i="7"/>
  <c r="C338" i="7" s="1" a="1"/>
  <c r="C338" i="7" s="1"/>
  <c r="B337" i="7"/>
  <c r="C337" i="7" s="1" a="1"/>
  <c r="C337" i="7" s="1"/>
  <c r="B336" i="7"/>
  <c r="C336" i="7" s="1" a="1"/>
  <c r="C336" i="7" s="1"/>
  <c r="B335" i="7"/>
  <c r="C335" i="7" s="1" a="1"/>
  <c r="C335" i="7" s="1"/>
  <c r="B334" i="7"/>
  <c r="C334" i="7" s="1" a="1"/>
  <c r="C334" i="7" s="1"/>
  <c r="B333" i="7"/>
  <c r="C333" i="7" s="1" a="1"/>
  <c r="C333" i="7" s="1"/>
  <c r="B332" i="7"/>
  <c r="C332" i="7" s="1" a="1"/>
  <c r="C332" i="7" s="1"/>
  <c r="B331" i="7"/>
  <c r="C331" i="7" s="1" a="1"/>
  <c r="C331" i="7" s="1"/>
  <c r="B330" i="7"/>
  <c r="C330" i="7" s="1" a="1"/>
  <c r="C330" i="7" s="1"/>
  <c r="B329" i="7"/>
  <c r="C329" i="7" s="1" a="1"/>
  <c r="C329" i="7" s="1"/>
  <c r="B328" i="7"/>
  <c r="C328" i="7" s="1" a="1"/>
  <c r="C328" i="7" s="1"/>
  <c r="B327" i="7"/>
  <c r="C327" i="7" s="1" a="1"/>
  <c r="C327" i="7" s="1"/>
  <c r="B326" i="7"/>
  <c r="C326" i="7" s="1" a="1"/>
  <c r="C326" i="7" s="1"/>
  <c r="B325" i="7"/>
  <c r="C325" i="7" s="1" a="1"/>
  <c r="C325" i="7" s="1"/>
  <c r="B324" i="7"/>
  <c r="C324" i="7" s="1" a="1"/>
  <c r="C324" i="7" s="1"/>
  <c r="B323" i="7"/>
  <c r="C323" i="7" s="1" a="1"/>
  <c r="C323" i="7" s="1"/>
  <c r="B322" i="7"/>
  <c r="C322" i="7" s="1" a="1"/>
  <c r="C322" i="7" s="1"/>
  <c r="B321" i="7"/>
  <c r="C321" i="7" s="1" a="1"/>
  <c r="C321" i="7" s="1"/>
  <c r="B320" i="7"/>
  <c r="C320" i="7" s="1" a="1"/>
  <c r="C320" i="7" s="1"/>
  <c r="B319" i="7"/>
  <c r="C319" i="7" s="1" a="1"/>
  <c r="C319" i="7" s="1"/>
  <c r="B318" i="7"/>
  <c r="C318" i="7" s="1" a="1"/>
  <c r="C318" i="7" s="1"/>
  <c r="B317" i="7"/>
  <c r="C317" i="7" s="1" a="1"/>
  <c r="C317" i="7" s="1"/>
  <c r="B316" i="7"/>
  <c r="C316" i="7" s="1" a="1"/>
  <c r="C316" i="7" s="1"/>
  <c r="B315" i="7"/>
  <c r="C315" i="7" s="1" a="1"/>
  <c r="C315" i="7" s="1"/>
  <c r="B314" i="7"/>
  <c r="C314" i="7" s="1" a="1"/>
  <c r="C314" i="7" s="1"/>
  <c r="B313" i="7"/>
  <c r="C313" i="7" s="1" a="1"/>
  <c r="C313" i="7" s="1"/>
  <c r="B312" i="7"/>
  <c r="C312" i="7" s="1" a="1"/>
  <c r="C312" i="7" s="1"/>
  <c r="B311" i="7"/>
  <c r="C311" i="7" s="1" a="1"/>
  <c r="C311" i="7" s="1"/>
  <c r="B310" i="7"/>
  <c r="C310" i="7" s="1" a="1"/>
  <c r="C310" i="7" s="1"/>
  <c r="B309" i="7"/>
  <c r="C309" i="7" s="1" a="1"/>
  <c r="C309" i="7" s="1"/>
  <c r="B308" i="7"/>
  <c r="C308" i="7" s="1" a="1"/>
  <c r="C308" i="7" s="1"/>
  <c r="B307" i="7"/>
  <c r="C307" i="7" s="1" a="1"/>
  <c r="C307" i="7" s="1"/>
  <c r="B306" i="7"/>
  <c r="C306" i="7" s="1" a="1"/>
  <c r="C306" i="7" s="1"/>
  <c r="B305" i="7"/>
  <c r="C305" i="7" s="1" a="1"/>
  <c r="C305" i="7" s="1"/>
  <c r="B304" i="7"/>
  <c r="C304" i="7" s="1" a="1"/>
  <c r="C304" i="7" s="1"/>
  <c r="B303" i="7"/>
  <c r="C303" i="7" s="1" a="1"/>
  <c r="C303" i="7" s="1"/>
  <c r="B302" i="7"/>
  <c r="C302" i="7" s="1" a="1"/>
  <c r="C302" i="7" s="1"/>
  <c r="B301" i="7"/>
  <c r="C301" i="7" s="1" a="1"/>
  <c r="C301" i="7" s="1"/>
  <c r="B300" i="7"/>
  <c r="C300" i="7" s="1" a="1"/>
  <c r="C300" i="7" s="1"/>
  <c r="B299" i="7"/>
  <c r="C299" i="7" s="1" a="1"/>
  <c r="C299" i="7" s="1"/>
  <c r="B298" i="7"/>
  <c r="C298" i="7" s="1" a="1"/>
  <c r="C298" i="7" s="1"/>
  <c r="B297" i="7"/>
  <c r="C297" i="7" s="1" a="1"/>
  <c r="C297" i="7" s="1"/>
  <c r="B296" i="7"/>
  <c r="C296" i="7" s="1" a="1"/>
  <c r="C296" i="7" s="1"/>
  <c r="B295" i="7"/>
  <c r="C295" i="7" s="1" a="1"/>
  <c r="C295" i="7" s="1"/>
  <c r="B294" i="7"/>
  <c r="C294" i="7" s="1" a="1"/>
  <c r="C294" i="7" s="1"/>
  <c r="B293" i="7"/>
  <c r="C293" i="7" s="1" a="1"/>
  <c r="C293" i="7" s="1"/>
  <c r="B292" i="7"/>
  <c r="C292" i="7" s="1" a="1"/>
  <c r="C292" i="7" s="1"/>
  <c r="B291" i="7"/>
  <c r="C291" i="7" s="1" a="1"/>
  <c r="C291" i="7" s="1"/>
  <c r="B290" i="7"/>
  <c r="C290" i="7" s="1" a="1"/>
  <c r="C290" i="7" s="1"/>
  <c r="B289" i="7"/>
  <c r="C289" i="7" s="1" a="1"/>
  <c r="C289" i="7" s="1"/>
  <c r="B288" i="7"/>
  <c r="C288" i="7" s="1" a="1"/>
  <c r="C288" i="7" s="1"/>
  <c r="B287" i="7"/>
  <c r="C287" i="7" s="1" a="1"/>
  <c r="C287" i="7" s="1"/>
  <c r="B286" i="7"/>
  <c r="C286" i="7" s="1" a="1"/>
  <c r="C286" i="7" s="1"/>
  <c r="B285" i="7"/>
  <c r="C285" i="7" s="1" a="1"/>
  <c r="C285" i="7" s="1"/>
  <c r="B284" i="7"/>
  <c r="C284" i="7" s="1" a="1"/>
  <c r="C284" i="7" s="1"/>
  <c r="B283" i="7"/>
  <c r="C283" i="7" s="1" a="1"/>
  <c r="C283" i="7" s="1"/>
  <c r="B282" i="7"/>
  <c r="C282" i="7" s="1" a="1"/>
  <c r="C282" i="7" s="1"/>
  <c r="B281" i="7"/>
  <c r="C281" i="7" s="1" a="1"/>
  <c r="C281" i="7" s="1"/>
  <c r="B280" i="7"/>
  <c r="C280" i="7" s="1" a="1"/>
  <c r="C280" i="7" s="1"/>
  <c r="B279" i="7"/>
  <c r="C279" i="7" s="1" a="1"/>
  <c r="C279" i="7" s="1"/>
  <c r="B278" i="7"/>
  <c r="C278" i="7" s="1" a="1"/>
  <c r="C278" i="7" s="1"/>
  <c r="B277" i="7"/>
  <c r="C277" i="7" s="1" a="1"/>
  <c r="C277" i="7" s="1"/>
  <c r="B276" i="7"/>
  <c r="C276" i="7" s="1" a="1"/>
  <c r="C276" i="7" s="1"/>
  <c r="B275" i="7"/>
  <c r="C275" i="7" s="1" a="1"/>
  <c r="C275" i="7" s="1"/>
  <c r="B274" i="7"/>
  <c r="C274" i="7" s="1" a="1"/>
  <c r="C274" i="7" s="1"/>
  <c r="B273" i="7"/>
  <c r="C273" i="7" s="1" a="1"/>
  <c r="C273" i="7" s="1"/>
  <c r="B272" i="7"/>
  <c r="C272" i="7" s="1" a="1"/>
  <c r="C272" i="7" s="1"/>
  <c r="B271" i="7"/>
  <c r="C271" i="7" s="1" a="1"/>
  <c r="C271" i="7" s="1"/>
  <c r="B270" i="7"/>
  <c r="C270" i="7" s="1" a="1"/>
  <c r="C270" i="7" s="1"/>
  <c r="B269" i="7"/>
  <c r="C269" i="7" s="1" a="1"/>
  <c r="C269" i="7" s="1"/>
  <c r="B268" i="7"/>
  <c r="C268" i="7" s="1" a="1"/>
  <c r="C268" i="7" s="1"/>
  <c r="B267" i="7"/>
  <c r="C267" i="7" s="1" a="1"/>
  <c r="C267" i="7" s="1"/>
  <c r="B266" i="7"/>
  <c r="C266" i="7" s="1" a="1"/>
  <c r="C266" i="7" s="1"/>
  <c r="B265" i="7"/>
  <c r="C265" i="7" s="1" a="1"/>
  <c r="C265" i="7" s="1"/>
  <c r="B264" i="7"/>
  <c r="C264" i="7" s="1" a="1"/>
  <c r="C264" i="7" s="1"/>
  <c r="B263" i="7"/>
  <c r="C263" i="7" s="1" a="1"/>
  <c r="C263" i="7" s="1"/>
  <c r="B262" i="7"/>
  <c r="C262" i="7" s="1" a="1"/>
  <c r="C262" i="7" s="1"/>
  <c r="B261" i="7"/>
  <c r="C261" i="7" s="1" a="1"/>
  <c r="C261" i="7" s="1"/>
  <c r="B260" i="7"/>
  <c r="C260" i="7" s="1" a="1"/>
  <c r="C260" i="7" s="1"/>
  <c r="B259" i="7"/>
  <c r="C259" i="7" s="1" a="1"/>
  <c r="C259" i="7" s="1"/>
  <c r="B258" i="7"/>
  <c r="C258" i="7" s="1" a="1"/>
  <c r="C258" i="7" s="1"/>
  <c r="B257" i="7"/>
  <c r="C257" i="7" s="1" a="1"/>
  <c r="C257" i="7" s="1"/>
  <c r="B256" i="7"/>
  <c r="C256" i="7" s="1" a="1"/>
  <c r="C256" i="7" s="1"/>
  <c r="B255" i="7"/>
  <c r="C255" i="7" s="1" a="1"/>
  <c r="C255" i="7" s="1"/>
  <c r="B254" i="7"/>
  <c r="C254" i="7" s="1" a="1"/>
  <c r="C254" i="7" s="1"/>
  <c r="B253" i="7"/>
  <c r="C253" i="7" s="1" a="1"/>
  <c r="C253" i="7" s="1"/>
  <c r="B252" i="7"/>
  <c r="C252" i="7" s="1" a="1"/>
  <c r="C252" i="7" s="1"/>
  <c r="B251" i="7"/>
  <c r="C251" i="7" s="1" a="1"/>
  <c r="C251" i="7" s="1"/>
  <c r="B250" i="7"/>
  <c r="C250" i="7" s="1" a="1"/>
  <c r="C250" i="7" s="1"/>
  <c r="B249" i="7"/>
  <c r="C249" i="7" s="1" a="1"/>
  <c r="C249" i="7" s="1"/>
  <c r="B248" i="7"/>
  <c r="C248" i="7" s="1" a="1"/>
  <c r="C248" i="7" s="1"/>
  <c r="B247" i="7"/>
  <c r="C247" i="7" s="1" a="1"/>
  <c r="C247" i="7" s="1"/>
  <c r="B246" i="7"/>
  <c r="C246" i="7" s="1" a="1"/>
  <c r="C246" i="7" s="1"/>
  <c r="B245" i="7"/>
  <c r="C245" i="7" s="1" a="1"/>
  <c r="C245" i="7" s="1"/>
  <c r="B244" i="7"/>
  <c r="C244" i="7" s="1" a="1"/>
  <c r="C244" i="7" s="1"/>
  <c r="B243" i="7"/>
  <c r="C243" i="7" s="1" a="1"/>
  <c r="C243" i="7" s="1"/>
  <c r="B242" i="7"/>
  <c r="C242" i="7" s="1" a="1"/>
  <c r="C242" i="7" s="1"/>
  <c r="B241" i="7"/>
  <c r="C241" i="7" s="1" a="1"/>
  <c r="C241" i="7" s="1"/>
  <c r="B240" i="7"/>
  <c r="C240" i="7" s="1" a="1"/>
  <c r="C240" i="7" s="1"/>
  <c r="B239" i="7"/>
  <c r="C239" i="7" s="1" a="1"/>
  <c r="C239" i="7" s="1"/>
  <c r="B238" i="7"/>
  <c r="C238" i="7" s="1" a="1"/>
  <c r="C238" i="7" s="1"/>
  <c r="B237" i="7"/>
  <c r="C237" i="7" s="1" a="1"/>
  <c r="C237" i="7" s="1"/>
  <c r="B236" i="7"/>
  <c r="C236" i="7" s="1" a="1"/>
  <c r="C236" i="7" s="1"/>
  <c r="B235" i="7"/>
  <c r="C235" i="7" s="1" a="1"/>
  <c r="C235" i="7" s="1"/>
  <c r="B234" i="7"/>
  <c r="C234" i="7" s="1" a="1"/>
  <c r="C234" i="7" s="1"/>
  <c r="B233" i="7"/>
  <c r="C233" i="7" s="1" a="1"/>
  <c r="C233" i="7" s="1"/>
  <c r="B232" i="7"/>
  <c r="C232" i="7" s="1" a="1"/>
  <c r="C232" i="7" s="1"/>
  <c r="B231" i="7"/>
  <c r="C231" i="7" s="1" a="1"/>
  <c r="C231" i="7" s="1"/>
  <c r="B230" i="7"/>
  <c r="C230" i="7" s="1" a="1"/>
  <c r="C230" i="7" s="1"/>
  <c r="B229" i="7"/>
  <c r="C229" i="7" s="1" a="1"/>
  <c r="C229" i="7" s="1"/>
  <c r="B228" i="7"/>
  <c r="C228" i="7" s="1" a="1"/>
  <c r="C228" i="7" s="1"/>
  <c r="B227" i="7"/>
  <c r="C227" i="7" s="1" a="1"/>
  <c r="C227" i="7" s="1"/>
  <c r="B226" i="7"/>
  <c r="C226" i="7" s="1" a="1"/>
  <c r="C226" i="7" s="1"/>
  <c r="B225" i="7"/>
  <c r="C225" i="7" s="1" a="1"/>
  <c r="C225" i="7" s="1"/>
  <c r="B224" i="7"/>
  <c r="C224" i="7" s="1" a="1"/>
  <c r="C224" i="7" s="1"/>
  <c r="B223" i="7"/>
  <c r="C223" i="7" s="1" a="1"/>
  <c r="C223" i="7" s="1"/>
  <c r="B222" i="7"/>
  <c r="C222" i="7" s="1" a="1"/>
  <c r="C222" i="7" s="1"/>
  <c r="B221" i="7"/>
  <c r="C221" i="7" s="1" a="1"/>
  <c r="C221" i="7" s="1"/>
  <c r="B220" i="7"/>
  <c r="C220" i="7" s="1" a="1"/>
  <c r="C220" i="7" s="1"/>
  <c r="B219" i="7"/>
  <c r="C219" i="7" s="1" a="1"/>
  <c r="C219" i="7" s="1"/>
  <c r="B218" i="7"/>
  <c r="C218" i="7" s="1" a="1"/>
  <c r="C218" i="7" s="1"/>
  <c r="B217" i="7"/>
  <c r="C217" i="7" s="1" a="1"/>
  <c r="C217" i="7" s="1"/>
  <c r="B216" i="7"/>
  <c r="C216" i="7" s="1" a="1"/>
  <c r="C216" i="7" s="1"/>
  <c r="B215" i="7"/>
  <c r="C215" i="7" s="1" a="1"/>
  <c r="C215" i="7" s="1"/>
  <c r="B214" i="7"/>
  <c r="C214" i="7" s="1" a="1"/>
  <c r="C214" i="7" s="1"/>
  <c r="B213" i="7"/>
  <c r="C213" i="7" s="1" a="1"/>
  <c r="C213" i="7" s="1"/>
  <c r="B212" i="7"/>
  <c r="C212" i="7" s="1" a="1"/>
  <c r="C212" i="7" s="1"/>
  <c r="B211" i="7"/>
  <c r="C211" i="7" s="1" a="1"/>
  <c r="C211" i="7" s="1"/>
  <c r="B210" i="7"/>
  <c r="C210" i="7" s="1" a="1"/>
  <c r="C210" i="7" s="1"/>
  <c r="B209" i="7"/>
  <c r="C209" i="7" s="1" a="1"/>
  <c r="C209" i="7" s="1"/>
  <c r="B208" i="7"/>
  <c r="C208" i="7" s="1" a="1"/>
  <c r="C208" i="7" s="1"/>
  <c r="B207" i="7"/>
  <c r="C207" i="7" s="1" a="1"/>
  <c r="C207" i="7" s="1"/>
  <c r="B206" i="7"/>
  <c r="C206" i="7" s="1" a="1"/>
  <c r="C206" i="7" s="1"/>
  <c r="B205" i="7"/>
  <c r="C205" i="7" s="1" a="1"/>
  <c r="C205" i="7" s="1"/>
  <c r="B204" i="7"/>
  <c r="C204" i="7" s="1" a="1"/>
  <c r="C204" i="7" s="1"/>
  <c r="B203" i="7"/>
  <c r="C203" i="7" s="1" a="1"/>
  <c r="C203" i="7" s="1"/>
  <c r="B202" i="7"/>
  <c r="C202" i="7" s="1" a="1"/>
  <c r="C202" i="7" s="1"/>
  <c r="B201" i="7"/>
  <c r="C201" i="7" s="1" a="1"/>
  <c r="C201" i="7" s="1"/>
  <c r="B200" i="7"/>
  <c r="C200" i="7" s="1" a="1"/>
  <c r="C200" i="7" s="1"/>
  <c r="B199" i="7"/>
  <c r="C199" i="7" s="1" a="1"/>
  <c r="C199" i="7" s="1"/>
  <c r="B198" i="7"/>
  <c r="C198" i="7" s="1" a="1"/>
  <c r="C198" i="7" s="1"/>
  <c r="B197" i="7"/>
  <c r="C197" i="7" s="1" a="1"/>
  <c r="C197" i="7" s="1"/>
  <c r="B196" i="7"/>
  <c r="C196" i="7" s="1" a="1"/>
  <c r="C196" i="7" s="1"/>
  <c r="B195" i="7"/>
  <c r="C195" i="7" s="1" a="1"/>
  <c r="C195" i="7" s="1"/>
  <c r="B194" i="7"/>
  <c r="C194" i="7" s="1" a="1"/>
  <c r="C194" i="7" s="1"/>
  <c r="B193" i="7"/>
  <c r="C193" i="7" s="1" a="1"/>
  <c r="C193" i="7" s="1"/>
  <c r="B192" i="7"/>
  <c r="C192" i="7" s="1" a="1"/>
  <c r="C192" i="7" s="1"/>
  <c r="B191" i="7"/>
  <c r="C191" i="7" s="1" a="1"/>
  <c r="C191" i="7" s="1"/>
  <c r="B190" i="7"/>
  <c r="C190" i="7" s="1" a="1"/>
  <c r="C190" i="7" s="1"/>
  <c r="B189" i="7"/>
  <c r="C189" i="7" s="1" a="1"/>
  <c r="C189" i="7" s="1"/>
  <c r="B188" i="7"/>
  <c r="C188" i="7" s="1" a="1"/>
  <c r="C188" i="7" s="1"/>
  <c r="B187" i="7"/>
  <c r="C187" i="7" s="1" a="1"/>
  <c r="C187" i="7" s="1"/>
  <c r="B186" i="7"/>
  <c r="C186" i="7" s="1" a="1"/>
  <c r="C186" i="7" s="1"/>
  <c r="B185" i="7"/>
  <c r="C185" i="7" s="1" a="1"/>
  <c r="C185" i="7" s="1"/>
  <c r="B184" i="7"/>
  <c r="C184" i="7" s="1" a="1"/>
  <c r="C184" i="7" s="1"/>
  <c r="B183" i="7"/>
  <c r="C183" i="7" s="1" a="1"/>
  <c r="C183" i="7" s="1"/>
  <c r="B182" i="7"/>
  <c r="C182" i="7" s="1" a="1"/>
  <c r="C182" i="7" s="1"/>
  <c r="B181" i="7"/>
  <c r="C181" i="7" s="1" a="1"/>
  <c r="C181" i="7" s="1"/>
  <c r="B180" i="7"/>
  <c r="C180" i="7" s="1" a="1"/>
  <c r="C180" i="7" s="1"/>
  <c r="B179" i="7"/>
  <c r="C179" i="7" s="1" a="1"/>
  <c r="C179" i="7" s="1"/>
  <c r="B178" i="7"/>
  <c r="C178" i="7" s="1" a="1"/>
  <c r="C178" i="7" s="1"/>
  <c r="B177" i="7"/>
  <c r="C177" i="7" s="1" a="1"/>
  <c r="C177" i="7" s="1"/>
  <c r="B176" i="7"/>
  <c r="C176" i="7" s="1" a="1"/>
  <c r="C176" i="7" s="1"/>
  <c r="B175" i="7"/>
  <c r="C175" i="7" s="1" a="1"/>
  <c r="C175" i="7" s="1"/>
  <c r="B174" i="7"/>
  <c r="C174" i="7" s="1" a="1"/>
  <c r="C174" i="7" s="1"/>
  <c r="B173" i="7"/>
  <c r="C173" i="7" s="1" a="1"/>
  <c r="C173" i="7" s="1"/>
  <c r="B172" i="7"/>
  <c r="C172" i="7" s="1" a="1"/>
  <c r="C172" i="7" s="1"/>
  <c r="B171" i="7"/>
  <c r="C171" i="7" s="1" a="1"/>
  <c r="C171" i="7" s="1"/>
  <c r="B170" i="7"/>
  <c r="C170" i="7" s="1" a="1"/>
  <c r="C170" i="7" s="1"/>
  <c r="B169" i="7"/>
  <c r="C169" i="7" s="1" a="1"/>
  <c r="C169" i="7" s="1"/>
  <c r="B168" i="7"/>
  <c r="C168" i="7" s="1" a="1"/>
  <c r="C168" i="7" s="1"/>
  <c r="B167" i="7"/>
  <c r="C167" i="7" s="1" a="1"/>
  <c r="C167" i="7" s="1"/>
  <c r="B166" i="7"/>
  <c r="C166" i="7" s="1" a="1"/>
  <c r="C166" i="7" s="1"/>
  <c r="B165" i="7"/>
  <c r="C165" i="7" s="1" a="1"/>
  <c r="C165" i="7" s="1"/>
  <c r="B164" i="7"/>
  <c r="C164" i="7" s="1" a="1"/>
  <c r="C164" i="7" s="1"/>
  <c r="B163" i="7"/>
  <c r="C163" i="7" s="1" a="1"/>
  <c r="C163" i="7" s="1"/>
  <c r="B162" i="7"/>
  <c r="C162" i="7" s="1" a="1"/>
  <c r="C162" i="7" s="1"/>
  <c r="B161" i="7"/>
  <c r="C161" i="7" s="1" a="1"/>
  <c r="C161" i="7" s="1"/>
  <c r="B160" i="7"/>
  <c r="C160" i="7" s="1" a="1"/>
  <c r="C160" i="7" s="1"/>
  <c r="B159" i="7"/>
  <c r="C159" i="7" s="1" a="1"/>
  <c r="C159" i="7" s="1"/>
  <c r="B158" i="7"/>
  <c r="C158" i="7" s="1" a="1"/>
  <c r="C158" i="7" s="1"/>
  <c r="B157" i="7"/>
  <c r="C157" i="7" s="1" a="1"/>
  <c r="C157" i="7" s="1"/>
  <c r="B156" i="7"/>
  <c r="C156" i="7" s="1" a="1"/>
  <c r="C156" i="7" s="1"/>
  <c r="B155" i="7"/>
  <c r="C155" i="7" s="1" a="1"/>
  <c r="C155" i="7" s="1"/>
  <c r="B154" i="7"/>
  <c r="C154" i="7" s="1" a="1"/>
  <c r="C154" i="7" s="1"/>
  <c r="B153" i="7"/>
  <c r="C153" i="7" s="1" a="1"/>
  <c r="C153" i="7" s="1"/>
  <c r="B152" i="7"/>
  <c r="C152" i="7" s="1" a="1"/>
  <c r="C152" i="7" s="1"/>
  <c r="B151" i="7"/>
  <c r="C151" i="7" s="1" a="1"/>
  <c r="C151" i="7" s="1"/>
  <c r="B150" i="7"/>
  <c r="C150" i="7" s="1" a="1"/>
  <c r="C150" i="7" s="1"/>
  <c r="B149" i="7"/>
  <c r="C149" i="7" s="1" a="1"/>
  <c r="C149" i="7" s="1"/>
  <c r="B148" i="7"/>
  <c r="C148" i="7" s="1" a="1"/>
  <c r="C148" i="7" s="1"/>
  <c r="B147" i="7"/>
  <c r="C147" i="7" s="1" a="1"/>
  <c r="C147" i="7" s="1"/>
  <c r="B146" i="7"/>
  <c r="C146" i="7" s="1" a="1"/>
  <c r="C146" i="7" s="1"/>
  <c r="B145" i="7"/>
  <c r="C145" i="7" s="1" a="1"/>
  <c r="C145" i="7" s="1"/>
  <c r="B144" i="7"/>
  <c r="C144" i="7" s="1" a="1"/>
  <c r="C144" i="7" s="1"/>
  <c r="B143" i="7"/>
  <c r="C143" i="7" s="1" a="1"/>
  <c r="C143" i="7" s="1"/>
  <c r="B142" i="7"/>
  <c r="C142" i="7" s="1" a="1"/>
  <c r="C142" i="7" s="1"/>
  <c r="B141" i="7"/>
  <c r="C141" i="7" s="1" a="1"/>
  <c r="C141" i="7" s="1"/>
  <c r="B140" i="7"/>
  <c r="C140" i="7" s="1" a="1"/>
  <c r="C140" i="7" s="1"/>
  <c r="B139" i="7"/>
  <c r="C139" i="7" s="1" a="1"/>
  <c r="C139" i="7" s="1"/>
  <c r="B138" i="7"/>
  <c r="C138" i="7" s="1" a="1"/>
  <c r="C138" i="7" s="1"/>
  <c r="B137" i="7"/>
  <c r="C137" i="7" s="1" a="1"/>
  <c r="C137" i="7" s="1"/>
  <c r="B136" i="7"/>
  <c r="C136" i="7" s="1" a="1"/>
  <c r="C136" i="7" s="1"/>
  <c r="B135" i="7"/>
  <c r="C135" i="7" s="1" a="1"/>
  <c r="C135" i="7" s="1"/>
  <c r="B134" i="7"/>
  <c r="C134" i="7" s="1" a="1"/>
  <c r="C134" i="7" s="1"/>
  <c r="B133" i="7"/>
  <c r="C133" i="7" s="1" a="1"/>
  <c r="C133" i="7" s="1"/>
  <c r="B132" i="7"/>
  <c r="C132" i="7" s="1" a="1"/>
  <c r="C132" i="7" s="1"/>
  <c r="B131" i="7"/>
  <c r="C131" i="7" s="1" a="1"/>
  <c r="C131" i="7" s="1"/>
  <c r="B130" i="7"/>
  <c r="C130" i="7" s="1" a="1"/>
  <c r="C130" i="7" s="1"/>
  <c r="B129" i="7"/>
  <c r="C129" i="7" s="1" a="1"/>
  <c r="C129" i="7" s="1"/>
  <c r="B128" i="7"/>
  <c r="C128" i="7" s="1" a="1"/>
  <c r="C128" i="7" s="1"/>
  <c r="B127" i="7"/>
  <c r="C127" i="7" s="1" a="1"/>
  <c r="C127" i="7" s="1"/>
  <c r="B126" i="7"/>
  <c r="C126" i="7" s="1" a="1"/>
  <c r="C126" i="7" s="1"/>
  <c r="B125" i="7"/>
  <c r="C125" i="7" s="1" a="1"/>
  <c r="C125" i="7" s="1"/>
  <c r="B124" i="7"/>
  <c r="C124" i="7" s="1" a="1"/>
  <c r="C124" i="7" s="1"/>
  <c r="B123" i="7"/>
  <c r="C123" i="7" s="1" a="1"/>
  <c r="C123" i="7" s="1"/>
  <c r="B122" i="7"/>
  <c r="C122" i="7" s="1" a="1"/>
  <c r="C122" i="7" s="1"/>
  <c r="B121" i="7"/>
  <c r="C121" i="7" s="1" a="1"/>
  <c r="C121" i="7" s="1"/>
  <c r="B120" i="7"/>
  <c r="C120" i="7" s="1" a="1"/>
  <c r="C120" i="7" s="1"/>
  <c r="B119" i="7"/>
  <c r="C119" i="7" s="1" a="1"/>
  <c r="C119" i="7" s="1"/>
  <c r="B118" i="7"/>
  <c r="C118" i="7" s="1" a="1"/>
  <c r="C118" i="7" s="1"/>
  <c r="B117" i="7"/>
  <c r="C117" i="7" s="1" a="1"/>
  <c r="C117" i="7" s="1"/>
  <c r="B116" i="7"/>
  <c r="C116" i="7" s="1" a="1"/>
  <c r="C116" i="7" s="1"/>
  <c r="B115" i="7"/>
  <c r="C115" i="7" s="1" a="1"/>
  <c r="C115" i="7" s="1"/>
  <c r="B114" i="7"/>
  <c r="C114" i="7" s="1" a="1"/>
  <c r="C114" i="7" s="1"/>
  <c r="B113" i="7"/>
  <c r="C113" i="7" s="1" a="1"/>
  <c r="C113" i="7" s="1"/>
  <c r="B112" i="7"/>
  <c r="C112" i="7" s="1" a="1"/>
  <c r="C112" i="7" s="1"/>
  <c r="B111" i="7"/>
  <c r="C111" i="7" s="1" a="1"/>
  <c r="C111" i="7" s="1"/>
  <c r="B110" i="7"/>
  <c r="C110" i="7" s="1" a="1"/>
  <c r="C110" i="7" s="1"/>
  <c r="B109" i="7"/>
  <c r="C109" i="7" s="1" a="1"/>
  <c r="C109" i="7" s="1"/>
  <c r="B108" i="7"/>
  <c r="C108" i="7" s="1" a="1"/>
  <c r="C108" i="7" s="1"/>
  <c r="B107" i="7"/>
  <c r="C107" i="7" s="1" a="1"/>
  <c r="C107" i="7" s="1"/>
  <c r="B106" i="7"/>
  <c r="C106" i="7" s="1" a="1"/>
  <c r="C106" i="7" s="1"/>
  <c r="B105" i="7"/>
  <c r="C105" i="7" s="1" a="1"/>
  <c r="C105" i="7" s="1"/>
  <c r="B104" i="7"/>
  <c r="C104" i="7" s="1" a="1"/>
  <c r="C104" i="7" s="1"/>
  <c r="B103" i="7"/>
  <c r="C103" i="7" s="1" a="1"/>
  <c r="C103" i="7" s="1"/>
  <c r="B102" i="7"/>
  <c r="C102" i="7" s="1" a="1"/>
  <c r="C102" i="7" s="1"/>
  <c r="B101" i="7"/>
  <c r="C101" i="7" s="1" a="1"/>
  <c r="C101" i="7" s="1"/>
  <c r="B100" i="7"/>
  <c r="C100" i="7" s="1" a="1"/>
  <c r="C100" i="7" s="1"/>
  <c r="B99" i="7"/>
  <c r="C99" i="7" s="1" a="1"/>
  <c r="C99" i="7" s="1"/>
  <c r="B98" i="7"/>
  <c r="C98" i="7" s="1" a="1"/>
  <c r="C98" i="7" s="1"/>
  <c r="B97" i="7"/>
  <c r="C97" i="7" s="1" a="1"/>
  <c r="C97" i="7" s="1"/>
  <c r="B96" i="7"/>
  <c r="C96" i="7" s="1" a="1"/>
  <c r="C96" i="7" s="1"/>
  <c r="B95" i="7"/>
  <c r="C95" i="7" s="1" a="1"/>
  <c r="C95" i="7" s="1"/>
  <c r="B94" i="7"/>
  <c r="C94" i="7" s="1" a="1"/>
  <c r="C94" i="7" s="1"/>
  <c r="B93" i="7"/>
  <c r="C93" i="7" s="1" a="1"/>
  <c r="C93" i="7" s="1"/>
  <c r="B92" i="7"/>
  <c r="C92" i="7" s="1" a="1"/>
  <c r="C92" i="7" s="1"/>
  <c r="B91" i="7"/>
  <c r="C91" i="7" s="1" a="1"/>
  <c r="C91" i="7" s="1"/>
  <c r="B90" i="7"/>
  <c r="C90" i="7" s="1" a="1"/>
  <c r="C90" i="7" s="1"/>
  <c r="B89" i="7"/>
  <c r="C89" i="7" s="1" a="1"/>
  <c r="C89" i="7" s="1"/>
  <c r="B88" i="7"/>
  <c r="C88" i="7" s="1" a="1"/>
  <c r="C88" i="7" s="1"/>
  <c r="B87" i="7"/>
  <c r="C87" i="7" s="1" a="1"/>
  <c r="C87" i="7" s="1"/>
  <c r="B86" i="7"/>
  <c r="C86" i="7" s="1" a="1"/>
  <c r="C86" i="7" s="1"/>
  <c r="B85" i="7"/>
  <c r="C85" i="7" s="1" a="1"/>
  <c r="C85" i="7" s="1"/>
  <c r="B84" i="7"/>
  <c r="C84" i="7" s="1" a="1"/>
  <c r="C84" i="7" s="1"/>
  <c r="B83" i="7"/>
  <c r="C83" i="7" s="1" a="1"/>
  <c r="C83" i="7" s="1"/>
  <c r="B82" i="7"/>
  <c r="C82" i="7" s="1" a="1"/>
  <c r="C82" i="7" s="1"/>
  <c r="B81" i="7"/>
  <c r="C81" i="7" s="1" a="1"/>
  <c r="C81" i="7" s="1"/>
  <c r="B80" i="7"/>
  <c r="C80" i="7" s="1" a="1"/>
  <c r="C80" i="7" s="1"/>
  <c r="B79" i="7"/>
  <c r="C79" i="7" s="1" a="1"/>
  <c r="C79" i="7" s="1"/>
  <c r="B78" i="7"/>
  <c r="C78" i="7" s="1" a="1"/>
  <c r="C78" i="7" s="1"/>
  <c r="B77" i="7"/>
  <c r="C77" i="7" s="1" a="1"/>
  <c r="C77" i="7" s="1"/>
  <c r="B76" i="7"/>
  <c r="C76" i="7" s="1" a="1"/>
  <c r="C76" i="7" s="1"/>
  <c r="B75" i="7"/>
  <c r="C75" i="7" s="1" a="1"/>
  <c r="C75" i="7" s="1"/>
  <c r="B74" i="7"/>
  <c r="C74" i="7" s="1" a="1"/>
  <c r="C74" i="7" s="1"/>
  <c r="B73" i="7"/>
  <c r="C73" i="7" s="1" a="1"/>
  <c r="C73" i="7" s="1"/>
  <c r="B72" i="7"/>
  <c r="C72" i="7" s="1" a="1"/>
  <c r="C72" i="7" s="1"/>
  <c r="B71" i="7"/>
  <c r="C71" i="7" s="1" a="1"/>
  <c r="C71" i="7" s="1"/>
  <c r="B70" i="7"/>
  <c r="C70" i="7" s="1" a="1"/>
  <c r="C70" i="7" s="1"/>
  <c r="B69" i="7"/>
  <c r="C69" i="7" s="1" a="1"/>
  <c r="C69" i="7" s="1"/>
  <c r="B68" i="7"/>
  <c r="C68" i="7" s="1" a="1"/>
  <c r="C68" i="7" s="1"/>
  <c r="B67" i="7"/>
  <c r="C67" i="7" s="1" a="1"/>
  <c r="C67" i="7" s="1"/>
  <c r="B66" i="7"/>
  <c r="C66" i="7" s="1" a="1"/>
  <c r="C66" i="7" s="1"/>
  <c r="B65" i="7"/>
  <c r="C65" i="7" s="1" a="1"/>
  <c r="C65" i="7" s="1"/>
  <c r="B64" i="7"/>
  <c r="C64" i="7" s="1" a="1"/>
  <c r="C64" i="7" s="1"/>
  <c r="B63" i="7"/>
  <c r="C63" i="7" s="1" a="1"/>
  <c r="C63" i="7" s="1"/>
  <c r="B62" i="7"/>
  <c r="C62" i="7" s="1" a="1"/>
  <c r="C62" i="7" s="1"/>
  <c r="B61" i="7"/>
  <c r="C61" i="7" s="1" a="1"/>
  <c r="C61" i="7" s="1"/>
  <c r="B60" i="7"/>
  <c r="C60" i="7" s="1" a="1"/>
  <c r="C60" i="7" s="1"/>
  <c r="B59" i="7"/>
  <c r="C59" i="7" s="1" a="1"/>
  <c r="C59" i="7" s="1"/>
  <c r="B58" i="7"/>
  <c r="C58" i="7" s="1" a="1"/>
  <c r="C58" i="7" s="1"/>
  <c r="B57" i="7"/>
  <c r="C57" i="7" s="1" a="1"/>
  <c r="C57" i="7" s="1"/>
  <c r="B56" i="7"/>
  <c r="C56" i="7" s="1" a="1"/>
  <c r="C56" i="7" s="1"/>
  <c r="B55" i="7"/>
  <c r="C55" i="7" s="1" a="1"/>
  <c r="C55" i="7" s="1"/>
  <c r="B54" i="7"/>
  <c r="C54" i="7" s="1" a="1"/>
  <c r="C54" i="7" s="1"/>
  <c r="B53" i="7"/>
  <c r="C53" i="7" s="1" a="1"/>
  <c r="C53" i="7" s="1"/>
  <c r="B52" i="7"/>
  <c r="C52" i="7" s="1" a="1"/>
  <c r="C52" i="7" s="1"/>
  <c r="B51" i="7"/>
  <c r="C51" i="7" s="1" a="1"/>
  <c r="C51" i="7" s="1"/>
  <c r="B50" i="7"/>
  <c r="C50" i="7" s="1" a="1"/>
  <c r="C50" i="7" s="1"/>
  <c r="B49" i="7"/>
  <c r="C49" i="7" s="1" a="1"/>
  <c r="C49" i="7" s="1"/>
  <c r="B48" i="7"/>
  <c r="C48" i="7" s="1" a="1"/>
  <c r="C48" i="7" s="1"/>
  <c r="B47" i="7"/>
  <c r="C47" i="7" s="1" a="1"/>
  <c r="C47" i="7" s="1"/>
  <c r="B46" i="7"/>
  <c r="C46" i="7" s="1" a="1"/>
  <c r="C46" i="7" s="1"/>
  <c r="B45" i="7"/>
  <c r="C45" i="7" s="1" a="1"/>
  <c r="C45" i="7" s="1"/>
  <c r="B44" i="7"/>
  <c r="C44" i="7" s="1" a="1"/>
  <c r="C44" i="7" s="1"/>
  <c r="B43" i="7"/>
  <c r="C43" i="7" s="1" a="1"/>
  <c r="C43" i="7" s="1"/>
  <c r="B42" i="7"/>
  <c r="C42" i="7" s="1" a="1"/>
  <c r="C42" i="7" s="1"/>
  <c r="B41" i="7"/>
  <c r="C41" i="7" s="1" a="1"/>
  <c r="C41" i="7" s="1"/>
  <c r="B40" i="7"/>
  <c r="C40" i="7" s="1" a="1"/>
  <c r="C40" i="7" s="1"/>
  <c r="B39" i="7"/>
  <c r="C39" i="7" s="1" a="1"/>
  <c r="C39" i="7" s="1"/>
  <c r="B38" i="7"/>
  <c r="C38" i="7" s="1" a="1"/>
  <c r="C38" i="7" s="1"/>
  <c r="B37" i="7"/>
  <c r="C37" i="7" s="1" a="1"/>
  <c r="C37" i="7" s="1"/>
  <c r="B36" i="7"/>
  <c r="C36" i="7" s="1" a="1"/>
  <c r="C36" i="7" s="1"/>
  <c r="B35" i="7"/>
  <c r="C35" i="7" s="1" a="1"/>
  <c r="C35" i="7" s="1"/>
  <c r="B34" i="7"/>
  <c r="C34" i="7" s="1" a="1"/>
  <c r="C34" i="7" s="1"/>
  <c r="B33" i="7"/>
  <c r="C33" i="7" s="1" a="1"/>
  <c r="C33" i="7" s="1"/>
  <c r="B32" i="7"/>
  <c r="C32" i="7" s="1" a="1"/>
  <c r="C32" i="7" s="1"/>
  <c r="B31" i="7"/>
  <c r="C31" i="7" s="1" a="1"/>
  <c r="C31" i="7" s="1"/>
  <c r="B30" i="7"/>
  <c r="C30" i="7" s="1" a="1"/>
  <c r="C30" i="7" s="1"/>
  <c r="B29" i="7"/>
  <c r="C29" i="7" s="1" a="1"/>
  <c r="C29" i="7" s="1"/>
  <c r="B28" i="7"/>
  <c r="C28" i="7" s="1" a="1"/>
  <c r="C28" i="7" s="1"/>
  <c r="B27" i="7"/>
  <c r="C27" i="7" s="1" a="1"/>
  <c r="C27" i="7" s="1"/>
  <c r="B26" i="7"/>
  <c r="C26" i="7" s="1" a="1"/>
  <c r="C26" i="7" s="1"/>
  <c r="B25" i="7"/>
  <c r="C25" i="7" s="1" a="1"/>
  <c r="C25" i="7" s="1"/>
  <c r="B24" i="7"/>
  <c r="C24" i="7" s="1" a="1"/>
  <c r="C24" i="7" s="1"/>
  <c r="B23" i="7"/>
  <c r="C23" i="7" s="1" a="1"/>
  <c r="C23" i="7" s="1"/>
  <c r="B22" i="7"/>
  <c r="C22" i="7" s="1" a="1"/>
  <c r="C22" i="7" s="1"/>
  <c r="B21" i="7"/>
  <c r="C21" i="7" s="1" a="1"/>
  <c r="C21" i="7" s="1"/>
  <c r="B20" i="7"/>
  <c r="C20" i="7" s="1" a="1"/>
  <c r="C20" i="7" s="1"/>
  <c r="B19" i="7"/>
  <c r="C19" i="7" s="1" a="1"/>
  <c r="C19" i="7" s="1"/>
  <c r="B18" i="7"/>
  <c r="C18" i="7" s="1" a="1"/>
  <c r="C18" i="7" s="1"/>
  <c r="B17" i="7"/>
  <c r="C17" i="7" s="1" a="1"/>
  <c r="C17" i="7" s="1"/>
  <c r="B16" i="7"/>
  <c r="C16" i="7" s="1" a="1"/>
  <c r="C16" i="7" s="1"/>
  <c r="B15" i="7"/>
  <c r="C15" i="7" s="1" a="1"/>
  <c r="C15" i="7" s="1"/>
  <c r="B14" i="7"/>
  <c r="C14" i="7" s="1" a="1"/>
  <c r="C14" i="7" s="1"/>
  <c r="B13" i="7"/>
  <c r="C13" i="7" s="1" a="1"/>
  <c r="C13" i="7" s="1"/>
  <c r="B12" i="7"/>
  <c r="C12" i="7" s="1" a="1"/>
  <c r="C12" i="7" s="1"/>
  <c r="B11" i="7"/>
  <c r="C11" i="7" s="1" a="1"/>
  <c r="C11" i="7" s="1"/>
  <c r="B10" i="7"/>
  <c r="C10" i="7" s="1" a="1"/>
  <c r="C10" i="7" s="1"/>
  <c r="B9" i="7"/>
  <c r="C9" i="7" s="1" a="1"/>
  <c r="C9" i="7" s="1"/>
  <c r="B8" i="7"/>
  <c r="C8" i="7" s="1" a="1"/>
  <c r="C8" i="7" s="1"/>
  <c r="B7" i="7"/>
  <c r="C7" i="7" s="1" a="1"/>
  <c r="C7" i="7" s="1"/>
  <c r="B6" i="7"/>
  <c r="C6" i="7" s="1" a="1"/>
  <c r="C6" i="7" s="1"/>
  <c r="B5" i="7"/>
  <c r="C5" i="7" s="1" a="1"/>
  <c r="C5" i="7" s="1"/>
  <c r="C23" i="5"/>
  <c r="G22" i="4"/>
  <c r="F22" i="4"/>
  <c r="E22" i="4"/>
  <c r="D22" i="4"/>
  <c r="C22" i="4"/>
  <c r="G16" i="4"/>
  <c r="F16" i="4"/>
  <c r="E16" i="4"/>
  <c r="D16" i="4"/>
  <c r="C16" i="4"/>
  <c r="G15" i="4"/>
  <c r="F15" i="4"/>
  <c r="E15" i="4"/>
  <c r="D15" i="4"/>
  <c r="C15" i="4"/>
  <c r="G14" i="4"/>
  <c r="F14" i="4"/>
  <c r="E14" i="4"/>
  <c r="D14" i="4"/>
  <c r="C14" i="4"/>
  <c r="G8" i="4"/>
  <c r="F8" i="4"/>
  <c r="E8" i="4"/>
  <c r="D8" i="4"/>
  <c r="C8" i="4"/>
  <c r="G7" i="4"/>
  <c r="F7" i="4"/>
  <c r="E7" i="4"/>
  <c r="D7" i="4"/>
  <c r="C7" i="4"/>
  <c r="G6" i="4"/>
  <c r="F6" i="4"/>
  <c r="E6" i="4"/>
  <c r="D6" i="4"/>
  <c r="C6" i="4"/>
  <c r="A27" i="3"/>
  <c r="B23" i="3"/>
  <c r="C23" i="3" s="1"/>
  <c r="B22" i="3"/>
  <c r="B15" i="9"/>
  <c r="B9" i="3"/>
  <c r="B7" i="3"/>
  <c r="B8" i="3" s="1"/>
  <c r="B6" i="3"/>
  <c r="F20" i="1"/>
  <c r="C22" i="3" l="1"/>
  <c r="F13" i="8"/>
  <c r="F11" i="8"/>
  <c r="F29" i="4"/>
  <c r="F16" i="8"/>
  <c r="F15" i="8"/>
  <c r="F6" i="8"/>
  <c r="F28" i="4"/>
  <c r="F12" i="8"/>
  <c r="F8" i="8"/>
  <c r="D36" i="7"/>
  <c r="D420" i="7"/>
  <c r="D46" i="7"/>
  <c r="D110" i="7"/>
  <c r="D142" i="7"/>
  <c r="D206" i="7"/>
  <c r="D254" i="7"/>
  <c r="D318" i="7"/>
  <c r="D334" i="7"/>
  <c r="D382" i="7"/>
  <c r="D398" i="7"/>
  <c r="D414" i="7"/>
  <c r="D430" i="7"/>
  <c r="D446" i="7"/>
  <c r="D478" i="7"/>
  <c r="D494" i="7"/>
  <c r="D510" i="7"/>
  <c r="D558" i="7"/>
  <c r="D574" i="7"/>
  <c r="D590" i="7"/>
  <c r="D606" i="7"/>
  <c r="D622" i="7"/>
  <c r="D638" i="7"/>
  <c r="D654" i="7"/>
  <c r="D686" i="7"/>
  <c r="D718" i="7"/>
  <c r="D734" i="7"/>
  <c r="D750" i="7"/>
  <c r="D766" i="7"/>
  <c r="D782" i="7"/>
  <c r="D798" i="7"/>
  <c r="D814" i="7"/>
  <c r="D830" i="7"/>
  <c r="D846" i="7"/>
  <c r="D862" i="7"/>
  <c r="D878" i="7"/>
  <c r="D894" i="7"/>
  <c r="D910" i="7"/>
  <c r="D926" i="7"/>
  <c r="D942" i="7"/>
  <c r="D958" i="7"/>
  <c r="D974" i="7"/>
  <c r="D990" i="7"/>
  <c r="D1006" i="7"/>
  <c r="D1022" i="7"/>
  <c r="D1038" i="7"/>
  <c r="D1054" i="7"/>
  <c r="D1070" i="7"/>
  <c r="D1086" i="7"/>
  <c r="D1102" i="7"/>
  <c r="D1118" i="7"/>
  <c r="D1134" i="7"/>
  <c r="D1150" i="7"/>
  <c r="D1166" i="7"/>
  <c r="D1182" i="7"/>
  <c r="D1198" i="7"/>
  <c r="D1214" i="7"/>
  <c r="D1230" i="7"/>
  <c r="D1246" i="7"/>
  <c r="D1262" i="7"/>
  <c r="D1278" i="7"/>
  <c r="D1310" i="7"/>
  <c r="D1326" i="7"/>
  <c r="D1342" i="7"/>
  <c r="D1358" i="7"/>
  <c r="D1374" i="7"/>
  <c r="D1390" i="7"/>
  <c r="D1406" i="7"/>
  <c r="D1422" i="7"/>
  <c r="D1438" i="7"/>
  <c r="D1454" i="7"/>
  <c r="D1470" i="7"/>
  <c r="D1486" i="7"/>
  <c r="D1502" i="7"/>
  <c r="D1518" i="7"/>
  <c r="D1534" i="7"/>
  <c r="D1550" i="7"/>
  <c r="D1566" i="7"/>
  <c r="D1582" i="7"/>
  <c r="D1598" i="7"/>
  <c r="D1614" i="7"/>
  <c r="D1630" i="7"/>
  <c r="D1646" i="7"/>
  <c r="D1662" i="7"/>
  <c r="D1678" i="7"/>
  <c r="D1694" i="7"/>
  <c r="D1710" i="7"/>
  <c r="D1726" i="7"/>
  <c r="D1742" i="7"/>
  <c r="D1758" i="7"/>
  <c r="D1774" i="7"/>
  <c r="D1790" i="7"/>
  <c r="D1806" i="7"/>
  <c r="D1822" i="7"/>
  <c r="D356" i="7"/>
  <c r="D14" i="7"/>
  <c r="D94" i="7"/>
  <c r="D158" i="7"/>
  <c r="D222" i="7"/>
  <c r="D270" i="7"/>
  <c r="D350" i="7"/>
  <c r="D462" i="7"/>
  <c r="D670" i="7"/>
  <c r="D1294" i="7"/>
  <c r="D15" i="7"/>
  <c r="D31" i="7"/>
  <c r="D47" i="7"/>
  <c r="D63" i="7"/>
  <c r="D79" i="7"/>
  <c r="D95" i="7"/>
  <c r="D111" i="7"/>
  <c r="D127" i="7"/>
  <c r="D143" i="7"/>
  <c r="D159" i="7"/>
  <c r="D175" i="7"/>
  <c r="D191" i="7"/>
  <c r="D207" i="7"/>
  <c r="D223" i="7"/>
  <c r="D239" i="7"/>
  <c r="D255" i="7"/>
  <c r="D271" i="7"/>
  <c r="D287" i="7"/>
  <c r="D303" i="7"/>
  <c r="D319" i="7"/>
  <c r="D335" i="7"/>
  <c r="D351" i="7"/>
  <c r="D367" i="7"/>
  <c r="D383" i="7"/>
  <c r="D399" i="7"/>
  <c r="D415" i="7"/>
  <c r="D431" i="7"/>
  <c r="D447" i="7"/>
  <c r="D463" i="7"/>
  <c r="D479" i="7"/>
  <c r="D495" i="7"/>
  <c r="D511" i="7"/>
  <c r="D527" i="7"/>
  <c r="D543" i="7"/>
  <c r="D559" i="7"/>
  <c r="D575" i="7"/>
  <c r="D591" i="7"/>
  <c r="D607" i="7"/>
  <c r="D623" i="7"/>
  <c r="D639" i="7"/>
  <c r="D655" i="7"/>
  <c r="D671" i="7"/>
  <c r="D687" i="7"/>
  <c r="D703" i="7"/>
  <c r="D719" i="7"/>
  <c r="D735" i="7"/>
  <c r="D751" i="7"/>
  <c r="D767" i="7"/>
  <c r="D783" i="7"/>
  <c r="D799" i="7"/>
  <c r="D815" i="7"/>
  <c r="D831" i="7"/>
  <c r="D847" i="7"/>
  <c r="D863" i="7"/>
  <c r="D879" i="7"/>
  <c r="D895" i="7"/>
  <c r="D911" i="7"/>
  <c r="D927" i="7"/>
  <c r="D943" i="7"/>
  <c r="D959" i="7"/>
  <c r="D975" i="7"/>
  <c r="D991" i="7"/>
  <c r="D1007" i="7"/>
  <c r="D1023" i="7"/>
  <c r="D1039" i="7"/>
  <c r="D1055" i="7"/>
  <c r="D1071" i="7"/>
  <c r="D1087" i="7"/>
  <c r="D1103" i="7"/>
  <c r="D1119" i="7"/>
  <c r="D1135" i="7"/>
  <c r="D1151" i="7"/>
  <c r="D1167" i="7"/>
  <c r="D1183" i="7"/>
  <c r="D1199" i="7"/>
  <c r="D1215" i="7"/>
  <c r="D1231" i="7"/>
  <c r="D1247" i="7"/>
  <c r="D1263" i="7"/>
  <c r="D1279" i="7"/>
  <c r="D1295" i="7"/>
  <c r="D1311" i="7"/>
  <c r="D1327" i="7"/>
  <c r="D1343" i="7"/>
  <c r="D1359" i="7"/>
  <c r="D1375" i="7"/>
  <c r="D1391" i="7"/>
  <c r="D1407" i="7"/>
  <c r="D1423" i="7"/>
  <c r="D1439" i="7"/>
  <c r="D1455" i="7"/>
  <c r="D1471" i="7"/>
  <c r="D1487" i="7"/>
  <c r="D1503" i="7"/>
  <c r="D1519" i="7"/>
  <c r="D1535" i="7"/>
  <c r="D1551" i="7"/>
  <c r="D1567" i="7"/>
  <c r="D1583" i="7"/>
  <c r="D68" i="7"/>
  <c r="D244" i="7"/>
  <c r="D30" i="7"/>
  <c r="D238" i="7"/>
  <c r="D702" i="7"/>
  <c r="D16" i="7"/>
  <c r="D32" i="7"/>
  <c r="D48" i="7"/>
  <c r="D64" i="7"/>
  <c r="D80" i="7"/>
  <c r="D96" i="7"/>
  <c r="D112" i="7"/>
  <c r="D128" i="7"/>
  <c r="D144" i="7"/>
  <c r="D160" i="7"/>
  <c r="D176" i="7"/>
  <c r="D192" i="7"/>
  <c r="D208" i="7"/>
  <c r="D224" i="7"/>
  <c r="D240" i="7"/>
  <c r="D256" i="7"/>
  <c r="D272" i="7"/>
  <c r="D288" i="7"/>
  <c r="D304" i="7"/>
  <c r="D320" i="7"/>
  <c r="D336" i="7"/>
  <c r="D352" i="7"/>
  <c r="D368" i="7"/>
  <c r="D384" i="7"/>
  <c r="D400" i="7"/>
  <c r="D416" i="7"/>
  <c r="D432" i="7"/>
  <c r="D448" i="7"/>
  <c r="D464" i="7"/>
  <c r="D480" i="7"/>
  <c r="D496" i="7"/>
  <c r="D512" i="7"/>
  <c r="D528" i="7"/>
  <c r="D544" i="7"/>
  <c r="D560" i="7"/>
  <c r="D576" i="7"/>
  <c r="D592" i="7"/>
  <c r="D608" i="7"/>
  <c r="D624" i="7"/>
  <c r="D640" i="7"/>
  <c r="D656" i="7"/>
  <c r="D672" i="7"/>
  <c r="D688" i="7"/>
  <c r="D704" i="7"/>
  <c r="D720" i="7"/>
  <c r="D736" i="7"/>
  <c r="D752" i="7"/>
  <c r="D768" i="7"/>
  <c r="D784" i="7"/>
  <c r="D800" i="7"/>
  <c r="D816" i="7"/>
  <c r="D832" i="7"/>
  <c r="D848" i="7"/>
  <c r="D864" i="7"/>
  <c r="D880" i="7"/>
  <c r="D896" i="7"/>
  <c r="D132" i="7"/>
  <c r="D260" i="7"/>
  <c r="D62" i="7"/>
  <c r="D174" i="7"/>
  <c r="D286" i="7"/>
  <c r="D542" i="7"/>
  <c r="D17" i="7"/>
  <c r="D33" i="7"/>
  <c r="D49" i="7"/>
  <c r="D65" i="7"/>
  <c r="D81" i="7"/>
  <c r="D97" i="7"/>
  <c r="D113" i="7"/>
  <c r="D129" i="7"/>
  <c r="D145" i="7"/>
  <c r="D161" i="7"/>
  <c r="D177" i="7"/>
  <c r="D193" i="7"/>
  <c r="D209" i="7"/>
  <c r="D225" i="7"/>
  <c r="D241" i="7"/>
  <c r="D257" i="7"/>
  <c r="D273" i="7"/>
  <c r="D289" i="7"/>
  <c r="D305" i="7"/>
  <c r="D321" i="7"/>
  <c r="D337" i="7"/>
  <c r="D353" i="7"/>
  <c r="D369" i="7"/>
  <c r="D385" i="7"/>
  <c r="D401" i="7"/>
  <c r="D417" i="7"/>
  <c r="D433" i="7"/>
  <c r="D449" i="7"/>
  <c r="D465" i="7"/>
  <c r="D481" i="7"/>
  <c r="D497" i="7"/>
  <c r="D513" i="7"/>
  <c r="D529" i="7"/>
  <c r="D545" i="7"/>
  <c r="D561" i="7"/>
  <c r="D577" i="7"/>
  <c r="D593" i="7"/>
  <c r="D609" i="7"/>
  <c r="D625" i="7"/>
  <c r="D641" i="7"/>
  <c r="D657" i="7"/>
  <c r="D673" i="7"/>
  <c r="D689" i="7"/>
  <c r="D705" i="7"/>
  <c r="D721" i="7"/>
  <c r="D737" i="7"/>
  <c r="D753" i="7"/>
  <c r="D769" i="7"/>
  <c r="D785" i="7"/>
  <c r="D801" i="7"/>
  <c r="D817" i="7"/>
  <c r="D833" i="7"/>
  <c r="D849" i="7"/>
  <c r="D865" i="7"/>
  <c r="D881" i="7"/>
  <c r="D897" i="7"/>
  <c r="D913" i="7"/>
  <c r="D929" i="7"/>
  <c r="D945" i="7"/>
  <c r="D961" i="7"/>
  <c r="D977" i="7"/>
  <c r="D993" i="7"/>
  <c r="D1009" i="7"/>
  <c r="D1025" i="7"/>
  <c r="D1041" i="7"/>
  <c r="D1057" i="7"/>
  <c r="D1073" i="7"/>
  <c r="D1089" i="7"/>
  <c r="D1105" i="7"/>
  <c r="D1121" i="7"/>
  <c r="D1137" i="7"/>
  <c r="D1153" i="7"/>
  <c r="D1169" i="7"/>
  <c r="D1185" i="7"/>
  <c r="D100" i="7"/>
  <c r="D212" i="7"/>
  <c r="D78" i="7"/>
  <c r="D190" i="7"/>
  <c r="D302" i="7"/>
  <c r="D526" i="7"/>
  <c r="D18" i="7"/>
  <c r="D34" i="7"/>
  <c r="D50" i="7"/>
  <c r="D66" i="7"/>
  <c r="D82" i="7"/>
  <c r="D98" i="7"/>
  <c r="D114" i="7"/>
  <c r="D130" i="7"/>
  <c r="D146" i="7"/>
  <c r="D162" i="7"/>
  <c r="D178" i="7"/>
  <c r="D194" i="7"/>
  <c r="D210" i="7"/>
  <c r="D226" i="7"/>
  <c r="D242" i="7"/>
  <c r="D258" i="7"/>
  <c r="D274" i="7"/>
  <c r="D290" i="7"/>
  <c r="D306" i="7"/>
  <c r="D322" i="7"/>
  <c r="D338" i="7"/>
  <c r="D354" i="7"/>
  <c r="D370" i="7"/>
  <c r="D386" i="7"/>
  <c r="D402" i="7"/>
  <c r="D418" i="7"/>
  <c r="D434" i="7"/>
  <c r="D450" i="7"/>
  <c r="D466" i="7"/>
  <c r="D482" i="7"/>
  <c r="D498" i="7"/>
  <c r="D514" i="7"/>
  <c r="D530" i="7"/>
  <c r="D546" i="7"/>
  <c r="D562" i="7"/>
  <c r="D578" i="7"/>
  <c r="D594" i="7"/>
  <c r="D610" i="7"/>
  <c r="D626" i="7"/>
  <c r="D642" i="7"/>
  <c r="D658" i="7"/>
  <c r="D674" i="7"/>
  <c r="D690" i="7"/>
  <c r="D706" i="7"/>
  <c r="D722" i="7"/>
  <c r="D738" i="7"/>
  <c r="D754" i="7"/>
  <c r="D770" i="7"/>
  <c r="D786" i="7"/>
  <c r="D802" i="7"/>
  <c r="D818" i="7"/>
  <c r="D834" i="7"/>
  <c r="D850" i="7"/>
  <c r="D866" i="7"/>
  <c r="D882" i="7"/>
  <c r="D898" i="7"/>
  <c r="D914" i="7"/>
  <c r="D930" i="7"/>
  <c r="D946" i="7"/>
  <c r="D962" i="7"/>
  <c r="D978" i="7"/>
  <c r="D994" i="7"/>
  <c r="D1010" i="7"/>
  <c r="D1026" i="7"/>
  <c r="D1042" i="7"/>
  <c r="D1058" i="7"/>
  <c r="D1074" i="7"/>
  <c r="D1090" i="7"/>
  <c r="D1106" i="7"/>
  <c r="D1122" i="7"/>
  <c r="D1138" i="7"/>
  <c r="D1154" i="7"/>
  <c r="D1170" i="7"/>
  <c r="D20" i="7"/>
  <c r="D148" i="7"/>
  <c r="D228" i="7"/>
  <c r="D126" i="7"/>
  <c r="D366" i="7"/>
  <c r="D19" i="7"/>
  <c r="D35" i="7"/>
  <c r="D51" i="7"/>
  <c r="D67" i="7"/>
  <c r="D83" i="7"/>
  <c r="D99" i="7"/>
  <c r="D115" i="7"/>
  <c r="D131" i="7"/>
  <c r="D147" i="7"/>
  <c r="D163" i="7"/>
  <c r="D179" i="7"/>
  <c r="D195" i="7"/>
  <c r="D211" i="7"/>
  <c r="D227" i="7"/>
  <c r="D243" i="7"/>
  <c r="D259" i="7"/>
  <c r="D275" i="7"/>
  <c r="D291" i="7"/>
  <c r="D307" i="7"/>
  <c r="D323" i="7"/>
  <c r="D339" i="7"/>
  <c r="D355" i="7"/>
  <c r="D371" i="7"/>
  <c r="D387" i="7"/>
  <c r="D403" i="7"/>
  <c r="D419" i="7"/>
  <c r="D435" i="7"/>
  <c r="D451" i="7"/>
  <c r="D467" i="7"/>
  <c r="D483" i="7"/>
  <c r="D499" i="7"/>
  <c r="D515" i="7"/>
  <c r="D531" i="7"/>
  <c r="D547" i="7"/>
  <c r="D563" i="7"/>
  <c r="D579" i="7"/>
  <c r="D595" i="7"/>
  <c r="D611" i="7"/>
  <c r="D627" i="7"/>
  <c r="D643" i="7"/>
  <c r="D659" i="7"/>
  <c r="D675" i="7"/>
  <c r="D691" i="7"/>
  <c r="D707" i="7"/>
  <c r="D723" i="7"/>
  <c r="D739" i="7"/>
  <c r="D755" i="7"/>
  <c r="D771" i="7"/>
  <c r="D787" i="7"/>
  <c r="D803" i="7"/>
  <c r="D819" i="7"/>
  <c r="D835" i="7"/>
  <c r="D851" i="7"/>
  <c r="D867" i="7"/>
  <c r="D883" i="7"/>
  <c r="D899" i="7"/>
  <c r="D915" i="7"/>
  <c r="D931" i="7"/>
  <c r="D947" i="7"/>
  <c r="D963" i="7"/>
  <c r="D979" i="7"/>
  <c r="D995" i="7"/>
  <c r="D1011" i="7"/>
  <c r="D1027" i="7"/>
  <c r="D1043" i="7"/>
  <c r="D1059" i="7"/>
  <c r="D1075" i="7"/>
  <c r="D1091" i="7"/>
  <c r="D1107" i="7"/>
  <c r="D1123" i="7"/>
  <c r="D1139" i="7"/>
  <c r="D1155" i="7"/>
  <c r="D1171" i="7"/>
  <c r="D1187" i="7"/>
  <c r="D1203" i="7"/>
  <c r="D1219" i="7"/>
  <c r="D1235" i="7"/>
  <c r="D1251" i="7"/>
  <c r="D1267" i="7"/>
  <c r="D1283" i="7"/>
  <c r="D1299" i="7"/>
  <c r="D1315" i="7"/>
  <c r="D1331" i="7"/>
  <c r="D1347" i="7"/>
  <c r="D1363" i="7"/>
  <c r="D1379" i="7"/>
  <c r="D1395" i="7"/>
  <c r="D1411" i="7"/>
  <c r="D1427" i="7"/>
  <c r="D1443" i="7"/>
  <c r="D1459" i="7"/>
  <c r="D1475" i="7"/>
  <c r="D1491" i="7"/>
  <c r="D1507" i="7"/>
  <c r="D1523" i="7"/>
  <c r="D1539" i="7"/>
  <c r="D1555" i="7"/>
  <c r="D1571" i="7"/>
  <c r="D1587" i="7"/>
  <c r="D1603" i="7"/>
  <c r="D1619" i="7"/>
  <c r="D1635" i="7"/>
  <c r="D1651" i="7"/>
  <c r="D1667" i="7"/>
  <c r="D1683" i="7"/>
  <c r="D1699" i="7"/>
  <c r="D1715" i="7"/>
  <c r="D1731" i="7"/>
  <c r="D1747" i="7"/>
  <c r="D1763" i="7"/>
  <c r="D1779" i="7"/>
  <c r="D1795" i="7"/>
  <c r="D1811" i="7"/>
  <c r="D1827" i="7"/>
  <c r="D1843" i="7"/>
  <c r="D1859" i="7"/>
  <c r="D1875" i="7"/>
  <c r="D1891" i="7"/>
  <c r="D1907" i="7"/>
  <c r="D1923" i="7"/>
  <c r="D1939" i="7"/>
  <c r="D1955" i="7"/>
  <c r="D1971" i="7"/>
  <c r="D1987" i="7"/>
  <c r="D2003" i="7"/>
  <c r="D2019" i="7"/>
  <c r="D2035" i="7"/>
  <c r="D2051" i="7"/>
  <c r="D2067" i="7"/>
  <c r="D2083" i="7"/>
  <c r="D2099" i="7"/>
  <c r="D2115" i="7"/>
  <c r="D2131" i="7"/>
  <c r="D2147" i="7"/>
  <c r="D2163" i="7"/>
  <c r="D2179" i="7"/>
  <c r="D2195" i="7"/>
  <c r="D2211" i="7"/>
  <c r="D2227" i="7"/>
  <c r="D2243" i="7"/>
  <c r="D2259" i="7"/>
  <c r="D2275" i="7"/>
  <c r="D2291" i="7"/>
  <c r="D2307" i="7"/>
  <c r="D2323" i="7"/>
  <c r="D2339" i="7"/>
  <c r="D2355" i="7"/>
  <c r="D2371" i="7"/>
  <c r="D2387" i="7"/>
  <c r="D2403" i="7"/>
  <c r="D2419" i="7"/>
  <c r="D2435" i="7"/>
  <c r="D2451" i="7"/>
  <c r="D2467" i="7"/>
  <c r="D2483" i="7"/>
  <c r="D2499" i="7"/>
  <c r="D2515" i="7"/>
  <c r="D2531" i="7"/>
  <c r="D2547" i="7"/>
  <c r="D2563" i="7"/>
  <c r="D2579" i="7"/>
  <c r="D2595" i="7"/>
  <c r="D2611" i="7"/>
  <c r="D2627" i="7"/>
  <c r="D2643" i="7"/>
  <c r="D2659" i="7"/>
  <c r="D2675" i="7"/>
  <c r="D2691" i="7"/>
  <c r="D2707" i="7"/>
  <c r="D2723" i="7"/>
  <c r="D2739" i="7"/>
  <c r="D2755" i="7"/>
  <c r="D2771" i="7"/>
  <c r="D2787" i="7"/>
  <c r="D2803" i="7"/>
  <c r="D2819" i="7"/>
  <c r="D2835" i="7"/>
  <c r="D2851" i="7"/>
  <c r="D2867" i="7"/>
  <c r="D2883" i="7"/>
  <c r="D2899" i="7"/>
  <c r="D2915" i="7"/>
  <c r="D2931" i="7"/>
  <c r="D2947" i="7"/>
  <c r="D2963" i="7"/>
  <c r="D2979" i="7"/>
  <c r="D2995" i="7"/>
  <c r="D3011" i="7"/>
  <c r="D3027" i="7"/>
  <c r="D3043" i="7"/>
  <c r="D3059" i="7"/>
  <c r="D3075" i="7"/>
  <c r="D3091" i="7"/>
  <c r="D3107" i="7"/>
  <c r="D3123" i="7"/>
  <c r="D3139" i="7"/>
  <c r="D116" i="7"/>
  <c r="D164" i="7"/>
  <c r="D196" i="7"/>
  <c r="D308" i="7"/>
  <c r="D404" i="7"/>
  <c r="D452" i="7"/>
  <c r="D468" i="7"/>
  <c r="D516" i="7"/>
  <c r="D532" i="7"/>
  <c r="D548" i="7"/>
  <c r="D564" i="7"/>
  <c r="D580" i="7"/>
  <c r="D596" i="7"/>
  <c r="D612" i="7"/>
  <c r="D628" i="7"/>
  <c r="D644" i="7"/>
  <c r="D660" i="7"/>
  <c r="D676" i="7"/>
  <c r="D692" i="7"/>
  <c r="D708" i="7"/>
  <c r="D724" i="7"/>
  <c r="D756" i="7"/>
  <c r="D772" i="7"/>
  <c r="D788" i="7"/>
  <c r="D804" i="7"/>
  <c r="D820" i="7"/>
  <c r="D836" i="7"/>
  <c r="D852" i="7"/>
  <c r="D884" i="7"/>
  <c r="D900" i="7"/>
  <c r="D916" i="7"/>
  <c r="D932" i="7"/>
  <c r="D948" i="7"/>
  <c r="D964" i="7"/>
  <c r="D980" i="7"/>
  <c r="D996" i="7"/>
  <c r="D1012" i="7"/>
  <c r="D1060" i="7"/>
  <c r="D1108" i="7"/>
  <c r="D1284" i="7"/>
  <c r="D436" i="7"/>
  <c r="D84" i="7"/>
  <c r="D276" i="7"/>
  <c r="D500" i="7"/>
  <c r="D1028" i="7"/>
  <c r="D38" i="7"/>
  <c r="D102" i="7"/>
  <c r="D166" i="7"/>
  <c r="D198" i="7"/>
  <c r="D214" i="7"/>
  <c r="D230" i="7"/>
  <c r="D246" i="7"/>
  <c r="D262" i="7"/>
  <c r="D278" i="7"/>
  <c r="D294" i="7"/>
  <c r="D310" i="7"/>
  <c r="D326" i="7"/>
  <c r="D342" i="7"/>
  <c r="D358" i="7"/>
  <c r="D374" i="7"/>
  <c r="D390" i="7"/>
  <c r="D406" i="7"/>
  <c r="D422" i="7"/>
  <c r="D438" i="7"/>
  <c r="D454" i="7"/>
  <c r="D470" i="7"/>
  <c r="D486" i="7"/>
  <c r="D502" i="7"/>
  <c r="D518" i="7"/>
  <c r="D534" i="7"/>
  <c r="D550" i="7"/>
  <c r="D566" i="7"/>
  <c r="D582" i="7"/>
  <c r="D598" i="7"/>
  <c r="D614" i="7"/>
  <c r="D630" i="7"/>
  <c r="D646" i="7"/>
  <c r="D662" i="7"/>
  <c r="D678" i="7"/>
  <c r="D694" i="7"/>
  <c r="D710" i="7"/>
  <c r="D726" i="7"/>
  <c r="D742" i="7"/>
  <c r="D758" i="7"/>
  <c r="D774" i="7"/>
  <c r="D790" i="7"/>
  <c r="D806" i="7"/>
  <c r="D822" i="7"/>
  <c r="D838" i="7"/>
  <c r="D854" i="7"/>
  <c r="D870" i="7"/>
  <c r="D886" i="7"/>
  <c r="D902" i="7"/>
  <c r="D918" i="7"/>
  <c r="D934" i="7"/>
  <c r="D950" i="7"/>
  <c r="D966" i="7"/>
  <c r="D982" i="7"/>
  <c r="D998" i="7"/>
  <c r="D1014" i="7"/>
  <c r="D1030" i="7"/>
  <c r="D1046" i="7"/>
  <c r="D1062" i="7"/>
  <c r="D1078" i="7"/>
  <c r="D1094" i="7"/>
  <c r="D1110" i="7"/>
  <c r="D1126" i="7"/>
  <c r="D1142" i="7"/>
  <c r="D1158" i="7"/>
  <c r="D1174" i="7"/>
  <c r="D1190" i="7"/>
  <c r="D1206" i="7"/>
  <c r="D1222" i="7"/>
  <c r="D1238" i="7"/>
  <c r="D1254" i="7"/>
  <c r="D1270" i="7"/>
  <c r="D1286" i="7"/>
  <c r="D1302" i="7"/>
  <c r="D1318" i="7"/>
  <c r="D1334" i="7"/>
  <c r="D1350" i="7"/>
  <c r="D1366" i="7"/>
  <c r="D1382" i="7"/>
  <c r="D1398" i="7"/>
  <c r="D1414" i="7"/>
  <c r="D1430" i="7"/>
  <c r="D1446" i="7"/>
  <c r="D1462" i="7"/>
  <c r="D1478" i="7"/>
  <c r="D1494" i="7"/>
  <c r="D1510" i="7"/>
  <c r="D1526" i="7"/>
  <c r="D1542" i="7"/>
  <c r="D1558" i="7"/>
  <c r="D1574" i="7"/>
  <c r="D1590" i="7"/>
  <c r="D1606" i="7"/>
  <c r="D1622" i="7"/>
  <c r="D1638" i="7"/>
  <c r="D1654" i="7"/>
  <c r="D1670" i="7"/>
  <c r="D1686" i="7"/>
  <c r="D1702" i="7"/>
  <c r="D1718" i="7"/>
  <c r="D1734" i="7"/>
  <c r="D1750" i="7"/>
  <c r="D1766" i="7"/>
  <c r="D1782" i="7"/>
  <c r="D1798" i="7"/>
  <c r="D1814" i="7"/>
  <c r="D340" i="7"/>
  <c r="D868" i="7"/>
  <c r="D118" i="7"/>
  <c r="D7" i="7"/>
  <c r="D55" i="7"/>
  <c r="D103" i="7"/>
  <c r="D119" i="7"/>
  <c r="D151" i="7"/>
  <c r="D183" i="7"/>
  <c r="D199" i="7"/>
  <c r="D215" i="7"/>
  <c r="D231" i="7"/>
  <c r="D263" i="7"/>
  <c r="D279" i="7"/>
  <c r="D295" i="7"/>
  <c r="D311" i="7"/>
  <c r="D327" i="7"/>
  <c r="D343" i="7"/>
  <c r="D359" i="7"/>
  <c r="D375" i="7"/>
  <c r="D391" i="7"/>
  <c r="D407" i="7"/>
  <c r="D423" i="7"/>
  <c r="D439" i="7"/>
  <c r="D455" i="7"/>
  <c r="D471" i="7"/>
  <c r="D487" i="7"/>
  <c r="D503" i="7"/>
  <c r="D519" i="7"/>
  <c r="D535" i="7"/>
  <c r="D551" i="7"/>
  <c r="D567" i="7"/>
  <c r="D583" i="7"/>
  <c r="D599" i="7"/>
  <c r="D615" i="7"/>
  <c r="D631" i="7"/>
  <c r="D647" i="7"/>
  <c r="D663" i="7"/>
  <c r="D679" i="7"/>
  <c r="D695" i="7"/>
  <c r="D711" i="7"/>
  <c r="D727" i="7"/>
  <c r="D743" i="7"/>
  <c r="D759" i="7"/>
  <c r="D775" i="7"/>
  <c r="D791" i="7"/>
  <c r="D807" i="7"/>
  <c r="D823" i="7"/>
  <c r="D839" i="7"/>
  <c r="D388" i="7"/>
  <c r="D1076" i="7"/>
  <c r="D22" i="7"/>
  <c r="D86" i="7"/>
  <c r="D150" i="7"/>
  <c r="D39" i="7"/>
  <c r="D87" i="7"/>
  <c r="D135" i="7"/>
  <c r="D247" i="7"/>
  <c r="D8" i="7"/>
  <c r="D24" i="7"/>
  <c r="D40" i="7"/>
  <c r="D324" i="7"/>
  <c r="D1092" i="7"/>
  <c r="D70" i="7"/>
  <c r="D134" i="7"/>
  <c r="D71" i="7"/>
  <c r="D167" i="7"/>
  <c r="D9" i="7"/>
  <c r="D25" i="7"/>
  <c r="D41" i="7"/>
  <c r="D57" i="7"/>
  <c r="D73" i="7"/>
  <c r="D89" i="7"/>
  <c r="D105" i="7"/>
  <c r="D121" i="7"/>
  <c r="D137" i="7"/>
  <c r="D153" i="7"/>
  <c r="D169" i="7"/>
  <c r="D185" i="7"/>
  <c r="D201" i="7"/>
  <c r="D217" i="7"/>
  <c r="D233" i="7"/>
  <c r="D249" i="7"/>
  <c r="D265" i="7"/>
  <c r="D281" i="7"/>
  <c r="D297" i="7"/>
  <c r="D313" i="7"/>
  <c r="D329" i="7"/>
  <c r="D372" i="7"/>
  <c r="D1044" i="7"/>
  <c r="D54" i="7"/>
  <c r="D182" i="7"/>
  <c r="D23" i="7"/>
  <c r="D10" i="7"/>
  <c r="D26" i="7"/>
  <c r="D42" i="7"/>
  <c r="D58" i="7"/>
  <c r="D74" i="7"/>
  <c r="D90" i="7"/>
  <c r="D106" i="7"/>
  <c r="D122" i="7"/>
  <c r="D138" i="7"/>
  <c r="D154" i="7"/>
  <c r="D170" i="7"/>
  <c r="D186" i="7"/>
  <c r="D202" i="7"/>
  <c r="D218" i="7"/>
  <c r="D234" i="7"/>
  <c r="D250" i="7"/>
  <c r="D266" i="7"/>
  <c r="D282" i="7"/>
  <c r="D298" i="7"/>
  <c r="D314" i="7"/>
  <c r="D330" i="7"/>
  <c r="D346" i="7"/>
  <c r="D362" i="7"/>
  <c r="D378" i="7"/>
  <c r="D394" i="7"/>
  <c r="D410" i="7"/>
  <c r="D426" i="7"/>
  <c r="D442" i="7"/>
  <c r="D458" i="7"/>
  <c r="D474" i="7"/>
  <c r="D490" i="7"/>
  <c r="D506" i="7"/>
  <c r="D522" i="7"/>
  <c r="D538" i="7"/>
  <c r="D554" i="7"/>
  <c r="D570" i="7"/>
  <c r="D586" i="7"/>
  <c r="D602" i="7"/>
  <c r="D618" i="7"/>
  <c r="D634" i="7"/>
  <c r="D650" i="7"/>
  <c r="D52" i="7"/>
  <c r="D292" i="7"/>
  <c r="D740" i="7"/>
  <c r="D11" i="7"/>
  <c r="D27" i="7"/>
  <c r="D43" i="7"/>
  <c r="D59" i="7"/>
  <c r="D75" i="7"/>
  <c r="D91" i="7"/>
  <c r="D107" i="7"/>
  <c r="D123" i="7"/>
  <c r="D139" i="7"/>
  <c r="D155" i="7"/>
  <c r="D171" i="7"/>
  <c r="D187" i="7"/>
  <c r="D203" i="7"/>
  <c r="D219" i="7"/>
  <c r="D235" i="7"/>
  <c r="D251" i="7"/>
  <c r="D267" i="7"/>
  <c r="D283" i="7"/>
  <c r="D299" i="7"/>
  <c r="D315" i="7"/>
  <c r="D331" i="7"/>
  <c r="D347" i="7"/>
  <c r="D363" i="7"/>
  <c r="D379" i="7"/>
  <c r="D395" i="7"/>
  <c r="D411" i="7"/>
  <c r="D427" i="7"/>
  <c r="D443" i="7"/>
  <c r="D459" i="7"/>
  <c r="D475" i="7"/>
  <c r="D491" i="7"/>
  <c r="D507" i="7"/>
  <c r="D523" i="7"/>
  <c r="D539" i="7"/>
  <c r="D555" i="7"/>
  <c r="D571" i="7"/>
  <c r="D587" i="7"/>
  <c r="D603" i="7"/>
  <c r="D619" i="7"/>
  <c r="D635" i="7"/>
  <c r="D651" i="7"/>
  <c r="D667" i="7"/>
  <c r="D683" i="7"/>
  <c r="D699" i="7"/>
  <c r="D715" i="7"/>
  <c r="D731" i="7"/>
  <c r="D747" i="7"/>
  <c r="D763" i="7"/>
  <c r="D779" i="7"/>
  <c r="D795" i="7"/>
  <c r="D811" i="7"/>
  <c r="D827" i="7"/>
  <c r="D843" i="7"/>
  <c r="D859" i="7"/>
  <c r="D875" i="7"/>
  <c r="D891" i="7"/>
  <c r="D907" i="7"/>
  <c r="D923" i="7"/>
  <c r="D939" i="7"/>
  <c r="D955" i="7"/>
  <c r="D971" i="7"/>
  <c r="D987" i="7"/>
  <c r="D1003" i="7"/>
  <c r="D1019" i="7"/>
  <c r="D1035" i="7"/>
  <c r="D1051" i="7"/>
  <c r="D1067" i="7"/>
  <c r="D1083" i="7"/>
  <c r="D1099" i="7"/>
  <c r="D1115" i="7"/>
  <c r="D1131" i="7"/>
  <c r="D1147" i="7"/>
  <c r="D1163" i="7"/>
  <c r="D1179" i="7"/>
  <c r="D1195" i="7"/>
  <c r="D1211" i="7"/>
  <c r="D1227" i="7"/>
  <c r="D1243" i="7"/>
  <c r="D1259" i="7"/>
  <c r="D1275" i="7"/>
  <c r="D1291" i="7"/>
  <c r="D1307" i="7"/>
  <c r="D1323" i="7"/>
  <c r="D1339" i="7"/>
  <c r="D1355" i="7"/>
  <c r="D1371" i="7"/>
  <c r="D1387" i="7"/>
  <c r="D1403" i="7"/>
  <c r="D1419" i="7"/>
  <c r="D1435" i="7"/>
  <c r="D1451" i="7"/>
  <c r="D1467" i="7"/>
  <c r="D1483" i="7"/>
  <c r="D1499" i="7"/>
  <c r="D1515" i="7"/>
  <c r="D1531" i="7"/>
  <c r="D1547" i="7"/>
  <c r="D1563" i="7"/>
  <c r="D1579" i="7"/>
  <c r="D1595" i="7"/>
  <c r="D1611" i="7"/>
  <c r="D1627" i="7"/>
  <c r="D1643" i="7"/>
  <c r="D1659" i="7"/>
  <c r="D1675" i="7"/>
  <c r="D1691" i="7"/>
  <c r="D1707" i="7"/>
  <c r="D1723" i="7"/>
  <c r="D1739" i="7"/>
  <c r="D1755" i="7"/>
  <c r="D1771" i="7"/>
  <c r="D1787" i="7"/>
  <c r="D1803" i="7"/>
  <c r="D1819" i="7"/>
  <c r="D1835" i="7"/>
  <c r="D1851" i="7"/>
  <c r="D1867" i="7"/>
  <c r="D1883" i="7"/>
  <c r="D1899" i="7"/>
  <c r="D1915" i="7"/>
  <c r="D1931" i="7"/>
  <c r="D1947" i="7"/>
  <c r="D1963" i="7"/>
  <c r="D1979" i="7"/>
  <c r="D1995" i="7"/>
  <c r="D2011" i="7"/>
  <c r="D2027" i="7"/>
  <c r="D2043" i="7"/>
  <c r="D2059" i="7"/>
  <c r="D2075" i="7"/>
  <c r="D2091" i="7"/>
  <c r="D2107" i="7"/>
  <c r="D2123" i="7"/>
  <c r="D2139" i="7"/>
  <c r="D2155" i="7"/>
  <c r="D2171" i="7"/>
  <c r="D2187" i="7"/>
  <c r="D2203" i="7"/>
  <c r="D2219" i="7"/>
  <c r="D2235" i="7"/>
  <c r="D2251" i="7"/>
  <c r="D2267" i="7"/>
  <c r="D2283" i="7"/>
  <c r="D2299" i="7"/>
  <c r="D2315" i="7"/>
  <c r="D2331" i="7"/>
  <c r="D2347" i="7"/>
  <c r="D2363" i="7"/>
  <c r="D2379" i="7"/>
  <c r="D2395" i="7"/>
  <c r="D2411" i="7"/>
  <c r="D2427" i="7"/>
  <c r="D2443" i="7"/>
  <c r="D2459" i="7"/>
  <c r="D2475" i="7"/>
  <c r="D2491" i="7"/>
  <c r="D2507" i="7"/>
  <c r="D2523" i="7"/>
  <c r="D2539" i="7"/>
  <c r="D2555" i="7"/>
  <c r="D2571" i="7"/>
  <c r="D2587" i="7"/>
  <c r="D2603" i="7"/>
  <c r="D2619" i="7"/>
  <c r="D2635" i="7"/>
  <c r="D2651" i="7"/>
  <c r="D2667" i="7"/>
  <c r="D2683" i="7"/>
  <c r="D2699" i="7"/>
  <c r="D2715" i="7"/>
  <c r="D2731" i="7"/>
  <c r="D2747" i="7"/>
  <c r="D2763" i="7"/>
  <c r="D2779" i="7"/>
  <c r="D2795" i="7"/>
  <c r="D2811" i="7"/>
  <c r="D2827" i="7"/>
  <c r="D2843" i="7"/>
  <c r="D2859" i="7"/>
  <c r="D2875" i="7"/>
  <c r="D2891" i="7"/>
  <c r="D2907" i="7"/>
  <c r="D2923" i="7"/>
  <c r="D2939" i="7"/>
  <c r="D2955" i="7"/>
  <c r="D2971" i="7"/>
  <c r="D2987" i="7"/>
  <c r="D3003" i="7"/>
  <c r="D3019" i="7"/>
  <c r="D3035" i="7"/>
  <c r="D3051" i="7"/>
  <c r="D3067" i="7"/>
  <c r="D3083" i="7"/>
  <c r="D3099" i="7"/>
  <c r="D3115" i="7"/>
  <c r="D3131" i="7"/>
  <c r="D3371" i="7"/>
  <c r="D4667" i="7"/>
  <c r="D180" i="7"/>
  <c r="D484" i="7"/>
  <c r="D1599" i="7"/>
  <c r="D1615" i="7"/>
  <c r="D1631" i="7"/>
  <c r="D1647" i="7"/>
  <c r="D1663" i="7"/>
  <c r="D1679" i="7"/>
  <c r="D1695" i="7"/>
  <c r="D1711" i="7"/>
  <c r="D1727" i="7"/>
  <c r="D1743" i="7"/>
  <c r="D1759" i="7"/>
  <c r="D1775" i="7"/>
  <c r="D1791" i="7"/>
  <c r="D1807" i="7"/>
  <c r="D1823" i="7"/>
  <c r="D1839" i="7"/>
  <c r="D1855" i="7"/>
  <c r="D1871" i="7"/>
  <c r="D1887" i="7"/>
  <c r="D1903" i="7"/>
  <c r="D1919" i="7"/>
  <c r="D1935" i="7"/>
  <c r="D1951" i="7"/>
  <c r="D1967" i="7"/>
  <c r="D1983" i="7"/>
  <c r="D1999" i="7"/>
  <c r="D2015" i="7"/>
  <c r="D2031" i="7"/>
  <c r="D2047" i="7"/>
  <c r="D2063" i="7"/>
  <c r="D2079" i="7"/>
  <c r="D2095" i="7"/>
  <c r="D2111" i="7"/>
  <c r="D2127" i="7"/>
  <c r="D2143" i="7"/>
  <c r="D2159" i="7"/>
  <c r="D2175" i="7"/>
  <c r="D2191" i="7"/>
  <c r="D2207" i="7"/>
  <c r="D2223" i="7"/>
  <c r="D2239" i="7"/>
  <c r="D2255" i="7"/>
  <c r="D2271" i="7"/>
  <c r="D2287" i="7"/>
  <c r="D2303" i="7"/>
  <c r="D2319" i="7"/>
  <c r="D2335" i="7"/>
  <c r="D2351" i="7"/>
  <c r="D2367" i="7"/>
  <c r="D2383" i="7"/>
  <c r="D2399" i="7"/>
  <c r="D2415" i="7"/>
  <c r="D2431" i="7"/>
  <c r="D2447" i="7"/>
  <c r="D2463" i="7"/>
  <c r="D2479" i="7"/>
  <c r="D2495" i="7"/>
  <c r="D2511" i="7"/>
  <c r="D2527" i="7"/>
  <c r="D2543" i="7"/>
  <c r="D2559" i="7"/>
  <c r="D2575" i="7"/>
  <c r="D2591" i="7"/>
  <c r="D2607" i="7"/>
  <c r="D2623" i="7"/>
  <c r="D2639" i="7"/>
  <c r="D2655" i="7"/>
  <c r="D2671" i="7"/>
  <c r="D2687" i="7"/>
  <c r="D2703" i="7"/>
  <c r="D2719" i="7"/>
  <c r="D2735" i="7"/>
  <c r="D2751" i="7"/>
  <c r="D2767" i="7"/>
  <c r="D2783" i="7"/>
  <c r="D2799" i="7"/>
  <c r="D2815" i="7"/>
  <c r="D2831" i="7"/>
  <c r="D2847" i="7"/>
  <c r="D2863" i="7"/>
  <c r="D2879" i="7"/>
  <c r="D2895" i="7"/>
  <c r="D2911" i="7"/>
  <c r="D2927" i="7"/>
  <c r="D2943" i="7"/>
  <c r="D2959" i="7"/>
  <c r="D2975" i="7"/>
  <c r="D2991" i="7"/>
  <c r="D3007" i="7"/>
  <c r="D3023" i="7"/>
  <c r="D3039" i="7"/>
  <c r="D3055" i="7"/>
  <c r="D3071" i="7"/>
  <c r="D3087" i="7"/>
  <c r="D3103" i="7"/>
  <c r="D3119" i="7"/>
  <c r="D3135" i="7"/>
  <c r="D3151" i="7"/>
  <c r="D3167" i="7"/>
  <c r="D3183" i="7"/>
  <c r="D3199" i="7"/>
  <c r="D3215" i="7"/>
  <c r="D3231" i="7"/>
  <c r="D3247" i="7"/>
  <c r="D3263" i="7"/>
  <c r="D3279" i="7"/>
  <c r="D3295" i="7"/>
  <c r="D3311" i="7"/>
  <c r="D3327" i="7"/>
  <c r="D3343" i="7"/>
  <c r="D3359" i="7"/>
  <c r="D3375" i="7"/>
  <c r="D3391" i="7"/>
  <c r="D3407" i="7"/>
  <c r="D3423" i="7"/>
  <c r="D3439" i="7"/>
  <c r="D3455" i="7"/>
  <c r="D3471" i="7"/>
  <c r="D3487" i="7"/>
  <c r="D3503" i="7"/>
  <c r="D3519" i="7"/>
  <c r="D3535" i="7"/>
  <c r="D3551" i="7"/>
  <c r="D3567" i="7"/>
  <c r="D3583" i="7"/>
  <c r="D3599" i="7"/>
  <c r="D3615" i="7"/>
  <c r="D3631" i="7"/>
  <c r="D3647" i="7"/>
  <c r="D3663" i="7"/>
  <c r="D3679" i="7"/>
  <c r="D3695" i="7"/>
  <c r="D3711" i="7"/>
  <c r="D3727" i="7"/>
  <c r="D3743" i="7"/>
  <c r="D3759" i="7"/>
  <c r="D3775" i="7"/>
  <c r="D3791" i="7"/>
  <c r="D3807" i="7"/>
  <c r="D3823" i="7"/>
  <c r="D3839" i="7"/>
  <c r="D3855" i="7"/>
  <c r="D3871" i="7"/>
  <c r="D3887" i="7"/>
  <c r="D3903" i="7"/>
  <c r="D3919" i="7"/>
  <c r="D3935" i="7"/>
  <c r="D3951" i="7"/>
  <c r="D3967" i="7"/>
  <c r="D3983" i="7"/>
  <c r="D912" i="7"/>
  <c r="D928" i="7"/>
  <c r="D944" i="7"/>
  <c r="D960" i="7"/>
  <c r="D976" i="7"/>
  <c r="D992" i="7"/>
  <c r="D1008" i="7"/>
  <c r="D1024" i="7"/>
  <c r="D1040" i="7"/>
  <c r="D1056" i="7"/>
  <c r="D1072" i="7"/>
  <c r="D1088" i="7"/>
  <c r="D1104" i="7"/>
  <c r="D1120" i="7"/>
  <c r="D1136" i="7"/>
  <c r="D1152" i="7"/>
  <c r="D1168" i="7"/>
  <c r="D1184" i="7"/>
  <c r="D1200" i="7"/>
  <c r="D1216" i="7"/>
  <c r="D1232" i="7"/>
  <c r="D1248" i="7"/>
  <c r="D1264" i="7"/>
  <c r="D1280" i="7"/>
  <c r="D1296" i="7"/>
  <c r="D1312" i="7"/>
  <c r="D1328" i="7"/>
  <c r="D1344" i="7"/>
  <c r="D1360" i="7"/>
  <c r="D1376" i="7"/>
  <c r="D1392" i="7"/>
  <c r="D1408" i="7"/>
  <c r="D1424" i="7"/>
  <c r="D1440" i="7"/>
  <c r="D1456" i="7"/>
  <c r="D1472" i="7"/>
  <c r="D1488" i="7"/>
  <c r="D1504" i="7"/>
  <c r="D1520" i="7"/>
  <c r="D1536" i="7"/>
  <c r="D1552" i="7"/>
  <c r="D1568" i="7"/>
  <c r="D1584" i="7"/>
  <c r="D1600" i="7"/>
  <c r="D1616" i="7"/>
  <c r="D1632" i="7"/>
  <c r="D1648" i="7"/>
  <c r="D1664" i="7"/>
  <c r="D1680" i="7"/>
  <c r="D1696" i="7"/>
  <c r="D1712" i="7"/>
  <c r="D1728" i="7"/>
  <c r="D1744" i="7"/>
  <c r="D1760" i="7"/>
  <c r="D1776" i="7"/>
  <c r="D1792" i="7"/>
  <c r="D1808" i="7"/>
  <c r="D1824" i="7"/>
  <c r="D1840" i="7"/>
  <c r="D1856" i="7"/>
  <c r="D1872" i="7"/>
  <c r="D1888" i="7"/>
  <c r="D1904" i="7"/>
  <c r="D1920" i="7"/>
  <c r="D1936" i="7"/>
  <c r="D1952" i="7"/>
  <c r="D1968" i="7"/>
  <c r="D1984" i="7"/>
  <c r="D2000" i="7"/>
  <c r="D2016" i="7"/>
  <c r="D2032" i="7"/>
  <c r="D2048" i="7"/>
  <c r="D2064" i="7"/>
  <c r="D2080" i="7"/>
  <c r="D2096" i="7"/>
  <c r="D2112" i="7"/>
  <c r="D2128" i="7"/>
  <c r="D2144" i="7"/>
  <c r="D2160" i="7"/>
  <c r="D2176" i="7"/>
  <c r="D2192" i="7"/>
  <c r="D2208" i="7"/>
  <c r="D2224" i="7"/>
  <c r="D2240" i="7"/>
  <c r="D2256" i="7"/>
  <c r="D2272" i="7"/>
  <c r="D2288" i="7"/>
  <c r="D2304" i="7"/>
  <c r="D2320" i="7"/>
  <c r="D2336" i="7"/>
  <c r="D2352" i="7"/>
  <c r="D2368" i="7"/>
  <c r="D2384" i="7"/>
  <c r="D2400" i="7"/>
  <c r="D2416" i="7"/>
  <c r="D2432" i="7"/>
  <c r="D2448" i="7"/>
  <c r="D2464" i="7"/>
  <c r="D2480" i="7"/>
  <c r="D2496" i="7"/>
  <c r="D2512" i="7"/>
  <c r="D2528" i="7"/>
  <c r="D2544" i="7"/>
  <c r="D2560" i="7"/>
  <c r="D2576" i="7"/>
  <c r="D2592" i="7"/>
  <c r="D2608" i="7"/>
  <c r="D2624" i="7"/>
  <c r="D2640" i="7"/>
  <c r="D2656" i="7"/>
  <c r="D2672" i="7"/>
  <c r="D2688" i="7"/>
  <c r="D2704" i="7"/>
  <c r="D2720" i="7"/>
  <c r="D2736" i="7"/>
  <c r="D2752" i="7"/>
  <c r="D2768" i="7"/>
  <c r="D2784" i="7"/>
  <c r="D2800" i="7"/>
  <c r="D2816" i="7"/>
  <c r="D2832" i="7"/>
  <c r="D2848" i="7"/>
  <c r="D2864" i="7"/>
  <c r="D2880" i="7"/>
  <c r="D2896" i="7"/>
  <c r="D2912" i="7"/>
  <c r="D2928" i="7"/>
  <c r="D2944" i="7"/>
  <c r="D2960" i="7"/>
  <c r="D2976" i="7"/>
  <c r="D2992" i="7"/>
  <c r="D3008" i="7"/>
  <c r="D3024" i="7"/>
  <c r="D3040" i="7"/>
  <c r="D3056" i="7"/>
  <c r="D3072" i="7"/>
  <c r="D3088" i="7"/>
  <c r="D3104" i="7"/>
  <c r="D3120" i="7"/>
  <c r="D3136" i="7"/>
  <c r="D3152" i="7"/>
  <c r="D3168" i="7"/>
  <c r="D3184" i="7"/>
  <c r="D3200" i="7"/>
  <c r="D3216" i="7"/>
  <c r="D3232" i="7"/>
  <c r="D3248" i="7"/>
  <c r="D3264" i="7"/>
  <c r="D3280" i="7"/>
  <c r="D3296" i="7"/>
  <c r="D3312" i="7"/>
  <c r="D3328" i="7"/>
  <c r="D3344" i="7"/>
  <c r="D3360" i="7"/>
  <c r="D3376" i="7"/>
  <c r="D3392" i="7"/>
  <c r="D3408" i="7"/>
  <c r="D3424" i="7"/>
  <c r="D3440" i="7"/>
  <c r="D3456" i="7"/>
  <c r="D3472" i="7"/>
  <c r="D3488" i="7"/>
  <c r="D3504" i="7"/>
  <c r="D3520" i="7"/>
  <c r="D3536" i="7"/>
  <c r="D3552" i="7"/>
  <c r="D3568" i="7"/>
  <c r="D3584" i="7"/>
  <c r="D3600" i="7"/>
  <c r="D3616" i="7"/>
  <c r="D3632" i="7"/>
  <c r="D3648" i="7"/>
  <c r="D3664" i="7"/>
  <c r="D3680" i="7"/>
  <c r="D3696" i="7"/>
  <c r="D3712" i="7"/>
  <c r="D3728" i="7"/>
  <c r="D1201" i="7"/>
  <c r="D1217" i="7"/>
  <c r="D1233" i="7"/>
  <c r="D1249" i="7"/>
  <c r="D1265" i="7"/>
  <c r="D1281" i="7"/>
  <c r="D1297" i="7"/>
  <c r="D1313" i="7"/>
  <c r="D1329" i="7"/>
  <c r="D1345" i="7"/>
  <c r="D1361" i="7"/>
  <c r="D1377" i="7"/>
  <c r="D1393" i="7"/>
  <c r="D1409" i="7"/>
  <c r="D1425" i="7"/>
  <c r="D1441" i="7"/>
  <c r="D1457" i="7"/>
  <c r="D1473" i="7"/>
  <c r="D1489" i="7"/>
  <c r="D1505" i="7"/>
  <c r="D1521" i="7"/>
  <c r="D1537" i="7"/>
  <c r="D1553" i="7"/>
  <c r="D1569" i="7"/>
  <c r="D1585" i="7"/>
  <c r="D1601" i="7"/>
  <c r="D1617" i="7"/>
  <c r="D1633" i="7"/>
  <c r="D1649" i="7"/>
  <c r="D1665" i="7"/>
  <c r="D1681" i="7"/>
  <c r="D1697" i="7"/>
  <c r="D1713" i="7"/>
  <c r="D1729" i="7"/>
  <c r="D1745" i="7"/>
  <c r="D1761" i="7"/>
  <c r="D1777" i="7"/>
  <c r="D1793" i="7"/>
  <c r="D1809" i="7"/>
  <c r="D1825" i="7"/>
  <c r="D1841" i="7"/>
  <c r="D1857" i="7"/>
  <c r="D1873" i="7"/>
  <c r="D1889" i="7"/>
  <c r="D1905" i="7"/>
  <c r="D1921" i="7"/>
  <c r="D1937" i="7"/>
  <c r="D1953" i="7"/>
  <c r="D1969" i="7"/>
  <c r="D1985" i="7"/>
  <c r="D2001" i="7"/>
  <c r="D2017" i="7"/>
  <c r="D2033" i="7"/>
  <c r="D2049" i="7"/>
  <c r="D2065" i="7"/>
  <c r="D2081" i="7"/>
  <c r="D2097" i="7"/>
  <c r="D2113" i="7"/>
  <c r="D2129" i="7"/>
  <c r="D2145" i="7"/>
  <c r="D2161" i="7"/>
  <c r="D2177" i="7"/>
  <c r="D2193" i="7"/>
  <c r="D2209" i="7"/>
  <c r="D2225" i="7"/>
  <c r="D2241" i="7"/>
  <c r="D2257" i="7"/>
  <c r="D2273" i="7"/>
  <c r="D2289" i="7"/>
  <c r="D2305" i="7"/>
  <c r="D2321" i="7"/>
  <c r="D2337" i="7"/>
  <c r="D2353" i="7"/>
  <c r="D2369" i="7"/>
  <c r="D2385" i="7"/>
  <c r="D2401" i="7"/>
  <c r="D2417" i="7"/>
  <c r="D2433" i="7"/>
  <c r="D2449" i="7"/>
  <c r="D2465" i="7"/>
  <c r="D2481" i="7"/>
  <c r="D2497" i="7"/>
  <c r="D2513" i="7"/>
  <c r="D2529" i="7"/>
  <c r="D2545" i="7"/>
  <c r="D2561" i="7"/>
  <c r="D2577" i="7"/>
  <c r="D2593" i="7"/>
  <c r="D2609" i="7"/>
  <c r="D2625" i="7"/>
  <c r="D2641" i="7"/>
  <c r="D2657" i="7"/>
  <c r="D2673" i="7"/>
  <c r="D2689" i="7"/>
  <c r="D2705" i="7"/>
  <c r="D2721" i="7"/>
  <c r="D2737" i="7"/>
  <c r="D2753" i="7"/>
  <c r="D2769" i="7"/>
  <c r="D2785" i="7"/>
  <c r="D2801" i="7"/>
  <c r="D2817" i="7"/>
  <c r="D2833" i="7"/>
  <c r="D2849" i="7"/>
  <c r="D2865" i="7"/>
  <c r="D2881" i="7"/>
  <c r="D2897" i="7"/>
  <c r="D2913" i="7"/>
  <c r="D2929" i="7"/>
  <c r="D2945" i="7"/>
  <c r="D2961" i="7"/>
  <c r="D2977" i="7"/>
  <c r="D2993" i="7"/>
  <c r="D3009" i="7"/>
  <c r="D3025" i="7"/>
  <c r="D3041" i="7"/>
  <c r="D3057" i="7"/>
  <c r="D3073" i="7"/>
  <c r="D3089" i="7"/>
  <c r="D3105" i="7"/>
  <c r="D3121" i="7"/>
  <c r="D3137" i="7"/>
  <c r="D3153" i="7"/>
  <c r="D3169" i="7"/>
  <c r="D3185" i="7"/>
  <c r="D3201" i="7"/>
  <c r="D3217" i="7"/>
  <c r="D3233" i="7"/>
  <c r="D3249" i="7"/>
  <c r="D3265" i="7"/>
  <c r="D3281" i="7"/>
  <c r="D3297" i="7"/>
  <c r="D3313" i="7"/>
  <c r="D3329" i="7"/>
  <c r="D3345" i="7"/>
  <c r="D3361" i="7"/>
  <c r="D3377" i="7"/>
  <c r="D3393" i="7"/>
  <c r="D3409" i="7"/>
  <c r="D3425" i="7"/>
  <c r="D3441" i="7"/>
  <c r="D3457" i="7"/>
  <c r="D3473" i="7"/>
  <c r="D3489" i="7"/>
  <c r="D3505" i="7"/>
  <c r="D3521" i="7"/>
  <c r="D3537" i="7"/>
  <c r="D3553" i="7"/>
  <c r="D3569" i="7"/>
  <c r="D3585" i="7"/>
  <c r="D3601" i="7"/>
  <c r="D3617" i="7"/>
  <c r="D3633" i="7"/>
  <c r="D3649" i="7"/>
  <c r="D3665" i="7"/>
  <c r="D3681" i="7"/>
  <c r="D3697" i="7"/>
  <c r="D3713" i="7"/>
  <c r="D3729" i="7"/>
  <c r="D3745" i="7"/>
  <c r="D3761" i="7"/>
  <c r="D3777" i="7"/>
  <c r="D3793" i="7"/>
  <c r="D3809" i="7"/>
  <c r="D3825" i="7"/>
  <c r="D3841" i="7"/>
  <c r="D3857" i="7"/>
  <c r="D3873" i="7"/>
  <c r="D3889" i="7"/>
  <c r="D3905" i="7"/>
  <c r="D3921" i="7"/>
  <c r="D3937" i="7"/>
  <c r="D3953" i="7"/>
  <c r="D3969" i="7"/>
  <c r="D3985" i="7"/>
  <c r="D4001" i="7"/>
  <c r="D4017" i="7"/>
  <c r="D4033" i="7"/>
  <c r="D4049" i="7"/>
  <c r="D4065" i="7"/>
  <c r="D4081" i="7"/>
  <c r="D4097" i="7"/>
  <c r="D4113" i="7"/>
  <c r="D4129" i="7"/>
  <c r="D4145" i="7"/>
  <c r="D4161" i="7"/>
  <c r="D4177" i="7"/>
  <c r="D4193" i="7"/>
  <c r="D4209" i="7"/>
  <c r="D4225" i="7"/>
  <c r="D4241" i="7"/>
  <c r="D4257" i="7"/>
  <c r="D4273" i="7"/>
  <c r="D4289" i="7"/>
  <c r="D4305" i="7"/>
  <c r="D4321" i="7"/>
  <c r="D4337" i="7"/>
  <c r="D4353" i="7"/>
  <c r="D4369" i="7"/>
  <c r="D4385" i="7"/>
  <c r="D4401" i="7"/>
  <c r="D4417" i="7"/>
  <c r="D4433" i="7"/>
  <c r="D4449" i="7"/>
  <c r="D4465" i="7"/>
  <c r="D4481" i="7"/>
  <c r="D4497" i="7"/>
  <c r="D4513" i="7"/>
  <c r="D4529" i="7"/>
  <c r="D4545" i="7"/>
  <c r="D4561" i="7"/>
  <c r="D4577" i="7"/>
  <c r="D4593" i="7"/>
  <c r="D4609" i="7"/>
  <c r="D4625" i="7"/>
  <c r="D4657" i="7"/>
  <c r="D4721" i="7"/>
  <c r="D4865" i="7"/>
  <c r="D1186" i="7"/>
  <c r="D1202" i="7"/>
  <c r="D1218" i="7"/>
  <c r="D1234" i="7"/>
  <c r="D1250" i="7"/>
  <c r="D1266" i="7"/>
  <c r="D1282" i="7"/>
  <c r="D1298" i="7"/>
  <c r="D1314" i="7"/>
  <c r="D1330" i="7"/>
  <c r="D1346" i="7"/>
  <c r="D1362" i="7"/>
  <c r="D1378" i="7"/>
  <c r="D1394" i="7"/>
  <c r="D1410" i="7"/>
  <c r="D1426" i="7"/>
  <c r="D1442" i="7"/>
  <c r="D1458" i="7"/>
  <c r="D1474" i="7"/>
  <c r="D1490" i="7"/>
  <c r="D1506" i="7"/>
  <c r="D1522" i="7"/>
  <c r="D1538" i="7"/>
  <c r="D1554" i="7"/>
  <c r="D1570" i="7"/>
  <c r="D1586" i="7"/>
  <c r="D1602" i="7"/>
  <c r="D1618" i="7"/>
  <c r="D1634" i="7"/>
  <c r="D1650" i="7"/>
  <c r="D1666" i="7"/>
  <c r="D1682" i="7"/>
  <c r="D1698" i="7"/>
  <c r="D1714" i="7"/>
  <c r="D1730" i="7"/>
  <c r="D1746" i="7"/>
  <c r="D1762" i="7"/>
  <c r="D1778" i="7"/>
  <c r="D1794" i="7"/>
  <c r="D1810" i="7"/>
  <c r="D1826" i="7"/>
  <c r="D1842" i="7"/>
  <c r="D1858" i="7"/>
  <c r="D1874" i="7"/>
  <c r="D1890" i="7"/>
  <c r="D1906" i="7"/>
  <c r="D1922" i="7"/>
  <c r="D1938" i="7"/>
  <c r="D1954" i="7"/>
  <c r="D1970" i="7"/>
  <c r="D1986" i="7"/>
  <c r="D2002" i="7"/>
  <c r="D2018" i="7"/>
  <c r="D2034" i="7"/>
  <c r="D2050" i="7"/>
  <c r="D2066" i="7"/>
  <c r="D2082" i="7"/>
  <c r="D2098" i="7"/>
  <c r="D2114" i="7"/>
  <c r="D2130" i="7"/>
  <c r="D2146" i="7"/>
  <c r="D2162" i="7"/>
  <c r="D2178" i="7"/>
  <c r="D2194" i="7"/>
  <c r="D2210" i="7"/>
  <c r="D2226" i="7"/>
  <c r="D2242" i="7"/>
  <c r="D2258" i="7"/>
  <c r="D2274" i="7"/>
  <c r="D2290" i="7"/>
  <c r="D2306" i="7"/>
  <c r="D2322" i="7"/>
  <c r="D2338" i="7"/>
  <c r="D2354" i="7"/>
  <c r="D2370" i="7"/>
  <c r="D2386" i="7"/>
  <c r="D2402" i="7"/>
  <c r="D2418" i="7"/>
  <c r="D2434" i="7"/>
  <c r="D2450" i="7"/>
  <c r="D2466" i="7"/>
  <c r="D2482" i="7"/>
  <c r="D2498" i="7"/>
  <c r="D2514" i="7"/>
  <c r="D2530" i="7"/>
  <c r="D2546" i="7"/>
  <c r="D2562" i="7"/>
  <c r="D2578" i="7"/>
  <c r="D2594" i="7"/>
  <c r="D2610" i="7"/>
  <c r="D2626" i="7"/>
  <c r="D2642" i="7"/>
  <c r="D2658" i="7"/>
  <c r="D2674" i="7"/>
  <c r="D2690" i="7"/>
  <c r="D2706" i="7"/>
  <c r="D2722" i="7"/>
  <c r="D2738" i="7"/>
  <c r="D2754" i="7"/>
  <c r="D2770" i="7"/>
  <c r="D2786" i="7"/>
  <c r="D2802" i="7"/>
  <c r="D2818" i="7"/>
  <c r="D2834" i="7"/>
  <c r="D2850" i="7"/>
  <c r="D2866" i="7"/>
  <c r="D2882" i="7"/>
  <c r="D2898" i="7"/>
  <c r="D2914" i="7"/>
  <c r="D2930" i="7"/>
  <c r="D2946" i="7"/>
  <c r="D2962" i="7"/>
  <c r="D2978" i="7"/>
  <c r="D2994" i="7"/>
  <c r="D3010" i="7"/>
  <c r="D3026" i="7"/>
  <c r="D3042" i="7"/>
  <c r="D3058" i="7"/>
  <c r="D3074" i="7"/>
  <c r="D3090" i="7"/>
  <c r="D3106" i="7"/>
  <c r="D3122" i="7"/>
  <c r="D3138" i="7"/>
  <c r="D3154" i="7"/>
  <c r="D3170" i="7"/>
  <c r="D3186" i="7"/>
  <c r="D3202" i="7"/>
  <c r="D3218" i="7"/>
  <c r="D3234" i="7"/>
  <c r="D3250" i="7"/>
  <c r="D3266" i="7"/>
  <c r="D3282" i="7"/>
  <c r="D3298" i="7"/>
  <c r="D3314" i="7"/>
  <c r="D3330" i="7"/>
  <c r="D3346" i="7"/>
  <c r="D3362" i="7"/>
  <c r="D3378" i="7"/>
  <c r="D3394" i="7"/>
  <c r="D3410" i="7"/>
  <c r="D3426" i="7"/>
  <c r="D3442" i="7"/>
  <c r="D3458" i="7"/>
  <c r="D3474" i="7"/>
  <c r="D3490" i="7"/>
  <c r="D3506" i="7"/>
  <c r="D3522" i="7"/>
  <c r="D3538" i="7"/>
  <c r="D3554" i="7"/>
  <c r="D3570" i="7"/>
  <c r="D3586" i="7"/>
  <c r="D3602" i="7"/>
  <c r="D3618" i="7"/>
  <c r="D3634" i="7"/>
  <c r="D3650" i="7"/>
  <c r="D3666" i="7"/>
  <c r="D3682" i="7"/>
  <c r="D3698" i="7"/>
  <c r="D3714" i="7"/>
  <c r="D3730" i="7"/>
  <c r="D3746" i="7"/>
  <c r="D3762" i="7"/>
  <c r="D3778" i="7"/>
  <c r="D3794" i="7"/>
  <c r="D3810" i="7"/>
  <c r="D3826" i="7"/>
  <c r="D3842" i="7"/>
  <c r="D3858" i="7"/>
  <c r="D3874" i="7"/>
  <c r="D3890" i="7"/>
  <c r="D3906" i="7"/>
  <c r="D3922" i="7"/>
  <c r="D3938" i="7"/>
  <c r="D3954" i="7"/>
  <c r="D3970" i="7"/>
  <c r="D3986" i="7"/>
  <c r="D4002" i="7"/>
  <c r="D4018" i="7"/>
  <c r="D4034" i="7"/>
  <c r="D4050" i="7"/>
  <c r="D4066" i="7"/>
  <c r="D4082" i="7"/>
  <c r="D4098" i="7"/>
  <c r="D4114" i="7"/>
  <c r="D4130" i="7"/>
  <c r="D4146" i="7"/>
  <c r="D4162" i="7"/>
  <c r="D4178" i="7"/>
  <c r="D4194" i="7"/>
  <c r="D4210" i="7"/>
  <c r="D4226" i="7"/>
  <c r="D4242" i="7"/>
  <c r="D4258" i="7"/>
  <c r="D4274" i="7"/>
  <c r="D4290" i="7"/>
  <c r="D4306" i="7"/>
  <c r="D4322" i="7"/>
  <c r="D4338" i="7"/>
  <c r="D4354" i="7"/>
  <c r="D4370" i="7"/>
  <c r="D4386" i="7"/>
  <c r="D4402" i="7"/>
  <c r="D4418" i="7"/>
  <c r="D4434" i="7"/>
  <c r="D4450" i="7"/>
  <c r="D4466" i="7"/>
  <c r="D4482" i="7"/>
  <c r="D4498" i="7"/>
  <c r="D4514" i="7"/>
  <c r="D4530" i="7"/>
  <c r="D4546" i="7"/>
  <c r="D4562" i="7"/>
  <c r="D4578" i="7"/>
  <c r="D4594" i="7"/>
  <c r="D4610" i="7"/>
  <c r="D4626" i="7"/>
  <c r="D4642" i="7"/>
  <c r="D4658" i="7"/>
  <c r="D4674" i="7"/>
  <c r="D4690" i="7"/>
  <c r="D4706" i="7"/>
  <c r="D4722" i="7"/>
  <c r="D4738" i="7"/>
  <c r="D4754" i="7"/>
  <c r="D4770" i="7"/>
  <c r="D4818" i="7"/>
  <c r="D4882" i="7"/>
  <c r="D3155" i="7"/>
  <c r="D3171" i="7"/>
  <c r="D3187" i="7"/>
  <c r="D3203" i="7"/>
  <c r="D3219" i="7"/>
  <c r="D3235" i="7"/>
  <c r="D3251" i="7"/>
  <c r="D3267" i="7"/>
  <c r="D3283" i="7"/>
  <c r="D3299" i="7"/>
  <c r="D3315" i="7"/>
  <c r="D3331" i="7"/>
  <c r="D3347" i="7"/>
  <c r="D3363" i="7"/>
  <c r="D3379" i="7"/>
  <c r="D3395" i="7"/>
  <c r="D3411" i="7"/>
  <c r="D3427" i="7"/>
  <c r="D3443" i="7"/>
  <c r="D3459" i="7"/>
  <c r="D3475" i="7"/>
  <c r="D3491" i="7"/>
  <c r="D3507" i="7"/>
  <c r="D3523" i="7"/>
  <c r="D3539" i="7"/>
  <c r="D3555" i="7"/>
  <c r="D3571" i="7"/>
  <c r="D3587" i="7"/>
  <c r="D3603" i="7"/>
  <c r="D3619" i="7"/>
  <c r="D3635" i="7"/>
  <c r="D3651" i="7"/>
  <c r="D3667" i="7"/>
  <c r="D3683" i="7"/>
  <c r="D3699" i="7"/>
  <c r="D3715" i="7"/>
  <c r="D3731" i="7"/>
  <c r="D3747" i="7"/>
  <c r="D3763" i="7"/>
  <c r="D3779" i="7"/>
  <c r="D3795" i="7"/>
  <c r="D3811" i="7"/>
  <c r="D3827" i="7"/>
  <c r="D3843" i="7"/>
  <c r="D1124" i="7"/>
  <c r="D1140" i="7"/>
  <c r="D1156" i="7"/>
  <c r="D1172" i="7"/>
  <c r="D1188" i="7"/>
  <c r="D1204" i="7"/>
  <c r="D1220" i="7"/>
  <c r="D1236" i="7"/>
  <c r="D1252" i="7"/>
  <c r="D1268" i="7"/>
  <c r="D1300" i="7"/>
  <c r="D1316" i="7"/>
  <c r="D1332" i="7"/>
  <c r="D1348" i="7"/>
  <c r="D1364" i="7"/>
  <c r="D1380" i="7"/>
  <c r="D1396" i="7"/>
  <c r="D1412" i="7"/>
  <c r="D1428" i="7"/>
  <c r="D1444" i="7"/>
  <c r="D1460" i="7"/>
  <c r="D1476" i="7"/>
  <c r="D1492" i="7"/>
  <c r="D1508" i="7"/>
  <c r="D1524" i="7"/>
  <c r="D1540" i="7"/>
  <c r="D1556" i="7"/>
  <c r="D1572" i="7"/>
  <c r="D1588" i="7"/>
  <c r="D1604" i="7"/>
  <c r="D1620" i="7"/>
  <c r="D1636" i="7"/>
  <c r="D1652" i="7"/>
  <c r="D1668" i="7"/>
  <c r="D1684" i="7"/>
  <c r="D1700" i="7"/>
  <c r="D1716" i="7"/>
  <c r="D1732" i="7"/>
  <c r="D1748" i="7"/>
  <c r="D1764" i="7"/>
  <c r="D1780" i="7"/>
  <c r="D1796" i="7"/>
  <c r="D1812" i="7"/>
  <c r="D1828" i="7"/>
  <c r="D1844" i="7"/>
  <c r="D1860" i="7"/>
  <c r="D1876" i="7"/>
  <c r="D1892" i="7"/>
  <c r="D1908" i="7"/>
  <c r="D1924" i="7"/>
  <c r="D1940" i="7"/>
  <c r="D1956" i="7"/>
  <c r="D1972" i="7"/>
  <c r="D1988" i="7"/>
  <c r="D2004" i="7"/>
  <c r="D2020" i="7"/>
  <c r="D2036" i="7"/>
  <c r="D2052" i="7"/>
  <c r="D2068" i="7"/>
  <c r="D2084" i="7"/>
  <c r="D2100" i="7"/>
  <c r="D2116" i="7"/>
  <c r="D2132" i="7"/>
  <c r="D2148" i="7"/>
  <c r="D2164" i="7"/>
  <c r="D2180" i="7"/>
  <c r="D2196" i="7"/>
  <c r="D2212" i="7"/>
  <c r="D2228" i="7"/>
  <c r="D2244" i="7"/>
  <c r="D2260" i="7"/>
  <c r="D2276" i="7"/>
  <c r="D2292" i="7"/>
  <c r="D2308" i="7"/>
  <c r="D2324" i="7"/>
  <c r="D2340" i="7"/>
  <c r="D2356" i="7"/>
  <c r="D2372" i="7"/>
  <c r="D2388" i="7"/>
  <c r="D2404" i="7"/>
  <c r="D2420" i="7"/>
  <c r="D2436" i="7"/>
  <c r="D2452" i="7"/>
  <c r="D2468" i="7"/>
  <c r="D2484" i="7"/>
  <c r="D2500" i="7"/>
  <c r="D2516" i="7"/>
  <c r="D2532" i="7"/>
  <c r="D2548" i="7"/>
  <c r="D2564" i="7"/>
  <c r="D2580" i="7"/>
  <c r="D2596" i="7"/>
  <c r="D2612" i="7"/>
  <c r="D2628" i="7"/>
  <c r="D2644" i="7"/>
  <c r="D2660" i="7"/>
  <c r="D2676" i="7"/>
  <c r="D2692" i="7"/>
  <c r="D2708" i="7"/>
  <c r="D2724" i="7"/>
  <c r="D2740" i="7"/>
  <c r="D2756" i="7"/>
  <c r="D2772" i="7"/>
  <c r="D2788" i="7"/>
  <c r="D2804" i="7"/>
  <c r="D2820" i="7"/>
  <c r="D2836" i="7"/>
  <c r="D2852" i="7"/>
  <c r="D2868" i="7"/>
  <c r="D2884" i="7"/>
  <c r="D2900" i="7"/>
  <c r="D2916" i="7"/>
  <c r="D2932" i="7"/>
  <c r="D2948" i="7"/>
  <c r="D2964" i="7"/>
  <c r="D2980" i="7"/>
  <c r="D2996" i="7"/>
  <c r="D3012" i="7"/>
  <c r="D3028" i="7"/>
  <c r="D3044" i="7"/>
  <c r="D3060" i="7"/>
  <c r="D3076" i="7"/>
  <c r="D3092" i="7"/>
  <c r="D3108" i="7"/>
  <c r="D3124" i="7"/>
  <c r="D3140" i="7"/>
  <c r="D3156" i="7"/>
  <c r="D3172" i="7"/>
  <c r="D3188" i="7"/>
  <c r="D3204" i="7"/>
  <c r="D3220" i="7"/>
  <c r="D3236" i="7"/>
  <c r="D3252" i="7"/>
  <c r="D3268" i="7"/>
  <c r="D3284" i="7"/>
  <c r="D3300" i="7"/>
  <c r="D3316" i="7"/>
  <c r="D3332" i="7"/>
  <c r="D3348" i="7"/>
  <c r="D3364" i="7"/>
  <c r="D3380" i="7"/>
  <c r="D3396" i="7"/>
  <c r="D3412" i="7"/>
  <c r="D3428" i="7"/>
  <c r="D3444" i="7"/>
  <c r="D3460" i="7"/>
  <c r="D3476" i="7"/>
  <c r="D3492" i="7"/>
  <c r="D3508" i="7"/>
  <c r="D3524" i="7"/>
  <c r="D3540" i="7"/>
  <c r="D3556" i="7"/>
  <c r="D3572" i="7"/>
  <c r="D3588" i="7"/>
  <c r="D3604" i="7"/>
  <c r="D3620" i="7"/>
  <c r="D3636" i="7"/>
  <c r="D3652" i="7"/>
  <c r="D3668" i="7"/>
  <c r="D3684" i="7"/>
  <c r="D3700" i="7"/>
  <c r="D3716" i="7"/>
  <c r="D3732" i="7"/>
  <c r="D3748" i="7"/>
  <c r="D3764" i="7"/>
  <c r="D3780" i="7"/>
  <c r="D3796" i="7"/>
  <c r="D3812" i="7"/>
  <c r="D3828" i="7"/>
  <c r="D3844" i="7"/>
  <c r="D3860" i="7"/>
  <c r="D3876" i="7"/>
  <c r="D3892" i="7"/>
  <c r="D3908" i="7"/>
  <c r="D3924" i="7"/>
  <c r="D3940" i="7"/>
  <c r="D3956" i="7"/>
  <c r="D3972" i="7"/>
  <c r="D3988" i="7"/>
  <c r="D4004" i="7"/>
  <c r="D4020" i="7"/>
  <c r="D4036" i="7"/>
  <c r="D4052" i="7"/>
  <c r="D4068" i="7"/>
  <c r="D4705" i="7"/>
  <c r="D4641" i="7"/>
  <c r="D21" i="7"/>
  <c r="D37" i="7"/>
  <c r="D53" i="7"/>
  <c r="D69" i="7"/>
  <c r="D85" i="7"/>
  <c r="D101" i="7"/>
  <c r="D117" i="7"/>
  <c r="D133" i="7"/>
  <c r="D149" i="7"/>
  <c r="D165" i="7"/>
  <c r="D181" i="7"/>
  <c r="D197" i="7"/>
  <c r="D213" i="7"/>
  <c r="D229" i="7"/>
  <c r="D245" i="7"/>
  <c r="D261" i="7"/>
  <c r="D277" i="7"/>
  <c r="D293" i="7"/>
  <c r="D309" i="7"/>
  <c r="D325" i="7"/>
  <c r="D341" i="7"/>
  <c r="D357" i="7"/>
  <c r="D373" i="7"/>
  <c r="D389" i="7"/>
  <c r="D405" i="7"/>
  <c r="D421" i="7"/>
  <c r="D437" i="7"/>
  <c r="D453" i="7"/>
  <c r="D469" i="7"/>
  <c r="D485" i="7"/>
  <c r="D501" i="7"/>
  <c r="D517" i="7"/>
  <c r="D533" i="7"/>
  <c r="D549" i="7"/>
  <c r="D565" i="7"/>
  <c r="D581" i="7"/>
  <c r="D597" i="7"/>
  <c r="D613" i="7"/>
  <c r="D629" i="7"/>
  <c r="D645" i="7"/>
  <c r="D661" i="7"/>
  <c r="D677" i="7"/>
  <c r="D693" i="7"/>
  <c r="D709" i="7"/>
  <c r="D725" i="7"/>
  <c r="D741" i="7"/>
  <c r="D757" i="7"/>
  <c r="D773" i="7"/>
  <c r="D789" i="7"/>
  <c r="D805" i="7"/>
  <c r="D821" i="7"/>
  <c r="D837" i="7"/>
  <c r="D853" i="7"/>
  <c r="D869" i="7"/>
  <c r="D885" i="7"/>
  <c r="D901" i="7"/>
  <c r="D917" i="7"/>
  <c r="D933" i="7"/>
  <c r="D949" i="7"/>
  <c r="D965" i="7"/>
  <c r="D981" i="7"/>
  <c r="D997" i="7"/>
  <c r="D1013" i="7"/>
  <c r="D1029" i="7"/>
  <c r="D1045" i="7"/>
  <c r="D1061" i="7"/>
  <c r="D1077" i="7"/>
  <c r="D1093" i="7"/>
  <c r="D1109" i="7"/>
  <c r="D1125" i="7"/>
  <c r="D1141" i="7"/>
  <c r="D1157" i="7"/>
  <c r="D1173" i="7"/>
  <c r="D1189" i="7"/>
  <c r="D1205" i="7"/>
  <c r="D1221" i="7"/>
  <c r="D1237" i="7"/>
  <c r="D1253" i="7"/>
  <c r="D1269" i="7"/>
  <c r="D1285" i="7"/>
  <c r="D1301" i="7"/>
  <c r="D1317" i="7"/>
  <c r="D1333" i="7"/>
  <c r="D1349" i="7"/>
  <c r="D1365" i="7"/>
  <c r="D1381" i="7"/>
  <c r="D1397" i="7"/>
  <c r="D1413" i="7"/>
  <c r="D1429" i="7"/>
  <c r="D1445" i="7"/>
  <c r="D1461" i="7"/>
  <c r="D1477" i="7"/>
  <c r="D1493" i="7"/>
  <c r="D1509" i="7"/>
  <c r="D1525" i="7"/>
  <c r="D1541" i="7"/>
  <c r="D1557" i="7"/>
  <c r="D1573" i="7"/>
  <c r="D1589" i="7"/>
  <c r="D1605" i="7"/>
  <c r="D1621" i="7"/>
  <c r="D1637" i="7"/>
  <c r="D1653" i="7"/>
  <c r="D1669" i="7"/>
  <c r="D1685" i="7"/>
  <c r="D1701" i="7"/>
  <c r="D1717" i="7"/>
  <c r="D1733" i="7"/>
  <c r="D1749" i="7"/>
  <c r="D1765" i="7"/>
  <c r="D1781" i="7"/>
  <c r="D1797" i="7"/>
  <c r="D1813" i="7"/>
  <c r="D1829" i="7"/>
  <c r="D1845" i="7"/>
  <c r="D1861" i="7"/>
  <c r="D1877" i="7"/>
  <c r="D1893" i="7"/>
  <c r="D1909" i="7"/>
  <c r="D1925" i="7"/>
  <c r="D1941" i="7"/>
  <c r="D1957" i="7"/>
  <c r="D1973" i="7"/>
  <c r="D1989" i="7"/>
  <c r="D2005" i="7"/>
  <c r="D2021" i="7"/>
  <c r="D2037" i="7"/>
  <c r="D2053" i="7"/>
  <c r="D2069" i="7"/>
  <c r="D2085" i="7"/>
  <c r="D2101" i="7"/>
  <c r="D2117" i="7"/>
  <c r="D2133" i="7"/>
  <c r="D2149" i="7"/>
  <c r="D2165" i="7"/>
  <c r="D2181" i="7"/>
  <c r="D2197" i="7"/>
  <c r="D2213" i="7"/>
  <c r="D2229" i="7"/>
  <c r="D2245" i="7"/>
  <c r="D2261" i="7"/>
  <c r="D2277" i="7"/>
  <c r="D2293" i="7"/>
  <c r="D2309" i="7"/>
  <c r="D2325" i="7"/>
  <c r="D2341" i="7"/>
  <c r="D2357" i="7"/>
  <c r="D2373" i="7"/>
  <c r="D2389" i="7"/>
  <c r="D2405" i="7"/>
  <c r="D2421" i="7"/>
  <c r="D2437" i="7"/>
  <c r="D2453" i="7"/>
  <c r="D2469" i="7"/>
  <c r="D2485" i="7"/>
  <c r="D2501" i="7"/>
  <c r="D2517" i="7"/>
  <c r="D2533" i="7"/>
  <c r="D2549" i="7"/>
  <c r="D2565" i="7"/>
  <c r="D2581" i="7"/>
  <c r="D2597" i="7"/>
  <c r="D2613" i="7"/>
  <c r="D2629" i="7"/>
  <c r="D2645" i="7"/>
  <c r="D2661" i="7"/>
  <c r="D2677" i="7"/>
  <c r="D2693" i="7"/>
  <c r="D2709" i="7"/>
  <c r="D2725" i="7"/>
  <c r="D2741" i="7"/>
  <c r="D2757" i="7"/>
  <c r="D2773" i="7"/>
  <c r="D2789" i="7"/>
  <c r="D2805" i="7"/>
  <c r="D2821" i="7"/>
  <c r="D2837" i="7"/>
  <c r="D2853" i="7"/>
  <c r="D2869" i="7"/>
  <c r="D2885" i="7"/>
  <c r="D2901" i="7"/>
  <c r="D2917" i="7"/>
  <c r="D2933" i="7"/>
  <c r="D2949" i="7"/>
  <c r="D2965" i="7"/>
  <c r="D2981" i="7"/>
  <c r="D2997" i="7"/>
  <c r="D3013" i="7"/>
  <c r="D3029" i="7"/>
  <c r="D3045" i="7"/>
  <c r="D3061" i="7"/>
  <c r="D3077" i="7"/>
  <c r="D3093" i="7"/>
  <c r="D3109" i="7"/>
  <c r="D3125" i="7"/>
  <c r="D3141" i="7"/>
  <c r="D3157" i="7"/>
  <c r="D3173" i="7"/>
  <c r="D3189" i="7"/>
  <c r="D3205" i="7"/>
  <c r="D3221" i="7"/>
  <c r="D3237" i="7"/>
  <c r="D3253" i="7"/>
  <c r="D3269" i="7"/>
  <c r="D3285" i="7"/>
  <c r="D3301" i="7"/>
  <c r="D3317" i="7"/>
  <c r="D3333" i="7"/>
  <c r="D3349" i="7"/>
  <c r="D3365" i="7"/>
  <c r="D3381" i="7"/>
  <c r="D3397" i="7"/>
  <c r="D3413" i="7"/>
  <c r="D3429" i="7"/>
  <c r="D3445" i="7"/>
  <c r="D3461" i="7"/>
  <c r="D3477" i="7"/>
  <c r="D3493" i="7"/>
  <c r="D3509" i="7"/>
  <c r="D3525" i="7"/>
  <c r="D3541" i="7"/>
  <c r="D3557" i="7"/>
  <c r="D3573" i="7"/>
  <c r="D3589" i="7"/>
  <c r="D3605" i="7"/>
  <c r="D3621" i="7"/>
  <c r="D1830" i="7"/>
  <c r="D1846" i="7"/>
  <c r="D1862" i="7"/>
  <c r="D1878" i="7"/>
  <c r="D1894" i="7"/>
  <c r="D1910" i="7"/>
  <c r="D1926" i="7"/>
  <c r="D1942" i="7"/>
  <c r="D1958" i="7"/>
  <c r="D1974" i="7"/>
  <c r="D1990" i="7"/>
  <c r="D2006" i="7"/>
  <c r="D2022" i="7"/>
  <c r="D2038" i="7"/>
  <c r="D2054" i="7"/>
  <c r="D2070" i="7"/>
  <c r="D2086" i="7"/>
  <c r="D2102" i="7"/>
  <c r="D2118" i="7"/>
  <c r="D2134" i="7"/>
  <c r="D2150" i="7"/>
  <c r="D2166" i="7"/>
  <c r="D2182" i="7"/>
  <c r="D2198" i="7"/>
  <c r="D2214" i="7"/>
  <c r="D2230" i="7"/>
  <c r="D2246" i="7"/>
  <c r="D2262" i="7"/>
  <c r="D2278" i="7"/>
  <c r="D2294" i="7"/>
  <c r="D2310" i="7"/>
  <c r="D2326" i="7"/>
  <c r="D2342" i="7"/>
  <c r="D2358" i="7"/>
  <c r="D2374" i="7"/>
  <c r="D2390" i="7"/>
  <c r="D2406" i="7"/>
  <c r="D2422" i="7"/>
  <c r="D2438" i="7"/>
  <c r="D2454" i="7"/>
  <c r="D2470" i="7"/>
  <c r="D2486" i="7"/>
  <c r="D2502" i="7"/>
  <c r="D2518" i="7"/>
  <c r="D2534" i="7"/>
  <c r="D2550" i="7"/>
  <c r="D2566" i="7"/>
  <c r="D2582" i="7"/>
  <c r="D2598" i="7"/>
  <c r="D2614" i="7"/>
  <c r="D2630" i="7"/>
  <c r="D2646" i="7"/>
  <c r="D2662" i="7"/>
  <c r="D2678" i="7"/>
  <c r="D2694" i="7"/>
  <c r="D2710" i="7"/>
  <c r="D2726" i="7"/>
  <c r="D2742" i="7"/>
  <c r="D2758" i="7"/>
  <c r="D2774" i="7"/>
  <c r="D2790" i="7"/>
  <c r="D2806" i="7"/>
  <c r="D2822" i="7"/>
  <c r="D2838" i="7"/>
  <c r="D2854" i="7"/>
  <c r="D2870" i="7"/>
  <c r="D2886" i="7"/>
  <c r="D2902" i="7"/>
  <c r="D2918" i="7"/>
  <c r="D2934" i="7"/>
  <c r="D2950" i="7"/>
  <c r="D2966" i="7"/>
  <c r="D2982" i="7"/>
  <c r="D2998" i="7"/>
  <c r="D3014" i="7"/>
  <c r="D3030" i="7"/>
  <c r="D3046" i="7"/>
  <c r="D3062" i="7"/>
  <c r="D3078" i="7"/>
  <c r="D3094" i="7"/>
  <c r="D3110" i="7"/>
  <c r="D3126" i="7"/>
  <c r="D3142" i="7"/>
  <c r="D3158" i="7"/>
  <c r="D3174" i="7"/>
  <c r="D3190" i="7"/>
  <c r="D3206" i="7"/>
  <c r="D3222" i="7"/>
  <c r="D3238" i="7"/>
  <c r="D3254" i="7"/>
  <c r="D3270" i="7"/>
  <c r="D3286" i="7"/>
  <c r="D3302" i="7"/>
  <c r="D3318" i="7"/>
  <c r="D3334" i="7"/>
  <c r="D3350" i="7"/>
  <c r="D3366" i="7"/>
  <c r="D3382" i="7"/>
  <c r="D3398" i="7"/>
  <c r="D3414" i="7"/>
  <c r="D3430" i="7"/>
  <c r="D3446" i="7"/>
  <c r="D3462" i="7"/>
  <c r="D3478" i="7"/>
  <c r="D3494" i="7"/>
  <c r="D3510" i="7"/>
  <c r="D3526" i="7"/>
  <c r="D3542" i="7"/>
  <c r="D3558" i="7"/>
  <c r="D3574" i="7"/>
  <c r="D3590" i="7"/>
  <c r="D3606" i="7"/>
  <c r="D3622" i="7"/>
  <c r="D3638" i="7"/>
  <c r="D3654" i="7"/>
  <c r="D3670" i="7"/>
  <c r="D3686" i="7"/>
  <c r="D3702" i="7"/>
  <c r="D3718" i="7"/>
  <c r="D3734" i="7"/>
  <c r="D3750" i="7"/>
  <c r="D3766" i="7"/>
  <c r="D3782" i="7"/>
  <c r="D3798" i="7"/>
  <c r="D3814" i="7"/>
  <c r="D3830" i="7"/>
  <c r="D3846" i="7"/>
  <c r="D3862" i="7"/>
  <c r="D3878" i="7"/>
  <c r="D3894" i="7"/>
  <c r="D3910" i="7"/>
  <c r="D3926" i="7"/>
  <c r="D3942" i="7"/>
  <c r="D3958" i="7"/>
  <c r="D3974" i="7"/>
  <c r="D3990" i="7"/>
  <c r="D4006" i="7"/>
  <c r="D4022" i="7"/>
  <c r="D4038" i="7"/>
  <c r="D4054" i="7"/>
  <c r="D4070" i="7"/>
  <c r="D4086" i="7"/>
  <c r="D4102" i="7"/>
  <c r="D4118" i="7"/>
  <c r="D4134" i="7"/>
  <c r="D4150" i="7"/>
  <c r="D4166" i="7"/>
  <c r="D4182" i="7"/>
  <c r="D4198" i="7"/>
  <c r="D4214" i="7"/>
  <c r="D4230" i="7"/>
  <c r="D4246" i="7"/>
  <c r="D4262" i="7"/>
  <c r="D4278" i="7"/>
  <c r="D4294" i="7"/>
  <c r="D4310" i="7"/>
  <c r="D4326" i="7"/>
  <c r="D4342" i="7"/>
  <c r="D4358" i="7"/>
  <c r="D4374" i="7"/>
  <c r="D4390" i="7"/>
  <c r="D4406" i="7"/>
  <c r="D4422" i="7"/>
  <c r="D4438" i="7"/>
  <c r="D4454" i="7"/>
  <c r="D4470" i="7"/>
  <c r="D4486" i="7"/>
  <c r="D4502" i="7"/>
  <c r="D4518" i="7"/>
  <c r="D4534" i="7"/>
  <c r="D4550" i="7"/>
  <c r="D4566" i="7"/>
  <c r="D4582" i="7"/>
  <c r="D4598" i="7"/>
  <c r="D4614" i="7"/>
  <c r="D4646" i="7"/>
  <c r="D4662" i="7"/>
  <c r="D4678" i="7"/>
  <c r="D4710" i="7"/>
  <c r="D4726" i="7"/>
  <c r="D4742" i="7"/>
  <c r="D4774" i="7"/>
  <c r="D4822" i="7"/>
  <c r="D4854" i="7"/>
  <c r="D4886" i="7"/>
  <c r="D4934" i="7"/>
  <c r="D4966" i="7"/>
  <c r="D4982" i="7"/>
  <c r="D4998" i="7"/>
  <c r="D4806" i="7"/>
  <c r="D855" i="7"/>
  <c r="D871" i="7"/>
  <c r="D887" i="7"/>
  <c r="D903" i="7"/>
  <c r="D919" i="7"/>
  <c r="D935" i="7"/>
  <c r="D951" i="7"/>
  <c r="D967" i="7"/>
  <c r="D983" i="7"/>
  <c r="D999" i="7"/>
  <c r="D1015" i="7"/>
  <c r="D1031" i="7"/>
  <c r="D1047" i="7"/>
  <c r="D1063" i="7"/>
  <c r="D1079" i="7"/>
  <c r="D1095" i="7"/>
  <c r="D1111" i="7"/>
  <c r="D1127" i="7"/>
  <c r="D1143" i="7"/>
  <c r="D1159" i="7"/>
  <c r="D1175" i="7"/>
  <c r="D1191" i="7"/>
  <c r="D1207" i="7"/>
  <c r="D1223" i="7"/>
  <c r="D1239" i="7"/>
  <c r="D1255" i="7"/>
  <c r="D1271" i="7"/>
  <c r="D1287" i="7"/>
  <c r="D1303" i="7"/>
  <c r="D1319" i="7"/>
  <c r="D1335" i="7"/>
  <c r="D1351" i="7"/>
  <c r="D1367" i="7"/>
  <c r="D1383" i="7"/>
  <c r="D1399" i="7"/>
  <c r="D1415" i="7"/>
  <c r="D1431" i="7"/>
  <c r="D1447" i="7"/>
  <c r="D1463" i="7"/>
  <c r="D1479" i="7"/>
  <c r="D1495" i="7"/>
  <c r="D1511" i="7"/>
  <c r="D1527" i="7"/>
  <c r="D1543" i="7"/>
  <c r="D1559" i="7"/>
  <c r="D1575" i="7"/>
  <c r="D1591" i="7"/>
  <c r="D1607" i="7"/>
  <c r="D1623" i="7"/>
  <c r="D1639" i="7"/>
  <c r="D1655" i="7"/>
  <c r="D1671" i="7"/>
  <c r="D1687" i="7"/>
  <c r="D1703" i="7"/>
  <c r="D1719" i="7"/>
  <c r="D1735" i="7"/>
  <c r="D1751" i="7"/>
  <c r="D1767" i="7"/>
  <c r="D1783" i="7"/>
  <c r="D1799" i="7"/>
  <c r="D1815" i="7"/>
  <c r="D1831" i="7"/>
  <c r="D1847" i="7"/>
  <c r="D1863" i="7"/>
  <c r="D1879" i="7"/>
  <c r="D1895" i="7"/>
  <c r="D1911" i="7"/>
  <c r="D1927" i="7"/>
  <c r="D1943" i="7"/>
  <c r="D1959" i="7"/>
  <c r="D1975" i="7"/>
  <c r="D1991" i="7"/>
  <c r="D2007" i="7"/>
  <c r="D2023" i="7"/>
  <c r="D2039" i="7"/>
  <c r="D2055" i="7"/>
  <c r="D2071" i="7"/>
  <c r="D2087" i="7"/>
  <c r="D2103" i="7"/>
  <c r="D2119" i="7"/>
  <c r="D2135" i="7"/>
  <c r="D2151" i="7"/>
  <c r="D2167" i="7"/>
  <c r="D2183" i="7"/>
  <c r="D2199" i="7"/>
  <c r="D2215" i="7"/>
  <c r="D2231" i="7"/>
  <c r="D2247" i="7"/>
  <c r="D2263" i="7"/>
  <c r="D2279" i="7"/>
  <c r="D2295" i="7"/>
  <c r="D2311" i="7"/>
  <c r="D2327" i="7"/>
  <c r="D2343" i="7"/>
  <c r="D2359" i="7"/>
  <c r="D2375" i="7"/>
  <c r="D2391" i="7"/>
  <c r="D2407" i="7"/>
  <c r="D2423" i="7"/>
  <c r="D2439" i="7"/>
  <c r="D2455" i="7"/>
  <c r="D2471" i="7"/>
  <c r="D2487" i="7"/>
  <c r="D2503" i="7"/>
  <c r="D2519" i="7"/>
  <c r="D2535" i="7"/>
  <c r="D2551" i="7"/>
  <c r="D2567" i="7"/>
  <c r="D2583" i="7"/>
  <c r="D2599" i="7"/>
  <c r="D2615" i="7"/>
  <c r="D2631" i="7"/>
  <c r="D2647" i="7"/>
  <c r="D2663" i="7"/>
  <c r="D2679" i="7"/>
  <c r="D2695" i="7"/>
  <c r="D2711" i="7"/>
  <c r="D2727" i="7"/>
  <c r="D2743" i="7"/>
  <c r="D2759" i="7"/>
  <c r="D2775" i="7"/>
  <c r="D2791" i="7"/>
  <c r="D2807" i="7"/>
  <c r="D2823" i="7"/>
  <c r="D2839" i="7"/>
  <c r="D2855" i="7"/>
  <c r="D2871" i="7"/>
  <c r="D2887" i="7"/>
  <c r="D2903" i="7"/>
  <c r="D2919" i="7"/>
  <c r="D2935" i="7"/>
  <c r="D2951" i="7"/>
  <c r="D2967" i="7"/>
  <c r="D2983" i="7"/>
  <c r="D2999" i="7"/>
  <c r="D3015" i="7"/>
  <c r="D3031" i="7"/>
  <c r="D3047" i="7"/>
  <c r="D3063" i="7"/>
  <c r="D3079" i="7"/>
  <c r="D3095" i="7"/>
  <c r="D3111" i="7"/>
  <c r="D3127" i="7"/>
  <c r="D3143" i="7"/>
  <c r="D3159" i="7"/>
  <c r="D3175" i="7"/>
  <c r="D3191" i="7"/>
  <c r="D3207" i="7"/>
  <c r="D3223" i="7"/>
  <c r="D3239" i="7"/>
  <c r="D3255" i="7"/>
  <c r="D3271" i="7"/>
  <c r="D3287" i="7"/>
  <c r="D3303" i="7"/>
  <c r="D3319" i="7"/>
  <c r="D3335" i="7"/>
  <c r="D3351" i="7"/>
  <c r="D3367" i="7"/>
  <c r="D3383" i="7"/>
  <c r="D3399" i="7"/>
  <c r="D3415" i="7"/>
  <c r="D3431" i="7"/>
  <c r="D3447" i="7"/>
  <c r="D3463" i="7"/>
  <c r="D3479" i="7"/>
  <c r="D3495" i="7"/>
  <c r="D3511" i="7"/>
  <c r="D3527" i="7"/>
  <c r="D3543" i="7"/>
  <c r="D3559" i="7"/>
  <c r="D3575" i="7"/>
  <c r="D3591" i="7"/>
  <c r="D3607" i="7"/>
  <c r="D3623" i="7"/>
  <c r="D3639" i="7"/>
  <c r="D3655" i="7"/>
  <c r="D3671" i="7"/>
  <c r="D3687" i="7"/>
  <c r="D3703" i="7"/>
  <c r="D3719" i="7"/>
  <c r="D3735" i="7"/>
  <c r="D3751" i="7"/>
  <c r="D3767" i="7"/>
  <c r="D3783" i="7"/>
  <c r="D3799" i="7"/>
  <c r="D3815" i="7"/>
  <c r="D3831" i="7"/>
  <c r="D3847" i="7"/>
  <c r="D3863" i="7"/>
  <c r="D3879" i="7"/>
  <c r="D3895" i="7"/>
  <c r="D3911" i="7"/>
  <c r="D3927" i="7"/>
  <c r="D3943" i="7"/>
  <c r="D3959" i="7"/>
  <c r="D3975" i="7"/>
  <c r="D3991" i="7"/>
  <c r="D4007" i="7"/>
  <c r="D4023" i="7"/>
  <c r="D4039" i="7"/>
  <c r="D4918" i="7"/>
  <c r="D4758" i="7"/>
  <c r="D4694" i="7"/>
  <c r="D4630" i="7"/>
  <c r="D56" i="7"/>
  <c r="D72" i="7"/>
  <c r="D88" i="7"/>
  <c r="D104" i="7"/>
  <c r="D120" i="7"/>
  <c r="D136" i="7"/>
  <c r="D152" i="7"/>
  <c r="D168" i="7"/>
  <c r="D184" i="7"/>
  <c r="D200" i="7"/>
  <c r="D216" i="7"/>
  <c r="D232" i="7"/>
  <c r="D248" i="7"/>
  <c r="D264" i="7"/>
  <c r="D280" i="7"/>
  <c r="D296" i="7"/>
  <c r="D312" i="7"/>
  <c r="D328" i="7"/>
  <c r="D344" i="7"/>
  <c r="D360" i="7"/>
  <c r="D376" i="7"/>
  <c r="D392" i="7"/>
  <c r="D408" i="7"/>
  <c r="D424" i="7"/>
  <c r="D440" i="7"/>
  <c r="D456" i="7"/>
  <c r="D472" i="7"/>
  <c r="D488" i="7"/>
  <c r="D504" i="7"/>
  <c r="D520" i="7"/>
  <c r="D536" i="7"/>
  <c r="D552" i="7"/>
  <c r="D568" i="7"/>
  <c r="D584" i="7"/>
  <c r="D600" i="7"/>
  <c r="D616" i="7"/>
  <c r="D632" i="7"/>
  <c r="D648" i="7"/>
  <c r="D664" i="7"/>
  <c r="D680" i="7"/>
  <c r="D696" i="7"/>
  <c r="D712" i="7"/>
  <c r="D728" i="7"/>
  <c r="D744" i="7"/>
  <c r="D760" i="7"/>
  <c r="D776" i="7"/>
  <c r="D792" i="7"/>
  <c r="D808" i="7"/>
  <c r="D824" i="7"/>
  <c r="D840" i="7"/>
  <c r="D856" i="7"/>
  <c r="D872" i="7"/>
  <c r="D888" i="7"/>
  <c r="D904" i="7"/>
  <c r="D920" i="7"/>
  <c r="D936" i="7"/>
  <c r="D952" i="7"/>
  <c r="D968" i="7"/>
  <c r="D984" i="7"/>
  <c r="D1000" i="7"/>
  <c r="D1016" i="7"/>
  <c r="D1032" i="7"/>
  <c r="D1048" i="7"/>
  <c r="D1064" i="7"/>
  <c r="D1080" i="7"/>
  <c r="D1096" i="7"/>
  <c r="D1112" i="7"/>
  <c r="D1128" i="7"/>
  <c r="D1144" i="7"/>
  <c r="D1160" i="7"/>
  <c r="D1176" i="7"/>
  <c r="D1192" i="7"/>
  <c r="D1208" i="7"/>
  <c r="D1224" i="7"/>
  <c r="D1240" i="7"/>
  <c r="D1256" i="7"/>
  <c r="D1272" i="7"/>
  <c r="D1288" i="7"/>
  <c r="D1304" i="7"/>
  <c r="D1320" i="7"/>
  <c r="D1336" i="7"/>
  <c r="D1352" i="7"/>
  <c r="D1368" i="7"/>
  <c r="D1384" i="7"/>
  <c r="D1400" i="7"/>
  <c r="D1416" i="7"/>
  <c r="D1432" i="7"/>
  <c r="D1448" i="7"/>
  <c r="D1464" i="7"/>
  <c r="D1480" i="7"/>
  <c r="D1496" i="7"/>
  <c r="D1512" i="7"/>
  <c r="D1528" i="7"/>
  <c r="D1544" i="7"/>
  <c r="D1560" i="7"/>
  <c r="D1576" i="7"/>
  <c r="D1592" i="7"/>
  <c r="D1608" i="7"/>
  <c r="D1624" i="7"/>
  <c r="D1640" i="7"/>
  <c r="D1656" i="7"/>
  <c r="D1672" i="7"/>
  <c r="D1688" i="7"/>
  <c r="D1704" i="7"/>
  <c r="D1720" i="7"/>
  <c r="D1736" i="7"/>
  <c r="D1752" i="7"/>
  <c r="D1768" i="7"/>
  <c r="D1784" i="7"/>
  <c r="D1800" i="7"/>
  <c r="D1816" i="7"/>
  <c r="D1832" i="7"/>
  <c r="D1848" i="7"/>
  <c r="D1864" i="7"/>
  <c r="D1880" i="7"/>
  <c r="D1896" i="7"/>
  <c r="D1912" i="7"/>
  <c r="D1928" i="7"/>
  <c r="D1944" i="7"/>
  <c r="D1960" i="7"/>
  <c r="D1976" i="7"/>
  <c r="D1992" i="7"/>
  <c r="D2008" i="7"/>
  <c r="D2024" i="7"/>
  <c r="D2040" i="7"/>
  <c r="D2056" i="7"/>
  <c r="D2072" i="7"/>
  <c r="D2088" i="7"/>
  <c r="D2104" i="7"/>
  <c r="D2120" i="7"/>
  <c r="D2136" i="7"/>
  <c r="D2152" i="7"/>
  <c r="D2168" i="7"/>
  <c r="D2184" i="7"/>
  <c r="D2200" i="7"/>
  <c r="D2216" i="7"/>
  <c r="D2232" i="7"/>
  <c r="D2248" i="7"/>
  <c r="D2264" i="7"/>
  <c r="D2280" i="7"/>
  <c r="D2296" i="7"/>
  <c r="D2312" i="7"/>
  <c r="D2328" i="7"/>
  <c r="D2344" i="7"/>
  <c r="D2360" i="7"/>
  <c r="D2376" i="7"/>
  <c r="D2392" i="7"/>
  <c r="D2408" i="7"/>
  <c r="D2424" i="7"/>
  <c r="D2440" i="7"/>
  <c r="D2456" i="7"/>
  <c r="D2472" i="7"/>
  <c r="D2488" i="7"/>
  <c r="D2504" i="7"/>
  <c r="D2520" i="7"/>
  <c r="D2536" i="7"/>
  <c r="D2552" i="7"/>
  <c r="D2568" i="7"/>
  <c r="D2584" i="7"/>
  <c r="D2600" i="7"/>
  <c r="D2616" i="7"/>
  <c r="D2632" i="7"/>
  <c r="D2648" i="7"/>
  <c r="D2664" i="7"/>
  <c r="D2680" i="7"/>
  <c r="D2696" i="7"/>
  <c r="D2712" i="7"/>
  <c r="D2728" i="7"/>
  <c r="D2744" i="7"/>
  <c r="D2760" i="7"/>
  <c r="D2776" i="7"/>
  <c r="D2792" i="7"/>
  <c r="D2808" i="7"/>
  <c r="D2824" i="7"/>
  <c r="D2840" i="7"/>
  <c r="D2856" i="7"/>
  <c r="D2872" i="7"/>
  <c r="D2888" i="7"/>
  <c r="D2904" i="7"/>
  <c r="D2920" i="7"/>
  <c r="D2936" i="7"/>
  <c r="D2952" i="7"/>
  <c r="D2968" i="7"/>
  <c r="D2984" i="7"/>
  <c r="D3000" i="7"/>
  <c r="D3016" i="7"/>
  <c r="D3032" i="7"/>
  <c r="D3048" i="7"/>
  <c r="D3064" i="7"/>
  <c r="D3080" i="7"/>
  <c r="D3096" i="7"/>
  <c r="D3112" i="7"/>
  <c r="D3128" i="7"/>
  <c r="D3144" i="7"/>
  <c r="D3160" i="7"/>
  <c r="D3176" i="7"/>
  <c r="D3192" i="7"/>
  <c r="D3208" i="7"/>
  <c r="D3224" i="7"/>
  <c r="D3240" i="7"/>
  <c r="D3256" i="7"/>
  <c r="D3272" i="7"/>
  <c r="D3288" i="7"/>
  <c r="D3304" i="7"/>
  <c r="D3320" i="7"/>
  <c r="D3336" i="7"/>
  <c r="D3352" i="7"/>
  <c r="D3368" i="7"/>
  <c r="D3384" i="7"/>
  <c r="D3400" i="7"/>
  <c r="D3416" i="7"/>
  <c r="D3432" i="7"/>
  <c r="D3448" i="7"/>
  <c r="D3464" i="7"/>
  <c r="D3480" i="7"/>
  <c r="D3496" i="7"/>
  <c r="D3512" i="7"/>
  <c r="D3528" i="7"/>
  <c r="D3544" i="7"/>
  <c r="D3560" i="7"/>
  <c r="D3576" i="7"/>
  <c r="D3592" i="7"/>
  <c r="D3608" i="7"/>
  <c r="D3624" i="7"/>
  <c r="D3640" i="7"/>
  <c r="D3656" i="7"/>
  <c r="D3672" i="7"/>
  <c r="D3688" i="7"/>
  <c r="D3704" i="7"/>
  <c r="D3720" i="7"/>
  <c r="D3736" i="7"/>
  <c r="D4753" i="7"/>
  <c r="D4689" i="7"/>
  <c r="D345" i="7"/>
  <c r="D361" i="7"/>
  <c r="D377" i="7"/>
  <c r="D393" i="7"/>
  <c r="D409" i="7"/>
  <c r="D425" i="7"/>
  <c r="D441" i="7"/>
  <c r="D457" i="7"/>
  <c r="D473" i="7"/>
  <c r="D489" i="7"/>
  <c r="D505" i="7"/>
  <c r="D521" i="7"/>
  <c r="D537" i="7"/>
  <c r="D553" i="7"/>
  <c r="D569" i="7"/>
  <c r="D585" i="7"/>
  <c r="D601" i="7"/>
  <c r="D617" i="7"/>
  <c r="D633" i="7"/>
  <c r="D649" i="7"/>
  <c r="D665" i="7"/>
  <c r="D681" i="7"/>
  <c r="D697" i="7"/>
  <c r="D713" i="7"/>
  <c r="D729" i="7"/>
  <c r="D745" i="7"/>
  <c r="D761" i="7"/>
  <c r="D777" i="7"/>
  <c r="D793" i="7"/>
  <c r="D809" i="7"/>
  <c r="D825" i="7"/>
  <c r="D841" i="7"/>
  <c r="D857" i="7"/>
  <c r="D873" i="7"/>
  <c r="D889" i="7"/>
  <c r="D905" i="7"/>
  <c r="D921" i="7"/>
  <c r="D937" i="7"/>
  <c r="D953" i="7"/>
  <c r="D969" i="7"/>
  <c r="D985" i="7"/>
  <c r="D1001" i="7"/>
  <c r="D1017" i="7"/>
  <c r="D1033" i="7"/>
  <c r="D1049" i="7"/>
  <c r="D1065" i="7"/>
  <c r="D1081" i="7"/>
  <c r="D1097" i="7"/>
  <c r="D1113" i="7"/>
  <c r="D1129" i="7"/>
  <c r="D1145" i="7"/>
  <c r="D1161" i="7"/>
  <c r="D1177" i="7"/>
  <c r="D1193" i="7"/>
  <c r="D1209" i="7"/>
  <c r="D1225" i="7"/>
  <c r="D1241" i="7"/>
  <c r="D1257" i="7"/>
  <c r="D1273" i="7"/>
  <c r="D1289" i="7"/>
  <c r="D1305" i="7"/>
  <c r="D1321" i="7"/>
  <c r="D1337" i="7"/>
  <c r="D1353" i="7"/>
  <c r="D1369" i="7"/>
  <c r="D1385" i="7"/>
  <c r="D1401" i="7"/>
  <c r="D1417" i="7"/>
  <c r="D1433" i="7"/>
  <c r="D1449" i="7"/>
  <c r="D1465" i="7"/>
  <c r="D1481" i="7"/>
  <c r="D1497" i="7"/>
  <c r="D1513" i="7"/>
  <c r="D1529" i="7"/>
  <c r="D1545" i="7"/>
  <c r="D1561" i="7"/>
  <c r="D1577" i="7"/>
  <c r="D1593" i="7"/>
  <c r="D1609" i="7"/>
  <c r="D1625" i="7"/>
  <c r="D1641" i="7"/>
  <c r="D1657" i="7"/>
  <c r="D1673" i="7"/>
  <c r="D1689" i="7"/>
  <c r="D1705" i="7"/>
  <c r="D1721" i="7"/>
  <c r="D1737" i="7"/>
  <c r="D1753" i="7"/>
  <c r="D1769" i="7"/>
  <c r="D1785" i="7"/>
  <c r="D1801" i="7"/>
  <c r="D1817" i="7"/>
  <c r="D1833" i="7"/>
  <c r="D1849" i="7"/>
  <c r="D1865" i="7"/>
  <c r="D1881" i="7"/>
  <c r="D1897" i="7"/>
  <c r="D1913" i="7"/>
  <c r="D1929" i="7"/>
  <c r="D1945" i="7"/>
  <c r="D1961" i="7"/>
  <c r="D1977" i="7"/>
  <c r="D1993" i="7"/>
  <c r="D2009" i="7"/>
  <c r="D2025" i="7"/>
  <c r="D2041" i="7"/>
  <c r="D2057" i="7"/>
  <c r="D2073" i="7"/>
  <c r="D2089" i="7"/>
  <c r="D2105" i="7"/>
  <c r="D2121" i="7"/>
  <c r="D2137" i="7"/>
  <c r="D2153" i="7"/>
  <c r="D2169" i="7"/>
  <c r="D2185" i="7"/>
  <c r="D2201" i="7"/>
  <c r="D2217" i="7"/>
  <c r="D2233" i="7"/>
  <c r="D2249" i="7"/>
  <c r="D2265" i="7"/>
  <c r="D2281" i="7"/>
  <c r="D2297" i="7"/>
  <c r="D2313" i="7"/>
  <c r="D2329" i="7"/>
  <c r="D2345" i="7"/>
  <c r="D2361" i="7"/>
  <c r="D2377" i="7"/>
  <c r="D2393" i="7"/>
  <c r="D2409" i="7"/>
  <c r="D2425" i="7"/>
  <c r="D2441" i="7"/>
  <c r="D2457" i="7"/>
  <c r="D2473" i="7"/>
  <c r="D2489" i="7"/>
  <c r="D2505" i="7"/>
  <c r="D2521" i="7"/>
  <c r="D2537" i="7"/>
  <c r="D2553" i="7"/>
  <c r="D2569" i="7"/>
  <c r="D2585" i="7"/>
  <c r="D2601" i="7"/>
  <c r="D2617" i="7"/>
  <c r="D2633" i="7"/>
  <c r="D2649" i="7"/>
  <c r="D2665" i="7"/>
  <c r="D2681" i="7"/>
  <c r="D2697" i="7"/>
  <c r="D2713" i="7"/>
  <c r="D2729" i="7"/>
  <c r="D2745" i="7"/>
  <c r="D2761" i="7"/>
  <c r="D2777" i="7"/>
  <c r="D2793" i="7"/>
  <c r="D2809" i="7"/>
  <c r="D2825" i="7"/>
  <c r="D2841" i="7"/>
  <c r="D2857" i="7"/>
  <c r="D2873" i="7"/>
  <c r="D2889" i="7"/>
  <c r="D2905" i="7"/>
  <c r="D2921" i="7"/>
  <c r="D2937" i="7"/>
  <c r="D2953" i="7"/>
  <c r="D2969" i="7"/>
  <c r="D2985" i="7"/>
  <c r="D3001" i="7"/>
  <c r="D3017" i="7"/>
  <c r="D3033" i="7"/>
  <c r="D3049" i="7"/>
  <c r="D3065" i="7"/>
  <c r="D3081" i="7"/>
  <c r="D3097" i="7"/>
  <c r="D3113" i="7"/>
  <c r="D3129" i="7"/>
  <c r="D3145" i="7"/>
  <c r="D3161" i="7"/>
  <c r="D3177" i="7"/>
  <c r="D3193" i="7"/>
  <c r="D3209" i="7"/>
  <c r="D3225" i="7"/>
  <c r="D3241" i="7"/>
  <c r="D3257" i="7"/>
  <c r="D3273" i="7"/>
  <c r="D3289" i="7"/>
  <c r="D3305" i="7"/>
  <c r="D3321" i="7"/>
  <c r="D3337" i="7"/>
  <c r="D3353" i="7"/>
  <c r="D3369" i="7"/>
  <c r="D3385" i="7"/>
  <c r="D3401" i="7"/>
  <c r="D3417" i="7"/>
  <c r="D3433" i="7"/>
  <c r="D3449" i="7"/>
  <c r="D3465" i="7"/>
  <c r="D3481" i="7"/>
  <c r="D3497" i="7"/>
  <c r="D3513" i="7"/>
  <c r="D3529" i="7"/>
  <c r="D3545" i="7"/>
  <c r="D3561" i="7"/>
  <c r="D3577" i="7"/>
  <c r="D3593" i="7"/>
  <c r="D3609" i="7"/>
  <c r="D3625" i="7"/>
  <c r="D3641" i="7"/>
  <c r="D3657" i="7"/>
  <c r="D3673" i="7"/>
  <c r="D3689" i="7"/>
  <c r="D3705" i="7"/>
  <c r="D3721" i="7"/>
  <c r="D3737" i="7"/>
  <c r="D3753" i="7"/>
  <c r="D3769" i="7"/>
  <c r="D3785" i="7"/>
  <c r="D3801" i="7"/>
  <c r="D3817" i="7"/>
  <c r="D3833" i="7"/>
  <c r="D3849" i="7"/>
  <c r="D3865" i="7"/>
  <c r="D3881" i="7"/>
  <c r="D3897" i="7"/>
  <c r="D3913" i="7"/>
  <c r="D3929" i="7"/>
  <c r="D3945" i="7"/>
  <c r="D3961" i="7"/>
  <c r="D3977" i="7"/>
  <c r="D3993" i="7"/>
  <c r="D4009" i="7"/>
  <c r="D4025" i="7"/>
  <c r="D4041" i="7"/>
  <c r="D4057" i="7"/>
  <c r="D4073" i="7"/>
  <c r="D4089" i="7"/>
  <c r="D4105" i="7"/>
  <c r="D4121" i="7"/>
  <c r="D4137" i="7"/>
  <c r="D4153" i="7"/>
  <c r="D4169" i="7"/>
  <c r="D4185" i="7"/>
  <c r="D4201" i="7"/>
  <c r="D4217" i="7"/>
  <c r="D4233" i="7"/>
  <c r="D4249" i="7"/>
  <c r="D4265" i="7"/>
  <c r="D4281" i="7"/>
  <c r="D4297" i="7"/>
  <c r="D4313" i="7"/>
  <c r="D4329" i="7"/>
  <c r="D4345" i="7"/>
  <c r="D4361" i="7"/>
  <c r="D4377" i="7"/>
  <c r="D4393" i="7"/>
  <c r="D4409" i="7"/>
  <c r="D4425" i="7"/>
  <c r="D4441" i="7"/>
  <c r="D4457" i="7"/>
  <c r="D4489" i="7"/>
  <c r="D4505" i="7"/>
  <c r="D4521" i="7"/>
  <c r="D4537" i="7"/>
  <c r="D4553" i="7"/>
  <c r="D4569" i="7"/>
  <c r="D4585" i="7"/>
  <c r="D4601" i="7"/>
  <c r="D4617" i="7"/>
  <c r="D4633" i="7"/>
  <c r="D4649" i="7"/>
  <c r="D4665" i="7"/>
  <c r="D4697" i="7"/>
  <c r="D4713" i="7"/>
  <c r="D4729" i="7"/>
  <c r="D4761" i="7"/>
  <c r="D4777" i="7"/>
  <c r="D4809" i="7"/>
  <c r="D4825" i="7"/>
  <c r="D4873" i="7"/>
  <c r="D4905" i="7"/>
  <c r="D4937" i="7"/>
  <c r="D4953" i="7"/>
  <c r="D5001" i="7"/>
  <c r="D4950" i="7"/>
  <c r="D4841" i="7"/>
  <c r="D4801" i="7"/>
  <c r="D4473" i="7"/>
  <c r="D666" i="7"/>
  <c r="D682" i="7"/>
  <c r="D698" i="7"/>
  <c r="D714" i="7"/>
  <c r="D730" i="7"/>
  <c r="D746" i="7"/>
  <c r="D762" i="7"/>
  <c r="D778" i="7"/>
  <c r="D794" i="7"/>
  <c r="D810" i="7"/>
  <c r="D826" i="7"/>
  <c r="D842" i="7"/>
  <c r="D858" i="7"/>
  <c r="D874" i="7"/>
  <c r="D890" i="7"/>
  <c r="D906" i="7"/>
  <c r="D922" i="7"/>
  <c r="D938" i="7"/>
  <c r="D954" i="7"/>
  <c r="D970" i="7"/>
  <c r="D986" i="7"/>
  <c r="D1002" i="7"/>
  <c r="D1018" i="7"/>
  <c r="D1034" i="7"/>
  <c r="D1050" i="7"/>
  <c r="D1066" i="7"/>
  <c r="D1082" i="7"/>
  <c r="D1098" i="7"/>
  <c r="D1114" i="7"/>
  <c r="D1130" i="7"/>
  <c r="D1146" i="7"/>
  <c r="D1162" i="7"/>
  <c r="D1178" i="7"/>
  <c r="D1194" i="7"/>
  <c r="D1210" i="7"/>
  <c r="D1226" i="7"/>
  <c r="D1242" i="7"/>
  <c r="D1258" i="7"/>
  <c r="D1274" i="7"/>
  <c r="D1290" i="7"/>
  <c r="D1306" i="7"/>
  <c r="D1322" i="7"/>
  <c r="D1338" i="7"/>
  <c r="D1354" i="7"/>
  <c r="D1370" i="7"/>
  <c r="D1386" i="7"/>
  <c r="D1402" i="7"/>
  <c r="D1418" i="7"/>
  <c r="D1434" i="7"/>
  <c r="D1450" i="7"/>
  <c r="D1466" i="7"/>
  <c r="D1482" i="7"/>
  <c r="D1498" i="7"/>
  <c r="D1514" i="7"/>
  <c r="D1530" i="7"/>
  <c r="D1546" i="7"/>
  <c r="D1562" i="7"/>
  <c r="D1578" i="7"/>
  <c r="D1594" i="7"/>
  <c r="D1610" i="7"/>
  <c r="D1626" i="7"/>
  <c r="D1642" i="7"/>
  <c r="D1658" i="7"/>
  <c r="D1674" i="7"/>
  <c r="D1690" i="7"/>
  <c r="D1706" i="7"/>
  <c r="D1722" i="7"/>
  <c r="D1738" i="7"/>
  <c r="D1754" i="7"/>
  <c r="D1770" i="7"/>
  <c r="D1786" i="7"/>
  <c r="D1802" i="7"/>
  <c r="D1818" i="7"/>
  <c r="D1834" i="7"/>
  <c r="D1850" i="7"/>
  <c r="D1866" i="7"/>
  <c r="D1882" i="7"/>
  <c r="D1898" i="7"/>
  <c r="D1914" i="7"/>
  <c r="D1930" i="7"/>
  <c r="D1946" i="7"/>
  <c r="D1962" i="7"/>
  <c r="D1978" i="7"/>
  <c r="D1994" i="7"/>
  <c r="D2010" i="7"/>
  <c r="D2026" i="7"/>
  <c r="D2042" i="7"/>
  <c r="D2058" i="7"/>
  <c r="D2074" i="7"/>
  <c r="D2090" i="7"/>
  <c r="D2106" i="7"/>
  <c r="D2122" i="7"/>
  <c r="D2138" i="7"/>
  <c r="D2154" i="7"/>
  <c r="D2170" i="7"/>
  <c r="D2186" i="7"/>
  <c r="D2202" i="7"/>
  <c r="D2218" i="7"/>
  <c r="D2234" i="7"/>
  <c r="D2250" i="7"/>
  <c r="D2266" i="7"/>
  <c r="D2282" i="7"/>
  <c r="D2298" i="7"/>
  <c r="D2314" i="7"/>
  <c r="D2330" i="7"/>
  <c r="D2346" i="7"/>
  <c r="D2362" i="7"/>
  <c r="D2378" i="7"/>
  <c r="D2394" i="7"/>
  <c r="D2410" i="7"/>
  <c r="D2426" i="7"/>
  <c r="D2442" i="7"/>
  <c r="D2458" i="7"/>
  <c r="D2474" i="7"/>
  <c r="D2490" i="7"/>
  <c r="D2506" i="7"/>
  <c r="D2522" i="7"/>
  <c r="D2538" i="7"/>
  <c r="D2554" i="7"/>
  <c r="D2570" i="7"/>
  <c r="D2586" i="7"/>
  <c r="D2602" i="7"/>
  <c r="D2618" i="7"/>
  <c r="D2634" i="7"/>
  <c r="D2650" i="7"/>
  <c r="D2666" i="7"/>
  <c r="D2682" i="7"/>
  <c r="D2698" i="7"/>
  <c r="D2714" i="7"/>
  <c r="D2730" i="7"/>
  <c r="D2746" i="7"/>
  <c r="D2762" i="7"/>
  <c r="D2778" i="7"/>
  <c r="D2794" i="7"/>
  <c r="D2810" i="7"/>
  <c r="D2826" i="7"/>
  <c r="D2842" i="7"/>
  <c r="D2858" i="7"/>
  <c r="D2874" i="7"/>
  <c r="D2890" i="7"/>
  <c r="D2906" i="7"/>
  <c r="D2922" i="7"/>
  <c r="D2938" i="7"/>
  <c r="D2954" i="7"/>
  <c r="D2970" i="7"/>
  <c r="D2986" i="7"/>
  <c r="D3002" i="7"/>
  <c r="D3018" i="7"/>
  <c r="D3034" i="7"/>
  <c r="D3050" i="7"/>
  <c r="D3066" i="7"/>
  <c r="D3082" i="7"/>
  <c r="D3098" i="7"/>
  <c r="D3114" i="7"/>
  <c r="D3130" i="7"/>
  <c r="D3146" i="7"/>
  <c r="D3162" i="7"/>
  <c r="D3178" i="7"/>
  <c r="D3194" i="7"/>
  <c r="D3210" i="7"/>
  <c r="D3226" i="7"/>
  <c r="D3242" i="7"/>
  <c r="D3258" i="7"/>
  <c r="D3274" i="7"/>
  <c r="D3290" i="7"/>
  <c r="D3306" i="7"/>
  <c r="D3322" i="7"/>
  <c r="D3338" i="7"/>
  <c r="D3354" i="7"/>
  <c r="D3370" i="7"/>
  <c r="D3386" i="7"/>
  <c r="D3402" i="7"/>
  <c r="D3418" i="7"/>
  <c r="D3434" i="7"/>
  <c r="D3450" i="7"/>
  <c r="D3466" i="7"/>
  <c r="D3482" i="7"/>
  <c r="D3498" i="7"/>
  <c r="D3514" i="7"/>
  <c r="D3530" i="7"/>
  <c r="D3546" i="7"/>
  <c r="D3562" i="7"/>
  <c r="D3578" i="7"/>
  <c r="D3594" i="7"/>
  <c r="D3610" i="7"/>
  <c r="D3626" i="7"/>
  <c r="D3642" i="7"/>
  <c r="D3658" i="7"/>
  <c r="D3674" i="7"/>
  <c r="D3690" i="7"/>
  <c r="D3706" i="7"/>
  <c r="D3722" i="7"/>
  <c r="D3738" i="7"/>
  <c r="D3754" i="7"/>
  <c r="D3770" i="7"/>
  <c r="D3786" i="7"/>
  <c r="D3802" i="7"/>
  <c r="D3818" i="7"/>
  <c r="D3834" i="7"/>
  <c r="D3850" i="7"/>
  <c r="D3866" i="7"/>
  <c r="D3882" i="7"/>
  <c r="D3898" i="7"/>
  <c r="D3914" i="7"/>
  <c r="D3930" i="7"/>
  <c r="D3946" i="7"/>
  <c r="D3962" i="7"/>
  <c r="D3978" i="7"/>
  <c r="D3994" i="7"/>
  <c r="D4010" i="7"/>
  <c r="D4026" i="7"/>
  <c r="D4042" i="7"/>
  <c r="D4058" i="7"/>
  <c r="D4074" i="7"/>
  <c r="D4090" i="7"/>
  <c r="D4106" i="7"/>
  <c r="D4122" i="7"/>
  <c r="D4138" i="7"/>
  <c r="D4154" i="7"/>
  <c r="D4170" i="7"/>
  <c r="D4186" i="7"/>
  <c r="D4202" i="7"/>
  <c r="D4218" i="7"/>
  <c r="D4234" i="7"/>
  <c r="D4250" i="7"/>
  <c r="D4266" i="7"/>
  <c r="D4282" i="7"/>
  <c r="D4298" i="7"/>
  <c r="D4314" i="7"/>
  <c r="D4330" i="7"/>
  <c r="D4346" i="7"/>
  <c r="D4362" i="7"/>
  <c r="D4378" i="7"/>
  <c r="D4394" i="7"/>
  <c r="D4410" i="7"/>
  <c r="D4426" i="7"/>
  <c r="D4458" i="7"/>
  <c r="D4474" i="7"/>
  <c r="D4490" i="7"/>
  <c r="D4506" i="7"/>
  <c r="D4522" i="7"/>
  <c r="D4538" i="7"/>
  <c r="D4554" i="7"/>
  <c r="D4570" i="7"/>
  <c r="D4586" i="7"/>
  <c r="D4602" i="7"/>
  <c r="D4618" i="7"/>
  <c r="D4634" i="7"/>
  <c r="D4650" i="7"/>
  <c r="D4666" i="7"/>
  <c r="D4682" i="7"/>
  <c r="D4698" i="7"/>
  <c r="D4714" i="7"/>
  <c r="D4730" i="7"/>
  <c r="D4746" i="7"/>
  <c r="D4762" i="7"/>
  <c r="D4794" i="7"/>
  <c r="D4826" i="7"/>
  <c r="D4842" i="7"/>
  <c r="D4858" i="7"/>
  <c r="D4838" i="7"/>
  <c r="D4745" i="7"/>
  <c r="D4681" i="7"/>
  <c r="D3147" i="7"/>
  <c r="D3163" i="7"/>
  <c r="D3179" i="7"/>
  <c r="D3195" i="7"/>
  <c r="D3211" i="7"/>
  <c r="D3227" i="7"/>
  <c r="D3243" i="7"/>
  <c r="D3259" i="7"/>
  <c r="D3275" i="7"/>
  <c r="D3291" i="7"/>
  <c r="D3307" i="7"/>
  <c r="D3323" i="7"/>
  <c r="D3339" i="7"/>
  <c r="D3355" i="7"/>
  <c r="D3387" i="7"/>
  <c r="D3403" i="7"/>
  <c r="D3419" i="7"/>
  <c r="D3435" i="7"/>
  <c r="D3451" i="7"/>
  <c r="D3467" i="7"/>
  <c r="D3483" i="7"/>
  <c r="D3499" i="7"/>
  <c r="D3515" i="7"/>
  <c r="D3531" i="7"/>
  <c r="D3547" i="7"/>
  <c r="D3563" i="7"/>
  <c r="D3579" i="7"/>
  <c r="D3595" i="7"/>
  <c r="D3611" i="7"/>
  <c r="D3627" i="7"/>
  <c r="D3643" i="7"/>
  <c r="D3659" i="7"/>
  <c r="D3675" i="7"/>
  <c r="D3691" i="7"/>
  <c r="D3707" i="7"/>
  <c r="D3723" i="7"/>
  <c r="D3739" i="7"/>
  <c r="D3755" i="7"/>
  <c r="D3771" i="7"/>
  <c r="D3787" i="7"/>
  <c r="D3803" i="7"/>
  <c r="D3819" i="7"/>
  <c r="D3835" i="7"/>
  <c r="D3851" i="7"/>
  <c r="D3867" i="7"/>
  <c r="D3883" i="7"/>
  <c r="D3899" i="7"/>
  <c r="D3915" i="7"/>
  <c r="D3931" i="7"/>
  <c r="D3947" i="7"/>
  <c r="D3963" i="7"/>
  <c r="D3979" i="7"/>
  <c r="D3995" i="7"/>
  <c r="D4011" i="7"/>
  <c r="D4027" i="7"/>
  <c r="D4043" i="7"/>
  <c r="D4059" i="7"/>
  <c r="D4075" i="7"/>
  <c r="D4091" i="7"/>
  <c r="D4107" i="7"/>
  <c r="D4123" i="7"/>
  <c r="D4139" i="7"/>
  <c r="D4155" i="7"/>
  <c r="D4171" i="7"/>
  <c r="D4187" i="7"/>
  <c r="D4203" i="7"/>
  <c r="D4219" i="7"/>
  <c r="D4235" i="7"/>
  <c r="D4251" i="7"/>
  <c r="D4267" i="7"/>
  <c r="D4283" i="7"/>
  <c r="D4299" i="7"/>
  <c r="D4315" i="7"/>
  <c r="D4331" i="7"/>
  <c r="D4347" i="7"/>
  <c r="D4363" i="7"/>
  <c r="D4379" i="7"/>
  <c r="D4395" i="7"/>
  <c r="D4411" i="7"/>
  <c r="D4427" i="7"/>
  <c r="D4443" i="7"/>
  <c r="D4459" i="7"/>
  <c r="D4475" i="7"/>
  <c r="D4491" i="7"/>
  <c r="D4507" i="7"/>
  <c r="D4523" i="7"/>
  <c r="D4539" i="7"/>
  <c r="D4555" i="7"/>
  <c r="D4571" i="7"/>
  <c r="D4603" i="7"/>
  <c r="D4619" i="7"/>
  <c r="D4635" i="7"/>
  <c r="D4651" i="7"/>
  <c r="D4683" i="7"/>
  <c r="D12" i="7"/>
  <c r="D28" i="7"/>
  <c r="D44" i="7"/>
  <c r="D60" i="7"/>
  <c r="D76" i="7"/>
  <c r="D92" i="7"/>
  <c r="D108" i="7"/>
  <c r="D124" i="7"/>
  <c r="D140" i="7"/>
  <c r="D156" i="7"/>
  <c r="D172" i="7"/>
  <c r="D188" i="7"/>
  <c r="D204" i="7"/>
  <c r="D220" i="7"/>
  <c r="D236" i="7"/>
  <c r="D252" i="7"/>
  <c r="D268" i="7"/>
  <c r="D284" i="7"/>
  <c r="D300" i="7"/>
  <c r="D316" i="7"/>
  <c r="D332" i="7"/>
  <c r="D348" i="7"/>
  <c r="D364" i="7"/>
  <c r="D380" i="7"/>
  <c r="D396" i="7"/>
  <c r="D412" i="7"/>
  <c r="D428" i="7"/>
  <c r="D444" i="7"/>
  <c r="D460" i="7"/>
  <c r="D476" i="7"/>
  <c r="D492" i="7"/>
  <c r="D508" i="7"/>
  <c r="D524" i="7"/>
  <c r="D540" i="7"/>
  <c r="D556" i="7"/>
  <c r="D572" i="7"/>
  <c r="D588" i="7"/>
  <c r="D604" i="7"/>
  <c r="D620" i="7"/>
  <c r="D636" i="7"/>
  <c r="D652" i="7"/>
  <c r="D668" i="7"/>
  <c r="D684" i="7"/>
  <c r="D700" i="7"/>
  <c r="D716" i="7"/>
  <c r="D732" i="7"/>
  <c r="D748" i="7"/>
  <c r="D764" i="7"/>
  <c r="D780" i="7"/>
  <c r="D796" i="7"/>
  <c r="D812" i="7"/>
  <c r="D828" i="7"/>
  <c r="D844" i="7"/>
  <c r="D860" i="7"/>
  <c r="D876" i="7"/>
  <c r="D892" i="7"/>
  <c r="D908" i="7"/>
  <c r="D924" i="7"/>
  <c r="D940" i="7"/>
  <c r="D956" i="7"/>
  <c r="D972" i="7"/>
  <c r="D988" i="7"/>
  <c r="D1004" i="7"/>
  <c r="D1020" i="7"/>
  <c r="D1036" i="7"/>
  <c r="D1052" i="7"/>
  <c r="D1068" i="7"/>
  <c r="D1084" i="7"/>
  <c r="D1100" i="7"/>
  <c r="D1116" i="7"/>
  <c r="D1132" i="7"/>
  <c r="D1148" i="7"/>
  <c r="D1164" i="7"/>
  <c r="D1180" i="7"/>
  <c r="D1196" i="7"/>
  <c r="D1212" i="7"/>
  <c r="D1228" i="7"/>
  <c r="D1244" i="7"/>
  <c r="D1260" i="7"/>
  <c r="D1276" i="7"/>
  <c r="D1292" i="7"/>
  <c r="D1308" i="7"/>
  <c r="D1324" i="7"/>
  <c r="D1340" i="7"/>
  <c r="D1356" i="7"/>
  <c r="D1372" i="7"/>
  <c r="D1388" i="7"/>
  <c r="D1404" i="7"/>
  <c r="D1420" i="7"/>
  <c r="D1436" i="7"/>
  <c r="D1452" i="7"/>
  <c r="D1468" i="7"/>
  <c r="D1484" i="7"/>
  <c r="D1500" i="7"/>
  <c r="D1516" i="7"/>
  <c r="D1532" i="7"/>
  <c r="D1548" i="7"/>
  <c r="D1564" i="7"/>
  <c r="D1580" i="7"/>
  <c r="D1596" i="7"/>
  <c r="D1612" i="7"/>
  <c r="D1628" i="7"/>
  <c r="D1644" i="7"/>
  <c r="D1660" i="7"/>
  <c r="D1676" i="7"/>
  <c r="D1692" i="7"/>
  <c r="D1708" i="7"/>
  <c r="D1724" i="7"/>
  <c r="D1740" i="7"/>
  <c r="D1756" i="7"/>
  <c r="D1772" i="7"/>
  <c r="D1788" i="7"/>
  <c r="D1804" i="7"/>
  <c r="D1820" i="7"/>
  <c r="D1836" i="7"/>
  <c r="D1852" i="7"/>
  <c r="D1868" i="7"/>
  <c r="D1884" i="7"/>
  <c r="D1900" i="7"/>
  <c r="D1916" i="7"/>
  <c r="D1932" i="7"/>
  <c r="D1948" i="7"/>
  <c r="D1964" i="7"/>
  <c r="D1980" i="7"/>
  <c r="D1996" i="7"/>
  <c r="D2012" i="7"/>
  <c r="D2028" i="7"/>
  <c r="D2044" i="7"/>
  <c r="D2060" i="7"/>
  <c r="D2076" i="7"/>
  <c r="D2092" i="7"/>
  <c r="D2108" i="7"/>
  <c r="D2124" i="7"/>
  <c r="D2140" i="7"/>
  <c r="D2156" i="7"/>
  <c r="D2172" i="7"/>
  <c r="D2188" i="7"/>
  <c r="D2204" i="7"/>
  <c r="D2220" i="7"/>
  <c r="D2236" i="7"/>
  <c r="D2252" i="7"/>
  <c r="D2268" i="7"/>
  <c r="D2284" i="7"/>
  <c r="D2300" i="7"/>
  <c r="D2316" i="7"/>
  <c r="D2332" i="7"/>
  <c r="D2348" i="7"/>
  <c r="D2364" i="7"/>
  <c r="D2380" i="7"/>
  <c r="D2396" i="7"/>
  <c r="D2412" i="7"/>
  <c r="D2428" i="7"/>
  <c r="D2444" i="7"/>
  <c r="D2460" i="7"/>
  <c r="D2476" i="7"/>
  <c r="D2492" i="7"/>
  <c r="D2508" i="7"/>
  <c r="D2524" i="7"/>
  <c r="D2540" i="7"/>
  <c r="D2556" i="7"/>
  <c r="D2572" i="7"/>
  <c r="D2588" i="7"/>
  <c r="D2604" i="7"/>
  <c r="D2620" i="7"/>
  <c r="D2636" i="7"/>
  <c r="D2652" i="7"/>
  <c r="D2668" i="7"/>
  <c r="D2684" i="7"/>
  <c r="D2700" i="7"/>
  <c r="D2716" i="7"/>
  <c r="D2732" i="7"/>
  <c r="D2748" i="7"/>
  <c r="D2764" i="7"/>
  <c r="D2780" i="7"/>
  <c r="D2796" i="7"/>
  <c r="D2812" i="7"/>
  <c r="D2828" i="7"/>
  <c r="D2844" i="7"/>
  <c r="D2860" i="7"/>
  <c r="D2876" i="7"/>
  <c r="D2892" i="7"/>
  <c r="D2908" i="7"/>
  <c r="D2924" i="7"/>
  <c r="D2940" i="7"/>
  <c r="D2956" i="7"/>
  <c r="D2972" i="7"/>
  <c r="D2988" i="7"/>
  <c r="D3004" i="7"/>
  <c r="D3020" i="7"/>
  <c r="D3036" i="7"/>
  <c r="D3052" i="7"/>
  <c r="D3068" i="7"/>
  <c r="D3084" i="7"/>
  <c r="D3100" i="7"/>
  <c r="D3116" i="7"/>
  <c r="D3132" i="7"/>
  <c r="D3148" i="7"/>
  <c r="D3164" i="7"/>
  <c r="D3180" i="7"/>
  <c r="D3196" i="7"/>
  <c r="D3212" i="7"/>
  <c r="D3228" i="7"/>
  <c r="D3244" i="7"/>
  <c r="D3260" i="7"/>
  <c r="D3276" i="7"/>
  <c r="D3292" i="7"/>
  <c r="D3308" i="7"/>
  <c r="D3324" i="7"/>
  <c r="D3340" i="7"/>
  <c r="D3356" i="7"/>
  <c r="D3372" i="7"/>
  <c r="D3388" i="7"/>
  <c r="D3404" i="7"/>
  <c r="D3420" i="7"/>
  <c r="D3436" i="7"/>
  <c r="D3452" i="7"/>
  <c r="D3468" i="7"/>
  <c r="D3484" i="7"/>
  <c r="D3500" i="7"/>
  <c r="D3516" i="7"/>
  <c r="D3532" i="7"/>
  <c r="D3548" i="7"/>
  <c r="D3564" i="7"/>
  <c r="D3580" i="7"/>
  <c r="D3596" i="7"/>
  <c r="D3612" i="7"/>
  <c r="D3628" i="7"/>
  <c r="D3644" i="7"/>
  <c r="D3660" i="7"/>
  <c r="D3676" i="7"/>
  <c r="D3692" i="7"/>
  <c r="D3708" i="7"/>
  <c r="D3724" i="7"/>
  <c r="D3740" i="7"/>
  <c r="D3756" i="7"/>
  <c r="D3772" i="7"/>
  <c r="D3788" i="7"/>
  <c r="D3804" i="7"/>
  <c r="D3820" i="7"/>
  <c r="D3836" i="7"/>
  <c r="D3852" i="7"/>
  <c r="D3868" i="7"/>
  <c r="D3884" i="7"/>
  <c r="D3900" i="7"/>
  <c r="D3916" i="7"/>
  <c r="D3932" i="7"/>
  <c r="D3948" i="7"/>
  <c r="D3964" i="7"/>
  <c r="D3980" i="7"/>
  <c r="D3996" i="7"/>
  <c r="D4012" i="7"/>
  <c r="D4028" i="7"/>
  <c r="D4044" i="7"/>
  <c r="D4060" i="7"/>
  <c r="D4076" i="7"/>
  <c r="D4092" i="7"/>
  <c r="D4108" i="7"/>
  <c r="D4124" i="7"/>
  <c r="D4140" i="7"/>
  <c r="D4156" i="7"/>
  <c r="D4172" i="7"/>
  <c r="D4188" i="7"/>
  <c r="D4204" i="7"/>
  <c r="D4236" i="7"/>
  <c r="D4252" i="7"/>
  <c r="D4268" i="7"/>
  <c r="D4284" i="7"/>
  <c r="D4300" i="7"/>
  <c r="D4316" i="7"/>
  <c r="D4332" i="7"/>
  <c r="D4348" i="7"/>
  <c r="D4364" i="7"/>
  <c r="D4380" i="7"/>
  <c r="D4396" i="7"/>
  <c r="D4412" i="7"/>
  <c r="D4428" i="7"/>
  <c r="D4444" i="7"/>
  <c r="D4460" i="7"/>
  <c r="D4476" i="7"/>
  <c r="D4492" i="7"/>
  <c r="D4508" i="7"/>
  <c r="D4524" i="7"/>
  <c r="D4540" i="7"/>
  <c r="D4556" i="7"/>
  <c r="D4572" i="7"/>
  <c r="D4588" i="7"/>
  <c r="D4604" i="7"/>
  <c r="D4620" i="7"/>
  <c r="D4636" i="7"/>
  <c r="D4652" i="7"/>
  <c r="D4668" i="7"/>
  <c r="D4684" i="7"/>
  <c r="D4700" i="7"/>
  <c r="D4716" i="7"/>
  <c r="D4732" i="7"/>
  <c r="D4748" i="7"/>
  <c r="D4764" i="7"/>
  <c r="D4796" i="7"/>
  <c r="D4828" i="7"/>
  <c r="D4860" i="7"/>
  <c r="D4876" i="7"/>
  <c r="D4870" i="7"/>
  <c r="D4790" i="7"/>
  <c r="D4737" i="7"/>
  <c r="D4673" i="7"/>
  <c r="D4587" i="7"/>
  <c r="D4442" i="7"/>
  <c r="D13" i="7"/>
  <c r="D29" i="7"/>
  <c r="D45" i="7"/>
  <c r="D61" i="7"/>
  <c r="D77" i="7"/>
  <c r="D93" i="7"/>
  <c r="D109" i="7"/>
  <c r="D125" i="7"/>
  <c r="D141" i="7"/>
  <c r="D157" i="7"/>
  <c r="D173" i="7"/>
  <c r="D189" i="7"/>
  <c r="D205" i="7"/>
  <c r="D221" i="7"/>
  <c r="D237" i="7"/>
  <c r="D253" i="7"/>
  <c r="D269" i="7"/>
  <c r="D285" i="7"/>
  <c r="D301" i="7"/>
  <c r="D317" i="7"/>
  <c r="D333" i="7"/>
  <c r="D349" i="7"/>
  <c r="D365" i="7"/>
  <c r="D381" i="7"/>
  <c r="D397" i="7"/>
  <c r="D413" i="7"/>
  <c r="D429" i="7"/>
  <c r="D445" i="7"/>
  <c r="D461" i="7"/>
  <c r="D477" i="7"/>
  <c r="D493" i="7"/>
  <c r="D509" i="7"/>
  <c r="D525" i="7"/>
  <c r="D541" i="7"/>
  <c r="D557" i="7"/>
  <c r="D573" i="7"/>
  <c r="D589" i="7"/>
  <c r="D605" i="7"/>
  <c r="D621" i="7"/>
  <c r="D637" i="7"/>
  <c r="D653" i="7"/>
  <c r="D669" i="7"/>
  <c r="D685" i="7"/>
  <c r="D701" i="7"/>
  <c r="D717" i="7"/>
  <c r="D733" i="7"/>
  <c r="D749" i="7"/>
  <c r="D765" i="7"/>
  <c r="D781" i="7"/>
  <c r="D797" i="7"/>
  <c r="D813" i="7"/>
  <c r="D829" i="7"/>
  <c r="D845" i="7"/>
  <c r="D861" i="7"/>
  <c r="D877" i="7"/>
  <c r="D893" i="7"/>
  <c r="D909" i="7"/>
  <c r="D925" i="7"/>
  <c r="D941" i="7"/>
  <c r="D957" i="7"/>
  <c r="D973" i="7"/>
  <c r="D989" i="7"/>
  <c r="D1005" i="7"/>
  <c r="D1021" i="7"/>
  <c r="D1037" i="7"/>
  <c r="D1053" i="7"/>
  <c r="D1069" i="7"/>
  <c r="D1085" i="7"/>
  <c r="D1101" i="7"/>
  <c r="D1117" i="7"/>
  <c r="D1133" i="7"/>
  <c r="D1149" i="7"/>
  <c r="D1165" i="7"/>
  <c r="D1181" i="7"/>
  <c r="D1197" i="7"/>
  <c r="D1213" i="7"/>
  <c r="D1229" i="7"/>
  <c r="D1245" i="7"/>
  <c r="D1261" i="7"/>
  <c r="D1277" i="7"/>
  <c r="D1293" i="7"/>
  <c r="D1309" i="7"/>
  <c r="D1325" i="7"/>
  <c r="D1341" i="7"/>
  <c r="D1357" i="7"/>
  <c r="D1373" i="7"/>
  <c r="D1389" i="7"/>
  <c r="D1405" i="7"/>
  <c r="D1421" i="7"/>
  <c r="D1437" i="7"/>
  <c r="D1453" i="7"/>
  <c r="D1469" i="7"/>
  <c r="D1485" i="7"/>
  <c r="D1501" i="7"/>
  <c r="D1517" i="7"/>
  <c r="D1533" i="7"/>
  <c r="D1549" i="7"/>
  <c r="D1565" i="7"/>
  <c r="D1581" i="7"/>
  <c r="D1597" i="7"/>
  <c r="D1613" i="7"/>
  <c r="D1629" i="7"/>
  <c r="D1645" i="7"/>
  <c r="D1661" i="7"/>
  <c r="D1677" i="7"/>
  <c r="D1693" i="7"/>
  <c r="D1709" i="7"/>
  <c r="D1725" i="7"/>
  <c r="D1741" i="7"/>
  <c r="D1757" i="7"/>
  <c r="D1773" i="7"/>
  <c r="D1789" i="7"/>
  <c r="D1805" i="7"/>
  <c r="D1821" i="7"/>
  <c r="D1837" i="7"/>
  <c r="D1853" i="7"/>
  <c r="D1869" i="7"/>
  <c r="D1885" i="7"/>
  <c r="D1901" i="7"/>
  <c r="D1917" i="7"/>
  <c r="D1933" i="7"/>
  <c r="D1949" i="7"/>
  <c r="D1965" i="7"/>
  <c r="D1981" i="7"/>
  <c r="D1997" i="7"/>
  <c r="D2013" i="7"/>
  <c r="D2029" i="7"/>
  <c r="D2045" i="7"/>
  <c r="D2061" i="7"/>
  <c r="D2077" i="7"/>
  <c r="D2093" i="7"/>
  <c r="D2109" i="7"/>
  <c r="D2125" i="7"/>
  <c r="D2141" i="7"/>
  <c r="D2157" i="7"/>
  <c r="D2173" i="7"/>
  <c r="D2189" i="7"/>
  <c r="D2205" i="7"/>
  <c r="D2221" i="7"/>
  <c r="D2237" i="7"/>
  <c r="D2253" i="7"/>
  <c r="D2269" i="7"/>
  <c r="D2285" i="7"/>
  <c r="D2301" i="7"/>
  <c r="D2317" i="7"/>
  <c r="D2333" i="7"/>
  <c r="D2349" i="7"/>
  <c r="D2365" i="7"/>
  <c r="D2381" i="7"/>
  <c r="D2397" i="7"/>
  <c r="D2413" i="7"/>
  <c r="D2429" i="7"/>
  <c r="D2445" i="7"/>
  <c r="D2461" i="7"/>
  <c r="D2477" i="7"/>
  <c r="D2493" i="7"/>
  <c r="D2509" i="7"/>
  <c r="D2525" i="7"/>
  <c r="D2541" i="7"/>
  <c r="D2557" i="7"/>
  <c r="D2573" i="7"/>
  <c r="D2589" i="7"/>
  <c r="D2605" i="7"/>
  <c r="D2621" i="7"/>
  <c r="D2637" i="7"/>
  <c r="D2653" i="7"/>
  <c r="D2669" i="7"/>
  <c r="D2685" i="7"/>
  <c r="D2701" i="7"/>
  <c r="D2717" i="7"/>
  <c r="D2733" i="7"/>
  <c r="D2749" i="7"/>
  <c r="D2765" i="7"/>
  <c r="D2781" i="7"/>
  <c r="D2797" i="7"/>
  <c r="D2813" i="7"/>
  <c r="D2829" i="7"/>
  <c r="D2845" i="7"/>
  <c r="D2861" i="7"/>
  <c r="D2877" i="7"/>
  <c r="D2893" i="7"/>
  <c r="D2909" i="7"/>
  <c r="D2925" i="7"/>
  <c r="D2941" i="7"/>
  <c r="D2957" i="7"/>
  <c r="D2973" i="7"/>
  <c r="D2989" i="7"/>
  <c r="D3005" i="7"/>
  <c r="D3021" i="7"/>
  <c r="D3037" i="7"/>
  <c r="D3053" i="7"/>
  <c r="D3069" i="7"/>
  <c r="D3085" i="7"/>
  <c r="D3101" i="7"/>
  <c r="D3117" i="7"/>
  <c r="D3133" i="7"/>
  <c r="D3149" i="7"/>
  <c r="D3165" i="7"/>
  <c r="D3181" i="7"/>
  <c r="D3197" i="7"/>
  <c r="D3213" i="7"/>
  <c r="D3229" i="7"/>
  <c r="D3245" i="7"/>
  <c r="D3261" i="7"/>
  <c r="D3277" i="7"/>
  <c r="D3293" i="7"/>
  <c r="D3309" i="7"/>
  <c r="D3325" i="7"/>
  <c r="D3341" i="7"/>
  <c r="D3357" i="7"/>
  <c r="D3373" i="7"/>
  <c r="D3389" i="7"/>
  <c r="D3405" i="7"/>
  <c r="D3421" i="7"/>
  <c r="D3437" i="7"/>
  <c r="D3453" i="7"/>
  <c r="D3469" i="7"/>
  <c r="D3485" i="7"/>
  <c r="D3501" i="7"/>
  <c r="D3517" i="7"/>
  <c r="D3533" i="7"/>
  <c r="D3549" i="7"/>
  <c r="D3565" i="7"/>
  <c r="D3581" i="7"/>
  <c r="D3597" i="7"/>
  <c r="D3613" i="7"/>
  <c r="D3629" i="7"/>
  <c r="D4220" i="7"/>
  <c r="D1838" i="7"/>
  <c r="D1854" i="7"/>
  <c r="D1870" i="7"/>
  <c r="D1886" i="7"/>
  <c r="D1902" i="7"/>
  <c r="D1918" i="7"/>
  <c r="D1934" i="7"/>
  <c r="D1950" i="7"/>
  <c r="D1966" i="7"/>
  <c r="D1982" i="7"/>
  <c r="D1998" i="7"/>
  <c r="D2014" i="7"/>
  <c r="D2030" i="7"/>
  <c r="D2046" i="7"/>
  <c r="D2062" i="7"/>
  <c r="D2078" i="7"/>
  <c r="D2094" i="7"/>
  <c r="D2110" i="7"/>
  <c r="D2126" i="7"/>
  <c r="D2142" i="7"/>
  <c r="D2158" i="7"/>
  <c r="D2174" i="7"/>
  <c r="D2190" i="7"/>
  <c r="D2206" i="7"/>
  <c r="D2222" i="7"/>
  <c r="D2238" i="7"/>
  <c r="D2254" i="7"/>
  <c r="D2270" i="7"/>
  <c r="D2286" i="7"/>
  <c r="D2302" i="7"/>
  <c r="D2318" i="7"/>
  <c r="D2334" i="7"/>
  <c r="D2350" i="7"/>
  <c r="D2366" i="7"/>
  <c r="D2382" i="7"/>
  <c r="D2398" i="7"/>
  <c r="D2414" i="7"/>
  <c r="D2430" i="7"/>
  <c r="D2446" i="7"/>
  <c r="D2462" i="7"/>
  <c r="D2478" i="7"/>
  <c r="D2494" i="7"/>
  <c r="D2510" i="7"/>
  <c r="D2526" i="7"/>
  <c r="D2542" i="7"/>
  <c r="D2558" i="7"/>
  <c r="D2574" i="7"/>
  <c r="D2590" i="7"/>
  <c r="D2606" i="7"/>
  <c r="D2622" i="7"/>
  <c r="D2638" i="7"/>
  <c r="D2654" i="7"/>
  <c r="D2670" i="7"/>
  <c r="D2686" i="7"/>
  <c r="D2702" i="7"/>
  <c r="D2718" i="7"/>
  <c r="D2734" i="7"/>
  <c r="D2750" i="7"/>
  <c r="D2766" i="7"/>
  <c r="D2782" i="7"/>
  <c r="D2798" i="7"/>
  <c r="D2814" i="7"/>
  <c r="D2830" i="7"/>
  <c r="D2846" i="7"/>
  <c r="D2862" i="7"/>
  <c r="D2878" i="7"/>
  <c r="D2894" i="7"/>
  <c r="D2910" i="7"/>
  <c r="D2926" i="7"/>
  <c r="D2942" i="7"/>
  <c r="D2958" i="7"/>
  <c r="D2974" i="7"/>
  <c r="D2990" i="7"/>
  <c r="D3006" i="7"/>
  <c r="D3022" i="7"/>
  <c r="D3038" i="7"/>
  <c r="D3054" i="7"/>
  <c r="D3070" i="7"/>
  <c r="D3086" i="7"/>
  <c r="D3102" i="7"/>
  <c r="D3118" i="7"/>
  <c r="D3134" i="7"/>
  <c r="D3150" i="7"/>
  <c r="D3166" i="7"/>
  <c r="D3182" i="7"/>
  <c r="D3198" i="7"/>
  <c r="D3214" i="7"/>
  <c r="D3230" i="7"/>
  <c r="D3246" i="7"/>
  <c r="D3262" i="7"/>
  <c r="D3278" i="7"/>
  <c r="D3294" i="7"/>
  <c r="D3310" i="7"/>
  <c r="D3326" i="7"/>
  <c r="D3342" i="7"/>
  <c r="D3358" i="7"/>
  <c r="D3374" i="7"/>
  <c r="D3390" i="7"/>
  <c r="D3406" i="7"/>
  <c r="D3422" i="7"/>
  <c r="D3438" i="7"/>
  <c r="D3454" i="7"/>
  <c r="D3470" i="7"/>
  <c r="D3486" i="7"/>
  <c r="D3502" i="7"/>
  <c r="D3518" i="7"/>
  <c r="D3534" i="7"/>
  <c r="D3550" i="7"/>
  <c r="D3566" i="7"/>
  <c r="D3582" i="7"/>
  <c r="D3598" i="7"/>
  <c r="D3614" i="7"/>
  <c r="D3630" i="7"/>
  <c r="D3646" i="7"/>
  <c r="D3662" i="7"/>
  <c r="D3678" i="7"/>
  <c r="D3694" i="7"/>
  <c r="D3710" i="7"/>
  <c r="D3726" i="7"/>
  <c r="D3742" i="7"/>
  <c r="D3758" i="7"/>
  <c r="D3774" i="7"/>
  <c r="D3790" i="7"/>
  <c r="D3806" i="7"/>
  <c r="D3822" i="7"/>
  <c r="D3838" i="7"/>
  <c r="D3854" i="7"/>
  <c r="D3870" i="7"/>
  <c r="D3886" i="7"/>
  <c r="D3902" i="7"/>
  <c r="D3918" i="7"/>
  <c r="D3934" i="7"/>
  <c r="D3950" i="7"/>
  <c r="D3966" i="7"/>
  <c r="D3982" i="7"/>
  <c r="D3998" i="7"/>
  <c r="D4014" i="7"/>
  <c r="D4030" i="7"/>
  <c r="D4046" i="7"/>
  <c r="D4062" i="7"/>
  <c r="D4078" i="7"/>
  <c r="D4094" i="7"/>
  <c r="D4110" i="7"/>
  <c r="D4126" i="7"/>
  <c r="D4142" i="7"/>
  <c r="D4158" i="7"/>
  <c r="D4174" i="7"/>
  <c r="D4190" i="7"/>
  <c r="D4206" i="7"/>
  <c r="D4222" i="7"/>
  <c r="D4238" i="7"/>
  <c r="D4254" i="7"/>
  <c r="D4270" i="7"/>
  <c r="D4286" i="7"/>
  <c r="D4302" i="7"/>
  <c r="D4318" i="7"/>
  <c r="D4334" i="7"/>
  <c r="D4350" i="7"/>
  <c r="D4366" i="7"/>
  <c r="D4382" i="7"/>
  <c r="D4398" i="7"/>
  <c r="D4414" i="7"/>
  <c r="D4430" i="7"/>
  <c r="D4446" i="7"/>
  <c r="D4462" i="7"/>
  <c r="D4478" i="7"/>
  <c r="D4494" i="7"/>
  <c r="D4510" i="7"/>
  <c r="D4526" i="7"/>
  <c r="D4542" i="7"/>
  <c r="D4558" i="7"/>
  <c r="D4574" i="7"/>
  <c r="D4590" i="7"/>
  <c r="D4606" i="7"/>
  <c r="D4622" i="7"/>
  <c r="D4638" i="7"/>
  <c r="D4654" i="7"/>
  <c r="D4670" i="7"/>
  <c r="D4686" i="7"/>
  <c r="D4702" i="7"/>
  <c r="D4718" i="7"/>
  <c r="D4734" i="7"/>
  <c r="D4750" i="7"/>
  <c r="D4766" i="7"/>
  <c r="D4782" i="7"/>
  <c r="D4798" i="7"/>
  <c r="D4814" i="7"/>
  <c r="D4846" i="7"/>
  <c r="D4862" i="7"/>
  <c r="D4878" i="7"/>
  <c r="D4894" i="7"/>
  <c r="D4910" i="7"/>
  <c r="D4926" i="7"/>
  <c r="D4958" i="7"/>
  <c r="D4974" i="7"/>
  <c r="D4990" i="7"/>
  <c r="D4942" i="7"/>
  <c r="D4902" i="7"/>
  <c r="D4830" i="7"/>
  <c r="D3645" i="7"/>
  <c r="D3661" i="7"/>
  <c r="D3677" i="7"/>
  <c r="D3693" i="7"/>
  <c r="D3709" i="7"/>
  <c r="D3725" i="7"/>
  <c r="D3741" i="7"/>
  <c r="D3757" i="7"/>
  <c r="D3773" i="7"/>
  <c r="D3789" i="7"/>
  <c r="D3805" i="7"/>
  <c r="D3821" i="7"/>
  <c r="D3837" i="7"/>
  <c r="D3853" i="7"/>
  <c r="D3869" i="7"/>
  <c r="D3885" i="7"/>
  <c r="D3901" i="7"/>
  <c r="D3917" i="7"/>
  <c r="D3933" i="7"/>
  <c r="D3949" i="7"/>
  <c r="D3965" i="7"/>
  <c r="D3981" i="7"/>
  <c r="D3997" i="7"/>
  <c r="D4013" i="7"/>
  <c r="D4029" i="7"/>
  <c r="D4045" i="7"/>
  <c r="D4061" i="7"/>
  <c r="D4077" i="7"/>
  <c r="D4093" i="7"/>
  <c r="D4109" i="7"/>
  <c r="D4125" i="7"/>
  <c r="D4141" i="7"/>
  <c r="D4157" i="7"/>
  <c r="D4173" i="7"/>
  <c r="D4189" i="7"/>
  <c r="D4205" i="7"/>
  <c r="D4221" i="7"/>
  <c r="D4237" i="7"/>
  <c r="D4253" i="7"/>
  <c r="D4269" i="7"/>
  <c r="D4285" i="7"/>
  <c r="D4301" i="7"/>
  <c r="D4317" i="7"/>
  <c r="D4333" i="7"/>
  <c r="D4349" i="7"/>
  <c r="D4365" i="7"/>
  <c r="D4381" i="7"/>
  <c r="D4397" i="7"/>
  <c r="D4413" i="7"/>
  <c r="D4429" i="7"/>
  <c r="D4445" i="7"/>
  <c r="D4461" i="7"/>
  <c r="D4477" i="7"/>
  <c r="D4493" i="7"/>
  <c r="D4509" i="7"/>
  <c r="D4525" i="7"/>
  <c r="D4541" i="7"/>
  <c r="D4557" i="7"/>
  <c r="D4573" i="7"/>
  <c r="D4589" i="7"/>
  <c r="D4605" i="7"/>
  <c r="D4621" i="7"/>
  <c r="D4047" i="7"/>
  <c r="D4111" i="7"/>
  <c r="D4175" i="7"/>
  <c r="D4239" i="7"/>
  <c r="D4271" i="7"/>
  <c r="D4303" i="7"/>
  <c r="D4367" i="7"/>
  <c r="D4415" i="7"/>
  <c r="D4431" i="7"/>
  <c r="D4447" i="7"/>
  <c r="D4543" i="7"/>
  <c r="D4511" i="7"/>
  <c r="D3744" i="7"/>
  <c r="D3760" i="7"/>
  <c r="D3776" i="7"/>
  <c r="D3792" i="7"/>
  <c r="D3808" i="7"/>
  <c r="D3824" i="7"/>
  <c r="D3840" i="7"/>
  <c r="D3856" i="7"/>
  <c r="D3872" i="7"/>
  <c r="D3888" i="7"/>
  <c r="D3904" i="7"/>
  <c r="D3920" i="7"/>
  <c r="D3936" i="7"/>
  <c r="D3952" i="7"/>
  <c r="D3968" i="7"/>
  <c r="D3984" i="7"/>
  <c r="D4000" i="7"/>
  <c r="D4016" i="7"/>
  <c r="D4032" i="7"/>
  <c r="D4048" i="7"/>
  <c r="D4064" i="7"/>
  <c r="D4080" i="7"/>
  <c r="D4096" i="7"/>
  <c r="D4112" i="7"/>
  <c r="D4128" i="7"/>
  <c r="D4144" i="7"/>
  <c r="D4160" i="7"/>
  <c r="D4176" i="7"/>
  <c r="D4192" i="7"/>
  <c r="D4208" i="7"/>
  <c r="D4224" i="7"/>
  <c r="D4240" i="7"/>
  <c r="D4256" i="7"/>
  <c r="D4272" i="7"/>
  <c r="D4288" i="7"/>
  <c r="D4304" i="7"/>
  <c r="D4320" i="7"/>
  <c r="D4336" i="7"/>
  <c r="D4352" i="7"/>
  <c r="D4368" i="7"/>
  <c r="D4384" i="7"/>
  <c r="D4400" i="7"/>
  <c r="D4416" i="7"/>
  <c r="D4432" i="7"/>
  <c r="D4448" i="7"/>
  <c r="D4464" i="7"/>
  <c r="D4480" i="7"/>
  <c r="D4496" i="7"/>
  <c r="D4512" i="7"/>
  <c r="D4528" i="7"/>
  <c r="D4544" i="7"/>
  <c r="D4560" i="7"/>
  <c r="D4576" i="7"/>
  <c r="D4592" i="7"/>
  <c r="D4608" i="7"/>
  <c r="D4624" i="7"/>
  <c r="D4640" i="7"/>
  <c r="D4656" i="7"/>
  <c r="D4672" i="7"/>
  <c r="D4688" i="7"/>
  <c r="D4704" i="7"/>
  <c r="D4720" i="7"/>
  <c r="D4736" i="7"/>
  <c r="D4752" i="7"/>
  <c r="D4768" i="7"/>
  <c r="D4784" i="7"/>
  <c r="D4848" i="7"/>
  <c r="D4671" i="7"/>
  <c r="D4655" i="7"/>
  <c r="D4639" i="7"/>
  <c r="D4399" i="7"/>
  <c r="D4351" i="7"/>
  <c r="D4287" i="7"/>
  <c r="D4223" i="7"/>
  <c r="D4159" i="7"/>
  <c r="D4095" i="7"/>
  <c r="D4031" i="7"/>
  <c r="D4973" i="7"/>
  <c r="D4941" i="7"/>
  <c r="D4909" i="7"/>
  <c r="D4893" i="7"/>
  <c r="D4877" i="7"/>
  <c r="D4845" i="7"/>
  <c r="D4813" i="7"/>
  <c r="D4781" i="7"/>
  <c r="D4765" i="7"/>
  <c r="D4749" i="7"/>
  <c r="D4733" i="7"/>
  <c r="D4717" i="7"/>
  <c r="D4701" i="7"/>
  <c r="D4685" i="7"/>
  <c r="D4669" i="7"/>
  <c r="D4653" i="7"/>
  <c r="D4637" i="7"/>
  <c r="D3859" i="7"/>
  <c r="D3875" i="7"/>
  <c r="D3891" i="7"/>
  <c r="D3907" i="7"/>
  <c r="D3923" i="7"/>
  <c r="D3939" i="7"/>
  <c r="D3955" i="7"/>
  <c r="D3971" i="7"/>
  <c r="D3987" i="7"/>
  <c r="D4003" i="7"/>
  <c r="D4019" i="7"/>
  <c r="D4035" i="7"/>
  <c r="D4051" i="7"/>
  <c r="D4067" i="7"/>
  <c r="D4083" i="7"/>
  <c r="D4099" i="7"/>
  <c r="D4115" i="7"/>
  <c r="D4131" i="7"/>
  <c r="D4147" i="7"/>
  <c r="D4163" i="7"/>
  <c r="D4179" i="7"/>
  <c r="D4195" i="7"/>
  <c r="D4211" i="7"/>
  <c r="D4227" i="7"/>
  <c r="D4243" i="7"/>
  <c r="D4259" i="7"/>
  <c r="D4275" i="7"/>
  <c r="D4291" i="7"/>
  <c r="D4307" i="7"/>
  <c r="D4323" i="7"/>
  <c r="D4339" i="7"/>
  <c r="D4355" i="7"/>
  <c r="D4371" i="7"/>
  <c r="D4387" i="7"/>
  <c r="D4403" i="7"/>
  <c r="D4419" i="7"/>
  <c r="D4435" i="7"/>
  <c r="D4451" i="7"/>
  <c r="D4467" i="7"/>
  <c r="D4483" i="7"/>
  <c r="D4499" i="7"/>
  <c r="D4515" i="7"/>
  <c r="D4531" i="7"/>
  <c r="D4547" i="7"/>
  <c r="D4563" i="7"/>
  <c r="D4579" i="7"/>
  <c r="D4595" i="7"/>
  <c r="D4611" i="7"/>
  <c r="D4627" i="7"/>
  <c r="D4643" i="7"/>
  <c r="D4659" i="7"/>
  <c r="D4675" i="7"/>
  <c r="D4691" i="7"/>
  <c r="D4707" i="7"/>
  <c r="D4723" i="7"/>
  <c r="D4739" i="7"/>
  <c r="D4755" i="7"/>
  <c r="D4771" i="7"/>
  <c r="D4835" i="7"/>
  <c r="D4899" i="7"/>
  <c r="D4988" i="7"/>
  <c r="D4956" i="7"/>
  <c r="D4924" i="7"/>
  <c r="D4892" i="7"/>
  <c r="D4084" i="7"/>
  <c r="D4100" i="7"/>
  <c r="D4116" i="7"/>
  <c r="D4148" i="7"/>
  <c r="D4164" i="7"/>
  <c r="D4180" i="7"/>
  <c r="D4212" i="7"/>
  <c r="D4228" i="7"/>
  <c r="D4244" i="7"/>
  <c r="D4276" i="7"/>
  <c r="D4292" i="7"/>
  <c r="D4308" i="7"/>
  <c r="D4340" i="7"/>
  <c r="D4356" i="7"/>
  <c r="D4372" i="7"/>
  <c r="D4388" i="7"/>
  <c r="D4404" i="7"/>
  <c r="D4436" i="7"/>
  <c r="D4452" i="7"/>
  <c r="D4468" i="7"/>
  <c r="D4484" i="7"/>
  <c r="D4516" i="7"/>
  <c r="D4548" i="7"/>
  <c r="D4564" i="7"/>
  <c r="D4580" i="7"/>
  <c r="D4596" i="7"/>
  <c r="D4628" i="7"/>
  <c r="D4644" i="7"/>
  <c r="D4660" i="7"/>
  <c r="D4676" i="7"/>
  <c r="D4692" i="7"/>
  <c r="D4708" i="7"/>
  <c r="D4724" i="7"/>
  <c r="D4740" i="7"/>
  <c r="D4756" i="7"/>
  <c r="D4788" i="7"/>
  <c r="D4916" i="7"/>
  <c r="D4971" i="7"/>
  <c r="D4939" i="7"/>
  <c r="D4907" i="7"/>
  <c r="D4875" i="7"/>
  <c r="D4859" i="7"/>
  <c r="D4843" i="7"/>
  <c r="D4811" i="7"/>
  <c r="D4779" i="7"/>
  <c r="D4747" i="7"/>
  <c r="D4731" i="7"/>
  <c r="D4715" i="7"/>
  <c r="D4699" i="7"/>
  <c r="D4612" i="7"/>
  <c r="D4335" i="7"/>
  <c r="D4207" i="7"/>
  <c r="D4143" i="7"/>
  <c r="D4079" i="7"/>
  <c r="D4015" i="7"/>
  <c r="D3637" i="7"/>
  <c r="D3653" i="7"/>
  <c r="D3669" i="7"/>
  <c r="D3685" i="7"/>
  <c r="D3701" i="7"/>
  <c r="D3717" i="7"/>
  <c r="D3733" i="7"/>
  <c r="D3749" i="7"/>
  <c r="D3765" i="7"/>
  <c r="D3781" i="7"/>
  <c r="D3797" i="7"/>
  <c r="D3813" i="7"/>
  <c r="D3829" i="7"/>
  <c r="D3845" i="7"/>
  <c r="D3861" i="7"/>
  <c r="D3877" i="7"/>
  <c r="D3893" i="7"/>
  <c r="D3909" i="7"/>
  <c r="D3925" i="7"/>
  <c r="D3941" i="7"/>
  <c r="D3957" i="7"/>
  <c r="D3973" i="7"/>
  <c r="D3989" i="7"/>
  <c r="D4005" i="7"/>
  <c r="D4021" i="7"/>
  <c r="D4037" i="7"/>
  <c r="D4053" i="7"/>
  <c r="D4069" i="7"/>
  <c r="D4085" i="7"/>
  <c r="D4101" i="7"/>
  <c r="D4117" i="7"/>
  <c r="D4133" i="7"/>
  <c r="D4149" i="7"/>
  <c r="D4165" i="7"/>
  <c r="D4181" i="7"/>
  <c r="D4197" i="7"/>
  <c r="D4213" i="7"/>
  <c r="D4229" i="7"/>
  <c r="D4245" i="7"/>
  <c r="D4261" i="7"/>
  <c r="D4277" i="7"/>
  <c r="D4293" i="7"/>
  <c r="D4309" i="7"/>
  <c r="D4325" i="7"/>
  <c r="D4341" i="7"/>
  <c r="D4357" i="7"/>
  <c r="D4373" i="7"/>
  <c r="D4389" i="7"/>
  <c r="D4405" i="7"/>
  <c r="D4421" i="7"/>
  <c r="D4437" i="7"/>
  <c r="D4453" i="7"/>
  <c r="D4469" i="7"/>
  <c r="D4485" i="7"/>
  <c r="D4501" i="7"/>
  <c r="D4517" i="7"/>
  <c r="D4533" i="7"/>
  <c r="D4549" i="7"/>
  <c r="D4565" i="7"/>
  <c r="D4581" i="7"/>
  <c r="D4597" i="7"/>
  <c r="D4613" i="7"/>
  <c r="D4629" i="7"/>
  <c r="D4645" i="7"/>
  <c r="D4661" i="7"/>
  <c r="D4677" i="7"/>
  <c r="D4693" i="7"/>
  <c r="D4709" i="7"/>
  <c r="D4725" i="7"/>
  <c r="D4741" i="7"/>
  <c r="D4757" i="7"/>
  <c r="D4773" i="7"/>
  <c r="D4805" i="7"/>
  <c r="D4933" i="7"/>
  <c r="D4970" i="7"/>
  <c r="D4954" i="7"/>
  <c r="D4922" i="7"/>
  <c r="D4890" i="7"/>
  <c r="D4500" i="7"/>
  <c r="D4055" i="7"/>
  <c r="D4071" i="7"/>
  <c r="D4087" i="7"/>
  <c r="D4103" i="7"/>
  <c r="D4119" i="7"/>
  <c r="D4135" i="7"/>
  <c r="D4151" i="7"/>
  <c r="D4167" i="7"/>
  <c r="D4183" i="7"/>
  <c r="D4199" i="7"/>
  <c r="D4215" i="7"/>
  <c r="D4231" i="7"/>
  <c r="D4247" i="7"/>
  <c r="D4263" i="7"/>
  <c r="D4279" i="7"/>
  <c r="D4295" i="7"/>
  <c r="D4311" i="7"/>
  <c r="D4327" i="7"/>
  <c r="D4343" i="7"/>
  <c r="D4359" i="7"/>
  <c r="D4375" i="7"/>
  <c r="D4391" i="7"/>
  <c r="D4407" i="7"/>
  <c r="D4439" i="7"/>
  <c r="D4455" i="7"/>
  <c r="D4471" i="7"/>
  <c r="D4487" i="7"/>
  <c r="D4503" i="7"/>
  <c r="D4519" i="7"/>
  <c r="D4535" i="7"/>
  <c r="D4551" i="7"/>
  <c r="D4583" i="7"/>
  <c r="D4599" i="7"/>
  <c r="D4615" i="7"/>
  <c r="D4679" i="7"/>
  <c r="D4743" i="7"/>
  <c r="D4532" i="7"/>
  <c r="D4423" i="7"/>
  <c r="D4383" i="7"/>
  <c r="D4324" i="7"/>
  <c r="D4260" i="7"/>
  <c r="D4196" i="7"/>
  <c r="D4132" i="7"/>
  <c r="D3752" i="7"/>
  <c r="D3768" i="7"/>
  <c r="D3784" i="7"/>
  <c r="D3800" i="7"/>
  <c r="D3816" i="7"/>
  <c r="D3832" i="7"/>
  <c r="D3848" i="7"/>
  <c r="D3864" i="7"/>
  <c r="D3880" i="7"/>
  <c r="D3896" i="7"/>
  <c r="D3912" i="7"/>
  <c r="D3928" i="7"/>
  <c r="D3944" i="7"/>
  <c r="D3960" i="7"/>
  <c r="D3976" i="7"/>
  <c r="D3992" i="7"/>
  <c r="D4008" i="7"/>
  <c r="D4024" i="7"/>
  <c r="D4040" i="7"/>
  <c r="D4056" i="7"/>
  <c r="D4072" i="7"/>
  <c r="D4088" i="7"/>
  <c r="D4104" i="7"/>
  <c r="D4120" i="7"/>
  <c r="D4136" i="7"/>
  <c r="D4152" i="7"/>
  <c r="D4168" i="7"/>
  <c r="D4184" i="7"/>
  <c r="D4200" i="7"/>
  <c r="D4216" i="7"/>
  <c r="D4232" i="7"/>
  <c r="D4248" i="7"/>
  <c r="D4264" i="7"/>
  <c r="D4280" i="7"/>
  <c r="D4296" i="7"/>
  <c r="D4312" i="7"/>
  <c r="D4328" i="7"/>
  <c r="D4344" i="7"/>
  <c r="D4360" i="7"/>
  <c r="D4376" i="7"/>
  <c r="D4392" i="7"/>
  <c r="D4408" i="7"/>
  <c r="D4424" i="7"/>
  <c r="D4440" i="7"/>
  <c r="D4456" i="7"/>
  <c r="D4472" i="7"/>
  <c r="D4488" i="7"/>
  <c r="D4504" i="7"/>
  <c r="D4520" i="7"/>
  <c r="D4536" i="7"/>
  <c r="D4552" i="7"/>
  <c r="D4568" i="7"/>
  <c r="D4584" i="7"/>
  <c r="D4600" i="7"/>
  <c r="D4616" i="7"/>
  <c r="D4632" i="7"/>
  <c r="D4648" i="7"/>
  <c r="D4664" i="7"/>
  <c r="D4680" i="7"/>
  <c r="D4696" i="7"/>
  <c r="D4712" i="7"/>
  <c r="D4728" i="7"/>
  <c r="D4744" i="7"/>
  <c r="D4760" i="7"/>
  <c r="D4792" i="7"/>
  <c r="D4808" i="7"/>
  <c r="D4824" i="7"/>
  <c r="D4856" i="7"/>
  <c r="D4888" i="7"/>
  <c r="D4920" i="7"/>
  <c r="D4936" i="7"/>
  <c r="D4984" i="7"/>
  <c r="D4999" i="7"/>
  <c r="D4967" i="7"/>
  <c r="D4935" i="7"/>
  <c r="D4919" i="7"/>
  <c r="D4903" i="7"/>
  <c r="D4871" i="7"/>
  <c r="D4839" i="7"/>
  <c r="D4807" i="7"/>
  <c r="D4791" i="7"/>
  <c r="D4775" i="7"/>
  <c r="D4759" i="7"/>
  <c r="D4727" i="7"/>
  <c r="D4711" i="7"/>
  <c r="D4695" i="7"/>
  <c r="D4663" i="7"/>
  <c r="D4647" i="7"/>
  <c r="D4631" i="7"/>
  <c r="D4567" i="7"/>
  <c r="D4527" i="7"/>
  <c r="D4420" i="7"/>
  <c r="D4319" i="7"/>
  <c r="D4255" i="7"/>
  <c r="D4191" i="7"/>
  <c r="D4127" i="7"/>
  <c r="D4063" i="7"/>
  <c r="D3999" i="7"/>
  <c r="D4872" i="7"/>
  <c r="D4772" i="7"/>
  <c r="D4804" i="7"/>
  <c r="D4820" i="7"/>
  <c r="D4836" i="7"/>
  <c r="D4852" i="7"/>
  <c r="D4868" i="7"/>
  <c r="D4884" i="7"/>
  <c r="D4900" i="7"/>
  <c r="D4932" i="7"/>
  <c r="D4948" i="7"/>
  <c r="D4964" i="7"/>
  <c r="D4980" i="7"/>
  <c r="D4996" i="7"/>
  <c r="D4840" i="7"/>
  <c r="D4789" i="7"/>
  <c r="D4821" i="7"/>
  <c r="D4837" i="7"/>
  <c r="D4853" i="7"/>
  <c r="D4869" i="7"/>
  <c r="D4885" i="7"/>
  <c r="D4901" i="7"/>
  <c r="D4917" i="7"/>
  <c r="D4949" i="7"/>
  <c r="D4965" i="7"/>
  <c r="D4981" i="7"/>
  <c r="D4997" i="7"/>
  <c r="D4823" i="7"/>
  <c r="D4855" i="7"/>
  <c r="D4887" i="7"/>
  <c r="D4951" i="7"/>
  <c r="D4983" i="7"/>
  <c r="D5000" i="7"/>
  <c r="D4793" i="7"/>
  <c r="D4857" i="7"/>
  <c r="D4889" i="7"/>
  <c r="D4921" i="7"/>
  <c r="D4969" i="7"/>
  <c r="D4985" i="7"/>
  <c r="D4776" i="7"/>
  <c r="D4778" i="7"/>
  <c r="D4810" i="7"/>
  <c r="D4874" i="7"/>
  <c r="D4906" i="7"/>
  <c r="D4938" i="7"/>
  <c r="D4986" i="7"/>
  <c r="D5002" i="7"/>
  <c r="D4763" i="7"/>
  <c r="D4795" i="7"/>
  <c r="D4827" i="7"/>
  <c r="D4891" i="7"/>
  <c r="D4923" i="7"/>
  <c r="D4955" i="7"/>
  <c r="D4987" i="7"/>
  <c r="D5003" i="7"/>
  <c r="D4780" i="7"/>
  <c r="D4812" i="7"/>
  <c r="D4844" i="7"/>
  <c r="D4908" i="7"/>
  <c r="D4940" i="7"/>
  <c r="D4972" i="7"/>
  <c r="D5004" i="7"/>
  <c r="D4952" i="7"/>
  <c r="D4968" i="7"/>
  <c r="D4989" i="7"/>
  <c r="D4904" i="7"/>
  <c r="D4797" i="7"/>
  <c r="D4829" i="7"/>
  <c r="D4861" i="7"/>
  <c r="D4925" i="7"/>
  <c r="D4957" i="7"/>
  <c r="D4800" i="7"/>
  <c r="D4816" i="7"/>
  <c r="D4832" i="7"/>
  <c r="D4864" i="7"/>
  <c r="D4880" i="7"/>
  <c r="D4896" i="7"/>
  <c r="D4912" i="7"/>
  <c r="D4928" i="7"/>
  <c r="D4944" i="7"/>
  <c r="D4960" i="7"/>
  <c r="D4976" i="7"/>
  <c r="D4992" i="7"/>
  <c r="D4769" i="7"/>
  <c r="D4785" i="7"/>
  <c r="D4817" i="7"/>
  <c r="D4833" i="7"/>
  <c r="D4849" i="7"/>
  <c r="D4881" i="7"/>
  <c r="D4897" i="7"/>
  <c r="D4913" i="7"/>
  <c r="D4929" i="7"/>
  <c r="D4945" i="7"/>
  <c r="D4961" i="7"/>
  <c r="D4977" i="7"/>
  <c r="D4993" i="7"/>
  <c r="D4786" i="7"/>
  <c r="D4802" i="7"/>
  <c r="D4834" i="7"/>
  <c r="D4850" i="7"/>
  <c r="D4866" i="7"/>
  <c r="D4898" i="7"/>
  <c r="D4914" i="7"/>
  <c r="D4930" i="7"/>
  <c r="D4946" i="7"/>
  <c r="D4962" i="7"/>
  <c r="D4978" i="7"/>
  <c r="D4994" i="7"/>
  <c r="D4787" i="7"/>
  <c r="D4803" i="7"/>
  <c r="D4819" i="7"/>
  <c r="D4851" i="7"/>
  <c r="D4867" i="7"/>
  <c r="D4883" i="7"/>
  <c r="D4915" i="7"/>
  <c r="D4931" i="7"/>
  <c r="D4947" i="7"/>
  <c r="D4963" i="7"/>
  <c r="D4979" i="7"/>
  <c r="D4995" i="7"/>
  <c r="D4463" i="7"/>
  <c r="D4479" i="7"/>
  <c r="D4495" i="7"/>
  <c r="D4559" i="7"/>
  <c r="D4575" i="7"/>
  <c r="D4591" i="7"/>
  <c r="D4607" i="7"/>
  <c r="D4623" i="7"/>
  <c r="D4687" i="7"/>
  <c r="D4703" i="7"/>
  <c r="D4719" i="7"/>
  <c r="D4735" i="7"/>
  <c r="D4751" i="7"/>
  <c r="D4767" i="7"/>
  <c r="D4783" i="7"/>
  <c r="D4799" i="7"/>
  <c r="D4815" i="7"/>
  <c r="D4831" i="7"/>
  <c r="D4847" i="7"/>
  <c r="D4863" i="7"/>
  <c r="D4879" i="7"/>
  <c r="D4895" i="7"/>
  <c r="D4911" i="7"/>
  <c r="D4927" i="7"/>
  <c r="D4943" i="7"/>
  <c r="D4959" i="7"/>
  <c r="D4975" i="7"/>
  <c r="D4991" i="7"/>
  <c r="D6" i="7"/>
  <c r="D5" i="7"/>
  <c r="E15" i="9"/>
  <c r="E11" i="1"/>
  <c r="B16" i="3"/>
  <c r="C15" i="5"/>
  <c r="C9" i="3"/>
  <c r="C31" i="4"/>
  <c r="F31" i="4" s="1"/>
  <c r="C30" i="3"/>
  <c r="C31" i="3" s="1"/>
  <c r="B18" i="3"/>
  <c r="F19" i="1" s="1"/>
  <c r="C17" i="5"/>
  <c r="C11" i="6"/>
  <c r="B15" i="3"/>
  <c r="C14" i="5"/>
  <c r="E31" i="4"/>
  <c r="B30" i="3"/>
  <c r="C8" i="3"/>
  <c r="C26" i="3"/>
  <c r="C10" i="3"/>
  <c r="C16" i="5"/>
  <c r="B17" i="3"/>
  <c r="B11" i="3"/>
  <c r="C6" i="3"/>
  <c r="F14" i="8"/>
  <c r="F9" i="8"/>
  <c r="F10" i="8"/>
  <c r="F17" i="8"/>
  <c r="G12" i="7" l="1"/>
  <c r="G11" i="7"/>
  <c r="G9" i="7"/>
  <c r="C14" i="6" s="1"/>
  <c r="G7" i="7"/>
  <c r="G8" i="7"/>
  <c r="E6" i="9" s="1"/>
  <c r="G5" i="7"/>
  <c r="G10" i="7"/>
  <c r="E12" i="9" s="1"/>
  <c r="G6" i="7"/>
  <c r="C19" i="5"/>
  <c r="B9" i="9"/>
  <c r="B11" i="1"/>
  <c r="C19" i="9"/>
  <c r="B6" i="9"/>
  <c r="D29" i="4"/>
  <c r="C19" i="1"/>
  <c r="D28" i="4"/>
  <c r="C11" i="3"/>
  <c r="B31" i="3"/>
  <c r="D31" i="4"/>
  <c r="B5" i="1"/>
  <c r="D30" i="4"/>
  <c r="D16" i="5"/>
  <c r="D17" i="5"/>
  <c r="C20" i="9"/>
  <c r="B12" i="9"/>
  <c r="C28" i="5"/>
  <c r="C27" i="5"/>
  <c r="E27" i="5" s="1"/>
  <c r="E5" i="1"/>
  <c r="F30" i="4"/>
  <c r="E9" i="9" l="1"/>
  <c r="C13" i="6"/>
  <c r="C12" i="6"/>
  <c r="B8" i="1"/>
  <c r="B14" i="1"/>
  <c r="C24" i="5"/>
  <c r="C26" i="5"/>
  <c r="C25" i="5"/>
  <c r="D18" i="5"/>
  <c r="D14" i="5"/>
  <c r="C15" i="6"/>
  <c r="C16" i="6" s="1"/>
  <c r="C21" i="6"/>
  <c r="E21" i="6" s="1"/>
  <c r="D15" i="5"/>
  <c r="C20" i="6" l="1"/>
  <c r="E14" i="1"/>
  <c r="C22" i="6"/>
  <c r="C23" i="6"/>
  <c r="C17" i="9"/>
  <c r="E26" i="5"/>
  <c r="E20" i="6" l="1"/>
  <c r="C20" i="1"/>
  <c r="E8" i="1"/>
</calcChain>
</file>

<file path=xl/sharedStrings.xml><?xml version="1.0" encoding="utf-8"?>
<sst xmlns="http://schemas.openxmlformats.org/spreadsheetml/2006/main" count="372" uniqueCount="313">
  <si>
    <t>MANAGEMENT SUMMARY  |  Insurance Portfolio Risk &amp; Profitability Report</t>
  </si>
  <si>
    <t>Non-Life Insurance Portfolio  |  Actuarial Risk &amp; Profitability Analysis  |  Base Case Scenario  |  March 2026  |  Strictly Confidential</t>
  </si>
  <si>
    <t>P&amp;L  —  Net Underwriting Profit</t>
  </si>
  <si>
    <t>Efficiency  —  Combined Ratio</t>
  </si>
  <si>
    <t>Capital  —  Solvency Ratio</t>
  </si>
  <si>
    <t>Underwriting  —  Loss Ratio</t>
  </si>
  <si>
    <t>Reinsurance  —  RI Risk Reduction</t>
  </si>
  <si>
    <t>Ruin Risk  —  Prob. Loss &gt; Premium</t>
  </si>
  <si>
    <t>Solvency II  —  Total Capital Req.</t>
  </si>
  <si>
    <t>AUTOMATED RISK STATUS ASSESSMENT</t>
  </si>
  <si>
    <t>Area</t>
  </si>
  <si>
    <t>Profitability</t>
  </si>
  <si>
    <t>Combined Ratio</t>
  </si>
  <si>
    <t>Solvency</t>
  </si>
  <si>
    <t>Pricing</t>
  </si>
  <si>
    <t>EXECUTIVE RECOMMENDATION</t>
  </si>
  <si>
    <t>INSURANCE RISK MODEL  |  Assumptions &amp; Inputs</t>
  </si>
  <si>
    <t>All monetary values in INR  |  Blue cells are user inputs</t>
  </si>
  <si>
    <t>SCENARIO SELECTION</t>
  </si>
  <si>
    <t>Active Scenario</t>
  </si>
  <si>
    <t>Base</t>
  </si>
  <si>
    <t>Optimistic</t>
  </si>
  <si>
    <t>Stress</t>
  </si>
  <si>
    <t>PORTFOLIO PARAMETERS</t>
  </si>
  <si>
    <t>Assumption</t>
  </si>
  <si>
    <t>Value</t>
  </si>
  <si>
    <t>Notes / Source</t>
  </si>
  <si>
    <t>Annual Gross Premium (₹)</t>
  </si>
  <si>
    <t>Total premium written before reinsurance</t>
  </si>
  <si>
    <t>Number of Policies</t>
  </si>
  <si>
    <t>In-force policy count</t>
  </si>
  <si>
    <t>Claim Frequency (per policy)</t>
  </si>
  <si>
    <t>Historical 5yr average claim rate</t>
  </si>
  <si>
    <t>Average Claim Severity (₹)</t>
  </si>
  <si>
    <t>Mean incurred loss per claim</t>
  </si>
  <si>
    <t>Expense Ratio</t>
  </si>
  <si>
    <t>Operating expenses / Gross premium</t>
  </si>
  <si>
    <t>Per-occurrence XL attachment point</t>
  </si>
  <si>
    <t>Reinsurance Cost (% of Premium)</t>
  </si>
  <si>
    <t>RI cession cost / Gross premium</t>
  </si>
  <si>
    <t>CALCULATIONS  |  Underwriting P&amp;L &amp; Reinsurance Analysis</t>
  </si>
  <si>
    <t>Green text = cross-sheet reference  |  Black text = formula</t>
  </si>
  <si>
    <t>A. UNDERWRITING PROFIT &amp; LOSS</t>
  </si>
  <si>
    <t>Line Item</t>
  </si>
  <si>
    <t>Amount (₹)</t>
  </si>
  <si>
    <t>% of Premium</t>
  </si>
  <si>
    <t>Gross Written Premium</t>
  </si>
  <si>
    <t>Expected Claim Count</t>
  </si>
  <si>
    <t>Expected Gross Claims (₹)</t>
  </si>
  <si>
    <t>Operating Expenses (₹)</t>
  </si>
  <si>
    <t>Reinsurance Cost (₹)</t>
  </si>
  <si>
    <t>Net Underwriting Profit (₹)</t>
  </si>
  <si>
    <t>B. KEY UNDERWRITING RATIOS</t>
  </si>
  <si>
    <t>Ratio</t>
  </si>
  <si>
    <t>Benchmark</t>
  </si>
  <si>
    <t>Loss Ratio</t>
  </si>
  <si>
    <t>&lt; 60%</t>
  </si>
  <si>
    <t>&lt; 35%</t>
  </si>
  <si>
    <t>Reinsurance Cost Ratio</t>
  </si>
  <si>
    <t>&lt; 10%</t>
  </si>
  <si>
    <t>&lt; 100%</t>
  </si>
  <si>
    <t>C. REINSURANCE RECOVERY ANALYSIS</t>
  </si>
  <si>
    <t>Item</t>
  </si>
  <si>
    <t>Per Claim (₹)</t>
  </si>
  <si>
    <t>Total Portfolio (₹)</t>
  </si>
  <si>
    <t>Gross Claim Severity</t>
  </si>
  <si>
    <t>Insurer Net Retention per Claim</t>
  </si>
  <si>
    <t>Reinsurer Recovery per Claim</t>
  </si>
  <si>
    <t>Risk Reduction (₹)</t>
  </si>
  <si>
    <t>Risk Reduction (%)</t>
  </si>
  <si>
    <t>D. STRESS TEST  —  1-in-100 Year Scenario (1.5x Claims)</t>
  </si>
  <si>
    <t>Metric</t>
  </si>
  <si>
    <t>Base (₹)</t>
  </si>
  <si>
    <t>Stressed (₹)</t>
  </si>
  <si>
    <t>Total Claim Cost</t>
  </si>
  <si>
    <t>Net Underwriting Profit</t>
  </si>
  <si>
    <t>SENSITIVITY ANALYSIS  |  One-Way Shocks to Key Assumptions</t>
  </si>
  <si>
    <t>Green = favorable outcome  |  Orange = adverse outcome  |  Blue = base case  |  Measure: Net Underwriting Profit (₹)</t>
  </si>
  <si>
    <t>1. CLAIM FREQUENCY SENSITIVITY</t>
  </si>
  <si>
    <t>-30%</t>
  </si>
  <si>
    <t>-10%</t>
  </si>
  <si>
    <t>Base (0%)</t>
  </si>
  <si>
    <t xml:space="preserve">  +10%</t>
  </si>
  <si>
    <t xml:space="preserve">  +30%</t>
  </si>
  <si>
    <t>Effective Claim Freq.</t>
  </si>
  <si>
    <t>Net Profit (₹)</t>
  </si>
  <si>
    <t>2. CLAIM SEVERITY (INFLATION) SENSITIVITY</t>
  </si>
  <si>
    <t>-20%</t>
  </si>
  <si>
    <t xml:space="preserve">  +20%</t>
  </si>
  <si>
    <t>Avg Claim Severity (₹)</t>
  </si>
  <si>
    <t>3. EXPENSE RATIO SENSITIVITY</t>
  </si>
  <si>
    <t>20%</t>
  </si>
  <si>
    <t>25%</t>
  </si>
  <si>
    <t>30% (Base)</t>
  </si>
  <si>
    <t>35%</t>
  </si>
  <si>
    <t>40%</t>
  </si>
  <si>
    <t>4. TORNADO SUMMARY  |  Risk Driver Ranking by Net Profit Swing</t>
  </si>
  <si>
    <t>Risk Driver</t>
  </si>
  <si>
    <t>Upside (Best)</t>
  </si>
  <si>
    <t>Base Case</t>
  </si>
  <si>
    <t>Downside (Worst)</t>
  </si>
  <si>
    <t>Swing (₹)</t>
  </si>
  <si>
    <t>Rank</t>
  </si>
  <si>
    <t>Claim Frequency ±30%</t>
  </si>
  <si>
    <t>1</t>
  </si>
  <si>
    <t>Claim Severity ±20%</t>
  </si>
  <si>
    <t>2</t>
  </si>
  <si>
    <t>Expense Ratio 20%→40%</t>
  </si>
  <si>
    <t>3</t>
  </si>
  <si>
    <t>Reinsurance Cost 5%→11%</t>
  </si>
  <si>
    <t>4</t>
  </si>
  <si>
    <t>Ranked by magnitude of swing — largest swing = greatest risk driver. Address top 2 drivers first.</t>
  </si>
  <si>
    <t>PRICING ADEQUACY  |  Required Premium Buildup &amp; Adequacy Test</t>
  </si>
  <si>
    <t>Determines whether the current premium is sufficient to cover costs, risk margin, and capital charges</t>
  </si>
  <si>
    <t>A. PRICING ASSUMPTIONS</t>
  </si>
  <si>
    <t>Parameter</t>
  </si>
  <si>
    <t>Notes</t>
  </si>
  <si>
    <t>Target Combined Ratio</t>
  </si>
  <si>
    <t>Profitability target — industry benchmark 90-95%</t>
  </si>
  <si>
    <t>Target Profit Margin</t>
  </si>
  <si>
    <t>Minimum underwriting profit margin</t>
  </si>
  <si>
    <t>Risk Margin Loading</t>
  </si>
  <si>
    <t>Uncertainty buffer added to pure claims cost</t>
  </si>
  <si>
    <t>Available Capital (₹)</t>
  </si>
  <si>
    <t>Shareholder capital supporting this portfolio</t>
  </si>
  <si>
    <t>Required Return on Capital</t>
  </si>
  <si>
    <t>Hurdle rate / WACC for capital allocation</t>
  </si>
  <si>
    <t>B. REQUIRED PREMIUM BUILDUP</t>
  </si>
  <si>
    <t>Cost Component</t>
  </si>
  <si>
    <t>% of Required Prem</t>
  </si>
  <si>
    <t>Pure Loss Cost (Expected Claims)</t>
  </si>
  <si>
    <t>Operating Expenses</t>
  </si>
  <si>
    <t>Reinsurance Cost</t>
  </si>
  <si>
    <t>Risk Margin (3% of claims)</t>
  </si>
  <si>
    <t>Capital Cost (10% of capital)</t>
  </si>
  <si>
    <t>REQUIRED PREMIUM (Total)</t>
  </si>
  <si>
    <t>C. PRICING ADEQUACY CHECK</t>
  </si>
  <si>
    <t>Target</t>
  </si>
  <si>
    <t>Status</t>
  </si>
  <si>
    <t>Current Gross Premium (₹)</t>
  </si>
  <si>
    <t>N/A</t>
  </si>
  <si>
    <t>—</t>
  </si>
  <si>
    <t>Required Premium (₹)</t>
  </si>
  <si>
    <t>Pricing Surplus / (Deficit)</t>
  </si>
  <si>
    <t>≥ 0</t>
  </si>
  <si>
    <t>Premium Adequacy Ratio</t>
  </si>
  <si>
    <t>≥ 1.00x</t>
  </si>
  <si>
    <t>Actual Combined Ratio</t>
  </si>
  <si>
    <t>≤ 95.0%</t>
  </si>
  <si>
    <t>Implied Profit Margin</t>
  </si>
  <si>
    <t>≥ 5.0%</t>
  </si>
  <si>
    <t>A. CAPITAL INPUT</t>
  </si>
  <si>
    <t>Surplus equity allocated to portfolio</t>
  </si>
  <si>
    <t>Management Buffer %</t>
  </si>
  <si>
    <t>Buffer above minimum SCR (management discretion)</t>
  </si>
  <si>
    <t>B. CAPITAL REQUIREMENT CALCULATIONS</t>
  </si>
  <si>
    <t>Capital Metric</t>
  </si>
  <si>
    <t>Basis</t>
  </si>
  <si>
    <t>Interpretation</t>
  </si>
  <si>
    <t>Expected Loss (Best Estimate)</t>
  </si>
  <si>
    <t>Mean of loss distribution</t>
  </si>
  <si>
    <t>Best-estimate cost</t>
  </si>
  <si>
    <t>95th Percentile VaR</t>
  </si>
  <si>
    <t>1-in-20yr simulation</t>
  </si>
  <si>
    <t>Moderate tail event</t>
  </si>
  <si>
    <t>Solvency Capital Req. (SCR)</t>
  </si>
  <si>
    <t>Min capital to hold</t>
  </si>
  <si>
    <t>Management Buffer</t>
  </si>
  <si>
    <t>20% × SCR</t>
  </si>
  <si>
    <t>Operational headroom</t>
  </si>
  <si>
    <t>Total Capital Requirement (TCR)</t>
  </si>
  <si>
    <t>SCR + Buffer</t>
  </si>
  <si>
    <t>Capital needed</t>
  </si>
  <si>
    <t>C. SOLVENCY RATIOS</t>
  </si>
  <si>
    <t>Threshold</t>
  </si>
  <si>
    <t>Solvency Ratio (Avail / TCR)</t>
  </si>
  <si>
    <t>SCR Coverage (Avail / SCR)</t>
  </si>
  <si>
    <t>Capital Surplus / (Shortfall)</t>
  </si>
  <si>
    <t>Return on Req. Capital</t>
  </si>
  <si>
    <t>≥ 10.0%</t>
  </si>
  <si>
    <t>MONTE CARLO SIMULATION  |  5,000 Iterations — Poisson Frequency Model</t>
  </si>
  <si>
    <t>Sim #</t>
  </si>
  <si>
    <t>U ~ Uniform(0,1)</t>
  </si>
  <si>
    <t>Claim Count  [Poisson(λ)]</t>
  </si>
  <si>
    <t>Simulated Claim Cost (₹)</t>
  </si>
  <si>
    <t>Average Simulated Loss (₹)</t>
  </si>
  <si>
    <t>Median Simulated Loss (₹)</t>
  </si>
  <si>
    <t>Worst-Case Loss (₹)</t>
  </si>
  <si>
    <t>95th Percentile VaR (₹)</t>
  </si>
  <si>
    <t>Probability of Technical Ruin</t>
  </si>
  <si>
    <t>Simulated Loss Std Dev (₹)</t>
  </si>
  <si>
    <t>Method: Poisson Normal Approx — valid since λ=500 &gt;&gt; 30  (CLT applies)</t>
  </si>
  <si>
    <t>λ = 50,000 policies × 1.0% freq = 500. σ = √500 ≈ 22.4 claims.</t>
  </si>
  <si>
    <t>SCENARIO COMPARISON  |  Base vs Optimistic vs Stress — Full Side-by-Side</t>
  </si>
  <si>
    <t>All three scenarios calculated simultaneously — independent of the active scenario selector in Inputs</t>
  </si>
  <si>
    <t>FULL PORTFOLIO METRICS BY SCENARIO</t>
  </si>
  <si>
    <t>Stress vs Base</t>
  </si>
  <si>
    <t>Gross Premium</t>
  </si>
  <si>
    <t>Policy Count</t>
  </si>
  <si>
    <t>Claim Frequency</t>
  </si>
  <si>
    <t>Avg Severity (₹)</t>
  </si>
  <si>
    <t>Expected Claims</t>
  </si>
  <si>
    <t>Gross Claims (₹)</t>
  </si>
  <si>
    <t>Expenses (₹)</t>
  </si>
  <si>
    <t>RI Cost (₹)</t>
  </si>
  <si>
    <t>Blue=Base | Green=Optimistic | Orange=Stress | Stress vs Base = deterioration in worst-case scenario</t>
  </si>
  <si>
    <t>INSURANCE RISK MODEL  |  Executive Dashboard</t>
  </si>
  <si>
    <t>Auto-calculated from Inputs sheet  |  Change scenario in Inputs!B5</t>
  </si>
  <si>
    <t>KEY PERFORMANCE INDICATORS</t>
  </si>
  <si>
    <t>95th Pctile VaR (₹)</t>
  </si>
  <si>
    <t>Prob. of Loss &gt; Premium</t>
  </si>
  <si>
    <t>Risk Reduction (RI)</t>
  </si>
  <si>
    <t>Pricing Adequacy Status</t>
  </si>
  <si>
    <t>RISK STATUS ASSESSMENT</t>
  </si>
  <si>
    <t>Portfolio Profitability Status</t>
  </si>
  <si>
    <t>Combined Ratio Status</t>
  </si>
  <si>
    <t>Scenario</t>
  </si>
  <si>
    <t>MODEL DOCUMENTATION  |  Purpose, Methodology &amp; Technical Reference</t>
  </si>
  <si>
    <t>Read this sheet before presenting the model  |  Updated March 2026</t>
  </si>
  <si>
    <t>1.  MODEL PURPOSE &amp; OBJECTIVE</t>
  </si>
  <si>
    <t>Formal Objective</t>
  </si>
  <si>
    <t>To evaluate the profitability, risk exposure, and capital adequacy of a non-life insurance portfolio using both deterministic and stochastic actuarial modelling techniques. The model provides a complete view of portfolio economics from gross premium to net profit, including the cost and benefit of reinsurance, under multiple operating scenarios.</t>
  </si>
  <si>
    <t>Five Business Questions
This Model Answers</t>
  </si>
  <si>
    <t>1.  Is the portfolio profitable?  →  Underwriting P&amp;L, Loss Ratio, Combined Ratio
2.  How risky is it under normal conditions?  →  Sensitivity Analysis, VaR
3.  What happens in stress scenarios?  →  Scenario Comparison, Stress Test
4.  How likely is extreme loss?  →  Monte Carlo Simulation, Probability of Ruin
5.  Is the company holding enough capital?  →  Capital &amp; Solvency (Solvency II framework)</t>
  </si>
  <si>
    <t>Intended Users</t>
  </si>
  <si>
    <t>Primary: Actuaries, Risk Managers, Chief Risk Officer (CRO)
Secondary: Chief Financial Officer (CFO), Reinsurance counterparties, Board Risk Committee
Suitable for: Interview presentation, portfolio review, pricing sign-off documentation</t>
  </si>
  <si>
    <t>Model Classification</t>
  </si>
  <si>
    <t>Actuarial Internal Model — Non-Life Insurance  |  Asset class: Property &amp; Casualty / General Insurance
Regulatory alignment: Solvency II Pillar 1 (SCR calculation approach)
Version: 3.0  |  Last updated: March 2026  |  Author: [Your Name]</t>
  </si>
  <si>
    <t>2.  SHEET GUIDE  (Navigate in this order)</t>
  </si>
  <si>
    <t>1.  Management Summary</t>
  </si>
  <si>
    <t>START HERE. One-page executive view. Eight KPI cards, automated risk status assessment (Profitable / Solvent / Adequately Priced), and a written recommendation. Designed to be printed for board meetings.</t>
  </si>
  <si>
    <t>2.  Inputs</t>
  </si>
  <si>
    <t>All user-adjustable assumptions — blue cells only. Toggle the Active Scenario (cell B5) between Base / Optimistic / Stress to update the entire model. Never edit black or green cells.</t>
  </si>
  <si>
    <t>3.  Calculations</t>
  </si>
  <si>
    <t>Deterministic P&amp;L waterfall (Gross Premium → Net Profit), key underwriting ratios (Loss Ratio, Expense Ratio, Combined Ratio), reinsurance recovery analysis, and 1-in-100 year stress test.</t>
  </si>
  <si>
    <t>4.  Sensitivity Analysis</t>
  </si>
  <si>
    <t>One-way sensitivity tables for three key drivers: Claim Frequency (±30%), Claim Severity / Inflation (±20%), and Expense Ratio (20%–40%). Includes a Tornado table ranking drivers by profit swing magnitude.</t>
  </si>
  <si>
    <t>5.  Pricing Adequacy</t>
  </si>
  <si>
    <t>Bottom-up required premium buildup. Tests whether current premium covers: pure losses + expenses + reinsurance cost + risk margin + capital charge. Computes Premium Adequacy Ratio and pricing status.</t>
  </si>
  <si>
    <t>6.  Capital &amp; Solvency</t>
  </si>
  <si>
    <t>7.  Simulation</t>
  </si>
  <si>
    <t>8.  Scenario Comparison</t>
  </si>
  <si>
    <t>All three scenarios (Base, Optimistic, Stress) computed simultaneously side-by-side. Stress vs Base delta column shows deterioration magnitude. Independent of the scenario selector.</t>
  </si>
  <si>
    <t>9.  Dashboard</t>
  </si>
  <si>
    <t>Visual KPI summary. Pull-forward of key metrics from Calculations and Simulation sheets.</t>
  </si>
  <si>
    <t>10. Model Notes (this sheet)</t>
  </si>
  <si>
    <t>Full technical documentation. Should be read before presenting the model to a technical audience.</t>
  </si>
  <si>
    <t>3.  METHODOLOGY  (Technical Detail)</t>
  </si>
  <si>
    <t>Expected Claim Count  =  Number of Policies  ×  Claim Frequency
Base case: 50,000 policies × 1.0% frequency = 500 expected claims
Expected Gross Loss Cost  =  Expected Claims × Average Claim Severity</t>
  </si>
  <si>
    <t>Monte Carlo —
Poisson Frequency Model</t>
  </si>
  <si>
    <t>Claim count in each trial is drawn from a Poisson(λ) distribution where λ = expected claim count.
Implementation (Excel Normal Approximation):  N = MAX(0, ROUND(λ + NORM.S.INV(U) × √λ, 0))
where U ~ Uniform(0,1) from RAND().
Why Poisson is correct:  (1) Claim counts are non-negative integers. (2) The Poisson distribution is the standard actuarial model for claim frequency. (3) Variance equals the mean (key Poisson property), meaning higher expected frequency → proportionally more uncertainty. (4) Distribution is right-skewed — capturing the real-world asymmetry where bad outcomes are more likely than equally good ones.
Why Normal approximation is valid here:  λ = 500 &gt;&gt; 30. By the Central Limit Theorem, Poisson(500) is extremely well-approximated by Normal(500, √500). Maximum error in tail probabilities &lt; 0.1%.</t>
  </si>
  <si>
    <t>Previous Model vs
Current Approach</t>
  </si>
  <si>
    <t>Previous (v1-v2):  N = Policies × Frequency × (1 + (RAND()-0.5) × 0.6)
Problems: (1) Could produce fractional claim counts. (2) Symmetric — understates right tail. (3) Fixed ±30% band regardless of portfolio size. (4) No statistical distributional basis.
Current (v3):  N = MAX(0, ROUND(λ + NORM.S.INV(RAND()) × √λ, 0))
Improvements: (1) Integer claim counts. (2) Correct Poisson variance scaling. (3) Proper right skew. (4) Actuarially defensible — this is what actuaries use in practice.</t>
  </si>
  <si>
    <t>Reinsurance Structure</t>
  </si>
  <si>
    <t>Per-occurrence Excess-of-Loss (XL) treaty with a single retention limit.
Insurer pays:  min(Claim Severity, Retention Limit)
Reinsurer pays:  max(0, Claim Severity − Retention Limit)
Current structure: ₹500,000 retention per claim. Any individual claim above this is ceded to the RI.
⚠ Note: At current average severity of ₹120,000, all claims fall below the retention limit — the XL treaty provides no coverage under base case assumptions. The treaty would activate if individual claim severity exceeds ₹500,000 (e.g. large loss or CAT event).</t>
  </si>
  <si>
    <t>Capital Requirement
(Solvency II Approach)</t>
  </si>
  <si>
    <t>Stress Test</t>
  </si>
  <si>
    <t>1.5× expected claims — approximating a 1-in-100 year frequency event per Lloyd's / industry convention.
Stressed Claims  =  Base Expected Claims × 1.5  =  ₹60,000,000 × 1.5  =  ₹90,000,000
Stressed Net Profit  =  Gross Premium − (Stressed Claims + Expenses + RI Cost)
                     =  ₹100,000,000 − (₹90,000,000 + ₹30,000,000 + ₹8,000,000)  =  −₹28,000,000
Applied to claim cost only; severity per claim is held constant (severity stress is captured in Sensitivity Analysis).</t>
  </si>
  <si>
    <t>Pricing Adequacy
Required Premium</t>
  </si>
  <si>
    <t>4.  COLOR CODING &amp; NAVIGATION GUIDE</t>
  </si>
  <si>
    <t>Blue text</t>
  </si>
  <si>
    <t>Hard-coded input value — user may change freely</t>
  </si>
  <si>
    <t>Black text</t>
  </si>
  <si>
    <t>Formula or calculated result — do not edit</t>
  </si>
  <si>
    <t>Green text</t>
  </si>
  <si>
    <t>Cross-sheet reference pulling from another worksheet</t>
  </si>
  <si>
    <t>Dark navy header</t>
  </si>
  <si>
    <t>Section title / title row — structural formatting</t>
  </si>
  <si>
    <t>Mid-blue header</t>
  </si>
  <si>
    <t>Column header row</t>
  </si>
  <si>
    <t>Light blue fill</t>
  </si>
  <si>
    <t>Key result or summary output</t>
  </si>
  <si>
    <t>Green fill</t>
  </si>
  <si>
    <t>Favourable outcome / passing status check</t>
  </si>
  <si>
    <t>Orange fill</t>
  </si>
  <si>
    <t>Adverse or stressed outcome</t>
  </si>
  <si>
    <t>Yellow fill</t>
  </si>
  <si>
    <t>Methodology note or annotation</t>
  </si>
  <si>
    <t>5.  LIMITATIONS &amp; FUTURE ENHANCEMENTS</t>
  </si>
  <si>
    <t>Claim Severity</t>
  </si>
  <si>
    <t>Frequency–Severity
Correlation</t>
  </si>
  <si>
    <t>Current: Frequency and severity are independent. Future: Introduce a positive correlation parameter — in catastrophe events both frequency and severity tend to rise simultaneously.</t>
  </si>
  <si>
    <t>Claims Inflation</t>
  </si>
  <si>
    <t>Current: No inflation loading. Future: Add an annual severity escalation factor (e.g. CPI + 2%) compounded over a 3–5 year projection period.</t>
  </si>
  <si>
    <t>IBNR Reserves</t>
  </si>
  <si>
    <t>Current: No Incurred But Not Reported (IBNR) reserve. Future: Apply a development factor (e.g. Chain Ladder method) to gross claims to estimate ultimate loss including tail development.</t>
  </si>
  <si>
    <t>Catastrophe Risk</t>
  </si>
  <si>
    <t>Current: No explicit CAT loading. Future: Add a separate CAT layer using a Pareto-distributed severity model for low-frequency / high-severity events (floods, storms, etc.).</t>
  </si>
  <si>
    <t>Multi-Year Projection</t>
  </si>
  <si>
    <t>Current: Single-period model. Future: Extend to 3–5 year projection with premium growth, expense trends, and investment return on float to produce a full pro-forma P&amp;L.</t>
  </si>
  <si>
    <t>99.5th Percentile VaR (₹)</t>
  </si>
  <si>
    <t>Risk Metric (incl. SCR)</t>
  </si>
  <si>
    <t>Required Capital = 99.5th Percentile VaR − Expected Loss  |  Solvency Ratio = Available Capital / Required Capital</t>
  </si>
  <si>
    <t>99.5th Percentile VaR</t>
  </si>
  <si>
    <t>99.5th VaR − Expected Loss</t>
  </si>
  <si>
    <t>Solvency II SCR basis (1-in-200 year)</t>
  </si>
  <si>
    <t>99.5th Pctile VaR (₹)</t>
  </si>
  <si>
    <t>Solvency II–aligned capital framework. Calculates Solvency Capital Requirement (SCR = 99.5th VaR − Expected Loss), Management Buffer, Total Capital Requirement, and Solvency Ratio.</t>
  </si>
  <si>
    <t>Tail Risk  —  99.5th Pctile VaR (₹)</t>
  </si>
  <si>
    <t>1-in-200yr simulation (Solvency II)</t>
  </si>
  <si>
    <t>Parameter Calibration</t>
  </si>
  <si>
    <t>Current: Database-derived severity CV is 1.19 while model uses 1.5. Future: Align parameters using statistical estimation (MLE) or justify conservatism explicitly. The higher CV reflects a conservative loading to better capture tail risk and extreme losses not fully present in historical data.</t>
  </si>
  <si>
    <t xml:space="preserve"> Simulation uses Normal approximation to Poisson for large λ (λ=500), which is appropriate due to Central Limit Theorem and improves computational efficiency.</t>
  </si>
  <si>
    <t>5,000-iteration Monte Carlo model. Claim counts drawn from Poisson(λ) distribution via the Normal approximation method. Produces full loss distribution with VaR at 95th / 99.5th percentile. Press F9 to recalculate.</t>
  </si>
  <si>
    <t>Solvency Capital Requirement (SCR)  =  99.5th Percentile VaR  −  Expected Loss
Interpretation: Capital needed to absorb losses beyond best estimate in a 1-in-200 year event.
Management Buffer  =  20% × SCR  (management discretion, above regulatory minimum)
Total Capital Requirement (TCR)  =  SCR + Management Buffer
Solvency Ratio  =  Available Capital / TCR  (must exceed 1.0x to be solvent)</t>
  </si>
  <si>
    <t>Current: Constant average severity per claim. Future: Replace with LogNormal(μ, σ) distribution to model the heavy right tail of large claims. This would materially increase 99.5th VaR estimates.</t>
  </si>
  <si>
    <t>MODEL PURPOSE
This model evaluates the profitability, risk exposure, and capital adequacy of a non-life insurance portfolio using deterministic underwriting analysis and stochastic Monte Carlo simulation (Poisson frequency model, 5,000 trials). It is designed to answer five core business questions: Is the portfolio profitable? How sensitive is profit to key assumptions? What is the tail loss at 99.5th percentile (Solvency II)? Is the company solvent? Is the premium adequate to cover all costs including a capital charge?
KEY FINDINGS  (Base Case)
The portfolio is technically profitable on a gross underwriting basis, with a positive net underwriting margin of ₹2,000,000 (2.0% of premium). However, the full pricing adequacy test — which includes a capital cost charge of ₹5,000,000 — shows the portfolio is under-priced. The current gross premium of ₹100,000,000 falls short of the required premium of ₹104,800,000 (adequacy ratio: 0.954x). A rate increase of approximately 4.8% is required to achieve full pricing adequacy. The combined ratio of 98% is within a profitable range but exceeds the 95% target benchmark, placing it on watch. The Solvency Ratio substantially exceeds the 1.0x minimum, confirming strong capital adequacy — refer to the Capital &amp; Solvency sheet for the current simulation-derived figure.
PRIMARY RISK DRIVER
Sensitivity analysis identifies claim frequency as the dominant risk driver. A +30% adverse frequency shock (e.g. a high-claims year or deteriorating risk selection) would materially reduce the profit margin and push the portfolio into loss. Claim severity (inflation) is the secondary driver. These two factors together account for the majority of P&amp;L volatility. Additionally, the current XL reinsurance treaty (₹500,000 retention per claim) provides no protection under base case assumptions, as average claim severity (₹120,000) is well below the attachment point — leaving the portfolio fully exposed to any large individual losses.
RECOMMENDED ACTIONS
1.  Implement a rate increase of ~5% at next renewal to close the pricing adequacy deficit.
2.  Monitor actual claim frequency monthly vs. budget — early warning indicator for adverse years.
3.  Review the retention limit (currently ₹500,000) against average and 99th percentile claim severity; consider lowering it to a level where the XL treaty provides meaningful risk transfer.
4.  Confirm available capital continues to exceed Total Capital Requirement as the portfolio grows — current Total Capital Requirement is shown in the Capital &amp; Solvency sheet.
5.  Extend model to multi-year projection with claims inflation loading as next development step.</t>
  </si>
  <si>
    <t>XL Limit per Claim (₹)</t>
  </si>
  <si>
    <t>Maximum XL recovery per claim</t>
  </si>
  <si>
    <t>XL Retention Limit per Claim (₹)</t>
  </si>
  <si>
    <t>CAPITAL &amp; SOLVENCY | Illustrative Solvency II-Style Capital View</t>
  </si>
  <si>
    <t>Prob. Aggregate Loss &gt; Gross Premium</t>
  </si>
  <si>
    <t>Required Premium  =  Expected Claims + Expenses + RI Cost + Risk Margin + Capital Cost
Risk Margin  =  3% of expected claims (loading for model uncertainty)
Capital Cost  =  Available Capital × Required Return on Capital (10% hurdle rate)
               =  ₹20,000,000 × 10%  =  ₹2,000,000
Required Premium (Base Case)  =  ₹60,000,000 + ₹30,000,000 + ₹8,000,000 + ₹1,800,000 + ₹2,000,000  =  ₹101,800,000
Premium Adequacy Ratio  =  Actual Premium / Required Premium  (target ≥ 1.0x)
Base Case Result: ₹100,000,000 / ₹101,800,000  =  0.982x  →  ✗ UNDER-PRICED
Implication: Current premium does not fully recover the capital charge. A rate increase of approximately 1.8% is required to achieve pricing adequacy.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</si>
</sst>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x"/>
    <numFmt numFmtId="165" formatCode="0.0%;\(0.0%\);\-"/>
    <numFmt numFmtId="166" formatCode="#,##0_);\(#,##0\);\-"/>
    <numFmt numFmtId="167" formatCode="0.00%;\(0.00%\);\-"/>
    <numFmt numFmtId="168" formatCode="0.0000"/>
  </numFmts>
  <fonts count="29" x14ac:knownFonts="1">
    <font>
      <sz val="11"/>
      <color theme="1"/>
      <name val="Calibri"/>
      <family val="2"/>
      <charset val="1"/>
    </font>
    <font>
      <b/>
      <sz val="16"/>
      <color rgb="FFFFFFFF"/>
      <name val="Arial"/>
      <charset val="1"/>
    </font>
    <font>
      <i/>
      <sz val="10"/>
      <color rgb="FFBDD7EE"/>
      <name val="Arial"/>
      <charset val="1"/>
    </font>
    <font>
      <b/>
      <sz val="8"/>
      <color rgb="FF2E5090"/>
      <name val="Arial"/>
      <charset val="1"/>
    </font>
    <font>
      <b/>
      <sz val="20"/>
      <color rgb="FF1F3864"/>
      <name val="Arial"/>
      <charset val="1"/>
    </font>
    <font>
      <b/>
      <sz val="10"/>
      <color rgb="FFFFFFFF"/>
      <name val="Arial"/>
      <charset val="1"/>
    </font>
    <font>
      <b/>
      <sz val="10"/>
      <color rgb="FF000000"/>
      <name val="Arial"/>
      <charset val="1"/>
    </font>
    <font>
      <b/>
      <sz val="11"/>
      <color rgb="FF000000"/>
      <name val="Arial"/>
      <charset val="1"/>
    </font>
    <font>
      <sz val="10"/>
      <color rgb="FF000000"/>
      <name val="Arial"/>
      <charset val="1"/>
    </font>
    <font>
      <b/>
      <sz val="14"/>
      <color rgb="FFFFFFFF"/>
      <name val="Arial"/>
      <charset val="1"/>
    </font>
    <font>
      <i/>
      <sz val="9"/>
      <color rgb="FFBDD7EE"/>
      <name val="Arial"/>
      <charset val="1"/>
    </font>
    <font>
      <sz val="10"/>
      <color rgb="FF0000FF"/>
      <name val="Arial"/>
      <charset val="1"/>
    </font>
    <font>
      <b/>
      <sz val="9"/>
      <color rgb="FF595959"/>
      <name val="Arial"/>
      <charset val="1"/>
    </font>
    <font>
      <i/>
      <sz val="9"/>
      <color rgb="FF595959"/>
      <name val="Arial"/>
      <charset val="1"/>
    </font>
    <font>
      <sz val="10"/>
      <color rgb="FF595959"/>
      <name val="Arial"/>
      <charset val="1"/>
    </font>
    <font>
      <b/>
      <sz val="10"/>
      <color rgb="FF008000"/>
      <name val="Arial"/>
      <charset val="1"/>
    </font>
    <font>
      <sz val="10"/>
      <color rgb="FF008000"/>
      <name val="Arial"/>
      <charset val="1"/>
    </font>
    <font>
      <i/>
      <sz val="10"/>
      <color rgb="FF595959"/>
      <name val="Arial"/>
      <charset val="1"/>
    </font>
    <font>
      <i/>
      <sz val="8"/>
      <color rgb="FF595959"/>
      <name val="Arial"/>
      <charset val="1"/>
    </font>
    <font>
      <sz val="9"/>
      <color rgb="FF595959"/>
      <name val="Arial"/>
      <charset val="1"/>
    </font>
    <font>
      <sz val="9"/>
      <color rgb="FF000000"/>
      <name val="Arial"/>
      <charset val="1"/>
    </font>
    <font>
      <b/>
      <sz val="9"/>
      <color rgb="FF2E5090"/>
      <name val="Arial"/>
      <charset val="1"/>
    </font>
    <font>
      <b/>
      <sz val="16"/>
      <color rgb="FF1F3864"/>
      <name val="Arial"/>
      <charset val="1"/>
    </font>
    <font>
      <b/>
      <sz val="11"/>
      <color rgb="FF0000FF"/>
      <name val="Arial"/>
      <charset val="1"/>
    </font>
    <font>
      <b/>
      <sz val="10"/>
      <color rgb="FF2E5090"/>
      <name val="Arial"/>
      <charset val="1"/>
    </font>
    <font>
      <sz val="10"/>
      <color rgb="FF000000"/>
      <name val="Arial"/>
      <family val="2"/>
    </font>
    <font>
      <b/>
      <sz val="10"/>
      <color rgb="FFFFFFFF"/>
      <name val="Arial"/>
      <family val="2"/>
    </font>
    <font>
      <b/>
      <sz val="14"/>
      <color rgb="FFFFFFFF"/>
      <name val="Arial"/>
      <family val="2"/>
    </font>
    <font>
      <i/>
      <sz val="9"/>
      <color rgb="FFBDD7EE"/>
      <name val="Arial"/>
      <family val="2"/>
    </font>
  </fonts>
  <fills count="12">
    <fill>
      <patternFill patternType="none"/>
    </fill>
    <fill>
      <patternFill patternType="gray125"/>
    </fill>
    <fill>
      <patternFill patternType="solid">
        <fgColor rgb="FF1F3864"/>
        <bgColor rgb="FF2E5090"/>
      </patternFill>
    </fill>
    <fill>
      <patternFill patternType="solid">
        <fgColor rgb="FFFFFFFF"/>
        <bgColor rgb="FFF2F2F2"/>
      </patternFill>
    </fill>
    <fill>
      <patternFill patternType="solid">
        <fgColor rgb="FFDEEAF1"/>
        <bgColor rgb="FFE2EFDA"/>
      </patternFill>
    </fill>
    <fill>
      <patternFill patternType="solid">
        <fgColor rgb="FF2E5090"/>
        <bgColor rgb="FF1F3864"/>
      </patternFill>
    </fill>
    <fill>
      <patternFill patternType="solid">
        <fgColor rgb="FFD9D9D9"/>
        <bgColor rgb="FFDEEAF1"/>
      </patternFill>
    </fill>
    <fill>
      <patternFill patternType="solid">
        <fgColor rgb="FFE2EFDA"/>
        <bgColor rgb="FFDEEAF1"/>
      </patternFill>
    </fill>
    <fill>
      <patternFill patternType="solid">
        <fgColor rgb="FFF2F2F2"/>
        <bgColor rgb="FFE2EFDA"/>
      </patternFill>
    </fill>
    <fill>
      <patternFill patternType="solid">
        <fgColor rgb="FFFCE4D6"/>
        <bgColor rgb="FFFFE0E0"/>
      </patternFill>
    </fill>
    <fill>
      <patternFill patternType="solid">
        <fgColor rgb="FFFFE0E0"/>
        <bgColor rgb="FFFCE4D6"/>
      </patternFill>
    </fill>
    <fill>
      <patternFill patternType="solid">
        <fgColor rgb="FFFFF2CC"/>
        <bgColor rgb="FFFCE4D6"/>
      </patternFill>
    </fill>
  </fills>
  <borders count="13">
    <border>
      <left/>
      <right/>
      <top/>
      <bottom/>
      <diagonal/>
    </border>
    <border>
      <left style="thin">
        <color rgb="FFBFBFBF"/>
      </left>
      <right style="thin">
        <color rgb="FFBFBFBF"/>
      </right>
      <top style="thin">
        <color rgb="FFBFBFBF"/>
      </top>
      <bottom style="thin">
        <color rgb="FFBFBFBF"/>
      </bottom>
      <diagonal/>
    </border>
    <border>
      <left style="medium">
        <color rgb="FF2E5090"/>
      </left>
      <right style="medium">
        <color rgb="FF2E5090"/>
      </right>
      <top style="medium">
        <color rgb="FF2E5090"/>
      </top>
      <bottom style="medium">
        <color rgb="FF2E5090"/>
      </bottom>
      <diagonal/>
    </border>
    <border>
      <left/>
      <right style="thin">
        <color rgb="FFBFBFBF"/>
      </right>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right/>
      <top style="medium">
        <color rgb="FF2E5090"/>
      </top>
      <bottom style="medium">
        <color rgb="FF2E5090"/>
      </bottom>
      <diagonal/>
    </border>
    <border>
      <left/>
      <right style="medium">
        <color rgb="FF2E5090"/>
      </right>
      <top style="medium">
        <color rgb="FF2E5090"/>
      </top>
      <bottom style="medium">
        <color rgb="FF2E5090"/>
      </bottom>
      <diagonal/>
    </border>
    <border>
      <left/>
      <right/>
      <top/>
      <bottom style="thin">
        <color rgb="FFBFBFBF"/>
      </bottom>
      <diagonal/>
    </border>
    <border>
      <left style="thin">
        <color rgb="FFBFBFBF"/>
      </left>
      <right style="thin">
        <color rgb="FFBFBFBF"/>
      </right>
      <top/>
      <bottom/>
      <diagonal/>
    </border>
  </borders>
  <cellStyleXfs count="1">
    <xf numFmtId="0" fontId="0" fillId="0" borderId="0"/>
  </cellStyleXfs>
  <cellXfs count="101">
    <xf numFmtId="0" fontId="0" fillId="0" borderId="0" xfId="0"/>
    <xf numFmtId="0" fontId="7" fillId="7"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0" fillId="3" borderId="0" xfId="0" applyFill="1"/>
    <xf numFmtId="0" fontId="6" fillId="6" borderId="1" xfId="0" applyFont="1" applyFill="1" applyBorder="1" applyAlignment="1">
      <alignment horizontal="left" vertical="center" indent="1"/>
    </xf>
    <xf numFmtId="0" fontId="11" fillId="3" borderId="1" xfId="0" applyFont="1" applyFill="1" applyBorder="1" applyAlignment="1">
      <alignment horizontal="right" vertical="center"/>
    </xf>
    <xf numFmtId="0" fontId="12" fillId="8" borderId="1" xfId="0" applyFont="1" applyFill="1" applyBorder="1" applyAlignment="1">
      <alignment horizontal="center" vertical="center" wrapText="1"/>
    </xf>
    <xf numFmtId="0" fontId="8" fillId="8" borderId="1" xfId="0" applyFont="1" applyFill="1" applyBorder="1" applyAlignment="1">
      <alignment horizontal="left" vertical="center" indent="1"/>
    </xf>
    <xf numFmtId="0" fontId="13" fillId="8" borderId="1" xfId="0" applyFont="1" applyFill="1" applyBorder="1" applyAlignment="1">
      <alignment horizontal="left" vertical="center" indent="1"/>
    </xf>
    <xf numFmtId="0" fontId="14" fillId="8" borderId="1" xfId="0" applyFont="1" applyFill="1" applyBorder="1" applyAlignment="1">
      <alignment horizontal="right" vertical="center"/>
    </xf>
    <xf numFmtId="166" fontId="11" fillId="3" borderId="1" xfId="0" applyNumberFormat="1" applyFont="1" applyFill="1" applyBorder="1" applyAlignment="1">
      <alignment horizontal="right" vertical="center"/>
    </xf>
    <xf numFmtId="166" fontId="14" fillId="8" borderId="1" xfId="0" applyNumberFormat="1" applyFont="1" applyFill="1" applyBorder="1" applyAlignment="1">
      <alignment horizontal="right" vertical="center"/>
    </xf>
    <xf numFmtId="167" fontId="11" fillId="3" borderId="1" xfId="0" applyNumberFormat="1" applyFont="1" applyFill="1" applyBorder="1" applyAlignment="1">
      <alignment horizontal="right" vertical="center"/>
    </xf>
    <xf numFmtId="167" fontId="14" fillId="8" borderId="1" xfId="0" applyNumberFormat="1" applyFont="1" applyFill="1" applyBorder="1" applyAlignment="1">
      <alignment horizontal="right" vertical="center"/>
    </xf>
    <xf numFmtId="165" fontId="11" fillId="3" borderId="1" xfId="0" applyNumberFormat="1" applyFont="1" applyFill="1" applyBorder="1" applyAlignment="1">
      <alignment horizontal="right" vertical="center"/>
    </xf>
    <xf numFmtId="165" fontId="14" fillId="8" borderId="1" xfId="0" applyNumberFormat="1" applyFont="1" applyFill="1" applyBorder="1" applyAlignment="1">
      <alignment horizontal="right" vertical="center"/>
    </xf>
    <xf numFmtId="0" fontId="15" fillId="4" borderId="1" xfId="0" applyFont="1" applyFill="1" applyBorder="1" applyAlignment="1">
      <alignment horizontal="right" vertical="center"/>
    </xf>
    <xf numFmtId="165" fontId="6" fillId="4" borderId="1" xfId="0" applyNumberFormat="1" applyFont="1" applyFill="1" applyBorder="1" applyAlignment="1">
      <alignment horizontal="right" vertical="center"/>
    </xf>
    <xf numFmtId="0" fontId="16" fillId="3" borderId="1" xfId="0" applyFont="1" applyFill="1" applyBorder="1" applyAlignment="1">
      <alignment horizontal="right" vertical="center"/>
    </xf>
    <xf numFmtId="165" fontId="8" fillId="3" borderId="1" xfId="0" applyNumberFormat="1" applyFont="1" applyFill="1" applyBorder="1" applyAlignment="1">
      <alignment horizontal="right" vertical="center"/>
    </xf>
    <xf numFmtId="0" fontId="17" fillId="8" borderId="1" xfId="0" applyFont="1" applyFill="1" applyBorder="1" applyAlignment="1">
      <alignment horizontal="center" vertical="center" wrapText="1"/>
    </xf>
    <xf numFmtId="0" fontId="8" fillId="3" borderId="1" xfId="0" applyFont="1" applyFill="1" applyBorder="1" applyAlignment="1">
      <alignment horizontal="right" vertical="center"/>
    </xf>
    <xf numFmtId="0" fontId="6" fillId="4" borderId="1" xfId="0" applyFont="1" applyFill="1" applyBorder="1" applyAlignment="1">
      <alignment horizontal="right" vertical="center"/>
    </xf>
    <xf numFmtId="0" fontId="8" fillId="9" borderId="1" xfId="0" applyFont="1" applyFill="1" applyBorder="1" applyAlignment="1">
      <alignment horizontal="right" vertical="center"/>
    </xf>
    <xf numFmtId="0" fontId="6" fillId="9" borderId="1" xfId="0" applyFont="1" applyFill="1" applyBorder="1" applyAlignment="1">
      <alignment horizontal="right" vertical="center"/>
    </xf>
    <xf numFmtId="167" fontId="8" fillId="7" borderId="1" xfId="0" applyNumberFormat="1" applyFont="1" applyFill="1" applyBorder="1" applyAlignment="1">
      <alignment horizontal="right" vertical="center"/>
    </xf>
    <xf numFmtId="167" fontId="8" fillId="4" borderId="1" xfId="0" applyNumberFormat="1" applyFont="1" applyFill="1" applyBorder="1" applyAlignment="1">
      <alignment horizontal="right" vertical="center"/>
    </xf>
    <xf numFmtId="167" fontId="8" fillId="9" borderId="1" xfId="0" applyNumberFormat="1" applyFont="1" applyFill="1" applyBorder="1" applyAlignment="1">
      <alignment horizontal="right" vertical="center"/>
    </xf>
    <xf numFmtId="0" fontId="8" fillId="7" borderId="1" xfId="0" applyFont="1" applyFill="1" applyBorder="1" applyAlignment="1">
      <alignment horizontal="right" vertical="center"/>
    </xf>
    <xf numFmtId="0" fontId="8" fillId="4" borderId="1" xfId="0" applyFont="1" applyFill="1" applyBorder="1" applyAlignment="1">
      <alignment horizontal="right" vertical="center"/>
    </xf>
    <xf numFmtId="165" fontId="8" fillId="7" borderId="1" xfId="0" applyNumberFormat="1" applyFont="1" applyFill="1" applyBorder="1" applyAlignment="1">
      <alignment horizontal="right" vertical="center"/>
    </xf>
    <xf numFmtId="165" fontId="8" fillId="4" borderId="1" xfId="0" applyNumberFormat="1" applyFont="1" applyFill="1" applyBorder="1" applyAlignment="1">
      <alignment horizontal="right" vertical="center"/>
    </xf>
    <xf numFmtId="165" fontId="8" fillId="9" borderId="1" xfId="0" applyNumberFormat="1" applyFont="1" applyFill="1" applyBorder="1" applyAlignment="1">
      <alignment horizontal="right" vertical="center"/>
    </xf>
    <xf numFmtId="165" fontId="6" fillId="7" borderId="1" xfId="0" applyNumberFormat="1" applyFont="1" applyFill="1" applyBorder="1" applyAlignment="1">
      <alignment horizontal="right" vertical="center"/>
    </xf>
    <xf numFmtId="165" fontId="6" fillId="9" borderId="1" xfId="0" applyNumberFormat="1" applyFont="1" applyFill="1" applyBorder="1" applyAlignment="1">
      <alignment horizontal="right" vertical="center"/>
    </xf>
    <xf numFmtId="0" fontId="6" fillId="7" borderId="1" xfId="0" applyFont="1" applyFill="1" applyBorder="1" applyAlignment="1">
      <alignment horizontal="right" vertical="center"/>
    </xf>
    <xf numFmtId="0" fontId="8" fillId="10" borderId="1" xfId="0" applyFont="1" applyFill="1" applyBorder="1" applyAlignment="1">
      <alignment horizontal="right" vertical="center"/>
    </xf>
    <xf numFmtId="0" fontId="6" fillId="8" borderId="1" xfId="0" applyFont="1" applyFill="1" applyBorder="1" applyAlignment="1">
      <alignment horizontal="right" vertical="center"/>
    </xf>
    <xf numFmtId="0" fontId="8" fillId="8" borderId="1" xfId="0" applyFont="1" applyFill="1" applyBorder="1" applyAlignment="1">
      <alignment horizontal="right" vertical="center"/>
    </xf>
    <xf numFmtId="165" fontId="8" fillId="8" borderId="1" xfId="0" applyNumberFormat="1" applyFont="1" applyFill="1" applyBorder="1" applyAlignment="1">
      <alignment horizontal="right" vertical="center"/>
    </xf>
    <xf numFmtId="0" fontId="5" fillId="2" borderId="1" xfId="0" applyFont="1" applyFill="1" applyBorder="1" applyAlignment="1">
      <alignment horizontal="left" vertical="center" indent="1"/>
    </xf>
    <xf numFmtId="0" fontId="14" fillId="8" borderId="1" xfId="0" applyFont="1" applyFill="1" applyBorder="1" applyAlignment="1">
      <alignment horizontal="center" vertical="center" wrapText="1"/>
    </xf>
    <xf numFmtId="164" fontId="6" fillId="4" borderId="1" xfId="0" applyNumberFormat="1" applyFont="1" applyFill="1" applyBorder="1" applyAlignment="1">
      <alignment horizontal="right" vertical="center"/>
    </xf>
    <xf numFmtId="0" fontId="6" fillId="7" borderId="1" xfId="0" applyFont="1" applyFill="1" applyBorder="1" applyAlignment="1">
      <alignment horizontal="center" vertical="center" wrapText="1"/>
    </xf>
    <xf numFmtId="0" fontId="19" fillId="8" borderId="1" xfId="0" applyFont="1" applyFill="1" applyBorder="1" applyAlignment="1">
      <alignment horizontal="left" vertical="center" indent="1"/>
    </xf>
    <xf numFmtId="0" fontId="6" fillId="8" borderId="1" xfId="0" applyFont="1" applyFill="1" applyBorder="1" applyAlignment="1">
      <alignment horizontal="center" vertical="center" wrapText="1"/>
    </xf>
    <xf numFmtId="0" fontId="19" fillId="8" borderId="1" xfId="0" applyFont="1" applyFill="1" applyBorder="1" applyAlignment="1">
      <alignment horizontal="center" vertical="center" wrapText="1"/>
    </xf>
    <xf numFmtId="168" fontId="20" fillId="8" borderId="1" xfId="0" applyNumberFormat="1" applyFont="1" applyFill="1" applyBorder="1" applyAlignment="1">
      <alignment horizontal="right" vertical="center"/>
    </xf>
    <xf numFmtId="166" fontId="20" fillId="8" borderId="1" xfId="0" applyNumberFormat="1" applyFont="1" applyFill="1" applyBorder="1" applyAlignment="1">
      <alignment horizontal="right" vertical="center"/>
    </xf>
    <xf numFmtId="0" fontId="20" fillId="8" borderId="1" xfId="0" applyFont="1" applyFill="1" applyBorder="1" applyAlignment="1">
      <alignment horizontal="right" vertical="center"/>
    </xf>
    <xf numFmtId="0" fontId="19" fillId="3" borderId="1" xfId="0" applyFont="1" applyFill="1" applyBorder="1" applyAlignment="1">
      <alignment horizontal="center" vertical="center" wrapText="1"/>
    </xf>
    <xf numFmtId="168" fontId="20" fillId="3" borderId="1" xfId="0" applyNumberFormat="1" applyFont="1" applyFill="1" applyBorder="1" applyAlignment="1">
      <alignment horizontal="right" vertical="center"/>
    </xf>
    <xf numFmtId="0" fontId="20" fillId="3" borderId="1" xfId="0" applyFont="1" applyFill="1" applyBorder="1" applyAlignment="1">
      <alignment horizontal="right" vertical="center"/>
    </xf>
    <xf numFmtId="0" fontId="8" fillId="3" borderId="1" xfId="0" applyFont="1" applyFill="1" applyBorder="1" applyAlignment="1">
      <alignment horizontal="left" vertical="center" indent="1"/>
    </xf>
    <xf numFmtId="166" fontId="8" fillId="4" borderId="1" xfId="0" applyNumberFormat="1" applyFont="1" applyFill="1" applyBorder="1" applyAlignment="1">
      <alignment horizontal="right" vertical="center"/>
    </xf>
    <xf numFmtId="166" fontId="8" fillId="7" borderId="1" xfId="0" applyNumberFormat="1" applyFont="1" applyFill="1" applyBorder="1" applyAlignment="1">
      <alignment horizontal="right" vertical="center"/>
    </xf>
    <xf numFmtId="166" fontId="8" fillId="9" borderId="1" xfId="0" applyNumberFormat="1" applyFont="1" applyFill="1" applyBorder="1" applyAlignment="1">
      <alignment horizontal="right" vertical="center"/>
    </xf>
    <xf numFmtId="166" fontId="8" fillId="8" borderId="1" xfId="0" applyNumberFormat="1" applyFont="1" applyFill="1" applyBorder="1" applyAlignment="1">
      <alignment horizontal="right" vertical="center"/>
    </xf>
    <xf numFmtId="167" fontId="8" fillId="8" borderId="1" xfId="0" applyNumberFormat="1" applyFont="1" applyFill="1" applyBorder="1" applyAlignment="1">
      <alignment horizontal="right" vertical="center"/>
    </xf>
    <xf numFmtId="165" fontId="6" fillId="8" borderId="1" xfId="0" applyNumberFormat="1" applyFont="1" applyFill="1" applyBorder="1" applyAlignment="1">
      <alignment horizontal="right" vertical="center"/>
    </xf>
    <xf numFmtId="0" fontId="21" fillId="4" borderId="5" xfId="0" applyFont="1" applyFill="1" applyBorder="1" applyAlignment="1">
      <alignment horizontal="left" vertical="center" indent="1"/>
    </xf>
    <xf numFmtId="0" fontId="0" fillId="4" borderId="5" xfId="0" applyFill="1" applyBorder="1"/>
    <xf numFmtId="0" fontId="22" fillId="4" borderId="6" xfId="0" applyFont="1" applyFill="1" applyBorder="1" applyAlignment="1">
      <alignment horizontal="left" vertical="center" indent="1"/>
    </xf>
    <xf numFmtId="0" fontId="0" fillId="4" borderId="6" xfId="0" applyFill="1" applyBorder="1"/>
    <xf numFmtId="165" fontId="22" fillId="4" borderId="6" xfId="0" applyNumberFormat="1" applyFont="1" applyFill="1" applyBorder="1" applyAlignment="1">
      <alignment horizontal="left" vertical="center" indent="1"/>
    </xf>
    <xf numFmtId="0" fontId="23" fillId="3" borderId="1" xfId="0" applyFont="1" applyFill="1" applyBorder="1" applyAlignment="1">
      <alignment horizontal="center" vertical="center" wrapText="1"/>
    </xf>
    <xf numFmtId="0" fontId="24" fillId="8" borderId="1" xfId="0" applyFont="1" applyFill="1" applyBorder="1" applyAlignment="1">
      <alignment horizontal="left" vertical="top" wrapText="1" indent="1"/>
    </xf>
    <xf numFmtId="0" fontId="8" fillId="3" borderId="1" xfId="0" applyFont="1" applyFill="1" applyBorder="1" applyAlignment="1">
      <alignment horizontal="left" vertical="top" wrapText="1" indent="1"/>
    </xf>
    <xf numFmtId="0" fontId="24" fillId="8" borderId="12" xfId="0" applyFont="1" applyFill="1" applyBorder="1" applyAlignment="1">
      <alignment horizontal="left" vertical="top" wrapText="1" indent="1"/>
    </xf>
    <xf numFmtId="0" fontId="8" fillId="3" borderId="12" xfId="0" applyFont="1" applyFill="1" applyBorder="1" applyAlignment="1">
      <alignment horizontal="left" vertical="top" wrapText="1" indent="1"/>
    </xf>
    <xf numFmtId="0" fontId="25" fillId="8" borderId="1" xfId="0" applyFont="1" applyFill="1" applyBorder="1" applyAlignment="1">
      <alignment horizontal="left" vertical="center" indent="1"/>
    </xf>
    <xf numFmtId="0" fontId="25" fillId="3" borderId="1" xfId="0" applyFont="1" applyFill="1" applyBorder="1" applyAlignment="1">
      <alignment horizontal="left" vertical="center" indent="1"/>
    </xf>
    <xf numFmtId="0" fontId="4" fillId="4" borderId="1" xfId="0" applyFont="1" applyFill="1" applyBorder="1" applyAlignment="1">
      <alignment horizontal="left" vertical="center" indent="1"/>
    </xf>
    <xf numFmtId="0" fontId="0" fillId="0" borderId="7" xfId="0" applyBorder="1"/>
    <xf numFmtId="0" fontId="1" fillId="2" borderId="1" xfId="0" applyFont="1" applyFill="1" applyBorder="1" applyAlignment="1">
      <alignment horizontal="center" vertical="center" wrapText="1"/>
    </xf>
    <xf numFmtId="0" fontId="0" fillId="0" borderId="8" xfId="0" applyBorder="1"/>
    <xf numFmtId="0" fontId="5" fillId="5" borderId="1" xfId="0" applyFont="1" applyFill="1" applyBorder="1" applyAlignment="1">
      <alignment horizontal="center" vertical="center" wrapText="1"/>
    </xf>
    <xf numFmtId="164" fontId="4" fillId="4" borderId="1" xfId="0" applyNumberFormat="1" applyFont="1" applyFill="1" applyBorder="1" applyAlignment="1">
      <alignment horizontal="left" vertical="center" indent="1"/>
    </xf>
    <xf numFmtId="0" fontId="2" fillId="2" borderId="0" xfId="0" applyFont="1" applyFill="1" applyAlignment="1">
      <alignment horizontal="center" vertical="center" wrapText="1"/>
    </xf>
    <xf numFmtId="0" fontId="0" fillId="0" borderId="0" xfId="0"/>
    <xf numFmtId="0" fontId="3" fillId="4" borderId="1" xfId="0" applyFont="1" applyFill="1" applyBorder="1" applyAlignment="1">
      <alignment horizontal="left" vertical="center" indent="1"/>
    </xf>
    <xf numFmtId="165" fontId="4" fillId="4" borderId="1" xfId="0" applyNumberFormat="1" applyFont="1" applyFill="1" applyBorder="1" applyAlignment="1">
      <alignment horizontal="left" vertical="center" indent="1"/>
    </xf>
    <xf numFmtId="0" fontId="8" fillId="4" borderId="2" xfId="0" applyFont="1" applyFill="1" applyBorder="1" applyAlignment="1">
      <alignment horizontal="left" vertical="top" wrapText="1" indent="1"/>
    </xf>
    <xf numFmtId="0" fontId="0" fillId="0" borderId="9" xfId="0" applyBorder="1"/>
    <xf numFmtId="0" fontId="0" fillId="0" borderId="10" xfId="0" applyBorder="1"/>
    <xf numFmtId="0" fontId="5" fillId="5" borderId="1" xfId="0" applyFont="1" applyFill="1" applyBorder="1" applyAlignment="1">
      <alignment horizontal="left" vertical="center" indent="1"/>
    </xf>
    <xf numFmtId="0" fontId="7" fillId="7" borderId="1" xfId="0" applyFont="1" applyFill="1" applyBorder="1" applyAlignment="1">
      <alignment horizontal="center" vertical="center" wrapText="1"/>
    </xf>
    <xf numFmtId="0" fontId="10" fillId="2" borderId="0" xfId="0" applyFont="1" applyFill="1" applyAlignment="1">
      <alignment horizontal="left" vertical="center" indent="1"/>
    </xf>
    <xf numFmtId="0" fontId="9" fillId="2" borderId="3" xfId="0" applyFont="1" applyFill="1" applyBorder="1" applyAlignment="1">
      <alignment horizontal="center" vertical="center" wrapText="1"/>
    </xf>
    <xf numFmtId="0" fontId="0" fillId="0" borderId="11" xfId="0" applyBorder="1"/>
    <xf numFmtId="0" fontId="0" fillId="0" borderId="3" xfId="0" applyBorder="1"/>
    <xf numFmtId="0" fontId="26" fillId="5" borderId="1" xfId="0" applyFont="1" applyFill="1" applyBorder="1" applyAlignment="1">
      <alignment horizontal="left" vertical="center" indent="1"/>
    </xf>
    <xf numFmtId="0" fontId="18" fillId="8" borderId="1" xfId="0" applyFont="1" applyFill="1" applyBorder="1" applyAlignment="1">
      <alignment horizontal="left" vertical="center" indent="1"/>
    </xf>
    <xf numFmtId="0" fontId="9" fillId="2" borderId="1" xfId="0" applyFont="1" applyFill="1" applyBorder="1" applyAlignment="1">
      <alignment horizontal="center" vertical="center" wrapText="1"/>
    </xf>
    <xf numFmtId="0" fontId="13" fillId="8" borderId="1" xfId="0" applyFont="1" applyFill="1" applyBorder="1" applyAlignment="1">
      <alignment horizontal="left" vertical="center" indent="1"/>
    </xf>
    <xf numFmtId="165" fontId="8" fillId="8" borderId="1" xfId="0" applyNumberFormat="1" applyFont="1" applyFill="1" applyBorder="1" applyAlignment="1">
      <alignment horizontal="right" vertical="center"/>
    </xf>
    <xf numFmtId="0" fontId="27" fillId="2" borderId="1" xfId="0" applyFont="1" applyFill="1" applyBorder="1" applyAlignment="1">
      <alignment horizontal="center" vertical="center" wrapText="1"/>
    </xf>
    <xf numFmtId="0" fontId="28" fillId="2" borderId="0" xfId="0" applyFont="1" applyFill="1" applyAlignment="1">
      <alignment horizontal="center" vertical="center"/>
    </xf>
    <xf numFmtId="0" fontId="0" fillId="0" borderId="0" xfId="0" applyAlignment="1">
      <alignment horizontal="center"/>
    </xf>
    <xf numFmtId="0" fontId="5" fillId="5" borderId="4" xfId="0" applyFont="1" applyFill="1" applyBorder="1" applyAlignment="1">
      <alignment horizontal="center" vertical="center" wrapText="1"/>
    </xf>
    <xf numFmtId="0" fontId="18" fillId="11" borderId="1" xfId="0" applyFont="1" applyFill="1" applyBorder="1" applyAlignment="1">
      <alignment horizontal="left" vertical="center" inden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FF2CC"/>
      <rgbColor rgb="FFDEEAF1"/>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2F2F2"/>
      <rgbColor rgb="FFE2EFDA"/>
      <rgbColor rgb="FFFFE0E0"/>
      <rgbColor rgb="FFD9D9D9"/>
      <rgbColor rgb="FFFF99CC"/>
      <rgbColor rgb="FFCC99FF"/>
      <rgbColor rgb="FFFCE4D6"/>
      <rgbColor rgb="FF3366FF"/>
      <rgbColor rgb="FF33CCCC"/>
      <rgbColor rgb="FF99CC00"/>
      <rgbColor rgb="FFFFCC00"/>
      <rgbColor rgb="FFFF9900"/>
      <rgbColor rgb="FFC55A11"/>
      <rgbColor rgb="FF595959"/>
      <rgbColor rgb="FF969696"/>
      <rgbColor rgb="FF1F3864"/>
      <rgbColor rgb="FF339966"/>
      <rgbColor rgb="FF003300"/>
      <rgbColor rgb="FF333300"/>
      <rgbColor rgb="FF833C00"/>
      <rgbColor rgb="FF993366"/>
      <rgbColor rgb="FF2E5090"/>
      <rgbColor rgb="FF375623"/>
      <rgbColor rgb="0000336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7</xdr:col>
      <xdr:colOff>30480</xdr:colOff>
      <xdr:row>7</xdr:row>
      <xdr:rowOff>129540</xdr:rowOff>
    </xdr:from>
    <xdr:ext cx="1874520" cy="228600"/>
    <xdr:sp macro="" textlink="">
      <xdr:nvSpPr>
        <xdr:cNvPr id="2" name="TextBox 1">
          <a:extLst>
            <a:ext uri="{FF2B5EF4-FFF2-40B4-BE49-F238E27FC236}">
              <a16:creationId xmlns:a16="http://schemas.microsoft.com/office/drawing/2014/main" id="{5D41835C-E4F3-405A-BE42-C5D5E0742714}"/>
            </a:ext>
          </a:extLst>
        </xdr:cNvPr>
        <xdr:cNvSpPr txBox="1"/>
      </xdr:nvSpPr>
      <xdr:spPr>
        <a:xfrm>
          <a:off x="7917180" y="1638300"/>
          <a:ext cx="1874520" cy="228600"/>
        </a:xfrm>
        <a:prstGeom prst="rect">
          <a:avLst/>
        </a:prstGeom>
        <a:solidFill>
          <a:srgbClr val="FFFF99"/>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000">
              <a:solidFill>
                <a:schemeClr val="tx1"/>
              </a:solidFill>
              <a:latin typeface="Arial" panose="020B0604020202020204" pitchFamily="34" charset="0"/>
              <a:cs typeface="Arial" panose="020B0604020202020204" pitchFamily="34" charset="0"/>
            </a:rPr>
            <a:t>Solvency II SCR (99.5% VaR)</a:t>
          </a:r>
        </a:p>
      </xdr:txBody>
    </xdr:sp>
    <xdr:clientData/>
  </xdr:oneCellAnchor>
  <xdr:oneCellAnchor>
    <xdr:from>
      <xdr:col>5</xdr:col>
      <xdr:colOff>0</xdr:colOff>
      <xdr:row>17</xdr:row>
      <xdr:rowOff>53340</xdr:rowOff>
    </xdr:from>
    <xdr:ext cx="3916680" cy="1508618"/>
    <xdr:sp macro="" textlink="">
      <xdr:nvSpPr>
        <xdr:cNvPr id="3" name="TextBox 2">
          <a:extLst>
            <a:ext uri="{FF2B5EF4-FFF2-40B4-BE49-F238E27FC236}">
              <a16:creationId xmlns:a16="http://schemas.microsoft.com/office/drawing/2014/main" id="{950C5D4C-DA7F-424D-A45D-FDC1E3C459E2}"/>
            </a:ext>
          </a:extLst>
        </xdr:cNvPr>
        <xdr:cNvSpPr txBox="1"/>
      </xdr:nvSpPr>
      <xdr:spPr>
        <a:xfrm>
          <a:off x="4732020" y="3238500"/>
          <a:ext cx="3916680" cy="1508618"/>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a:latin typeface="Arial" panose="020B0604020202020204" pitchFamily="34" charset="0"/>
              <a:cs typeface="Arial" panose="020B0604020202020204" pitchFamily="34" charset="0"/>
            </a:rPr>
            <a:t>This simulation uses constant average severity (Rs 1,20,000 per claim) as a spreadsheet simplification. The full stochastic Lognormal severity model is implemented in Python. This limitation means the XL reinsurance treaty does not trigger in this sheet, and the probability of ruin shown here is zero by construction. See the Python notebook for the complete stochastic analysis.</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7</xdr:col>
      <xdr:colOff>45720</xdr:colOff>
      <xdr:row>7</xdr:row>
      <xdr:rowOff>53340</xdr:rowOff>
    </xdr:from>
    <xdr:ext cx="5486400" cy="2766060"/>
    <xdr:sp macro="" textlink="">
      <xdr:nvSpPr>
        <xdr:cNvPr id="2" name="TextBox 1">
          <a:extLst>
            <a:ext uri="{FF2B5EF4-FFF2-40B4-BE49-F238E27FC236}">
              <a16:creationId xmlns:a16="http://schemas.microsoft.com/office/drawing/2014/main" id="{B5CDA6AF-BB12-4862-AAF6-BB4863FD48AF}"/>
            </a:ext>
          </a:extLst>
        </xdr:cNvPr>
        <xdr:cNvSpPr txBox="1"/>
      </xdr:nvSpPr>
      <xdr:spPr>
        <a:xfrm>
          <a:off x="8183880" y="1539240"/>
          <a:ext cx="5486400" cy="2766060"/>
        </a:xfrm>
        <a:prstGeom prst="rect">
          <a:avLst/>
        </a:prstGeom>
        <a:solidFill>
          <a:srgbClr val="FFFF99"/>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latin typeface="Arial" panose="020B0604020202020204" pitchFamily="34" charset="0"/>
              <a:cs typeface="Arial" panose="020B0604020202020204" pitchFamily="34" charset="0"/>
            </a:rPr>
            <a:t>LIMITATION (IMPORTANT):</a:t>
          </a:r>
        </a:p>
        <a:p>
          <a:endParaRPr lang="en-IN" sz="1100">
            <a:latin typeface="Arial" panose="020B0604020202020204" pitchFamily="34" charset="0"/>
            <a:cs typeface="Arial" panose="020B0604020202020204" pitchFamily="34" charset="0"/>
          </a:endParaRPr>
        </a:p>
        <a:p>
          <a:r>
            <a:rPr lang="en-IN" sz="1100">
              <a:latin typeface="Arial" panose="020B0604020202020204" pitchFamily="34" charset="0"/>
              <a:cs typeface="Arial" panose="020B0604020202020204" pitchFamily="34" charset="0"/>
            </a:rPr>
            <a:t>This Excel model assumes constant claim severity of ₹1,20,000 per claim.</a:t>
          </a:r>
        </a:p>
        <a:p>
          <a:r>
            <a:rPr lang="en-IN" sz="1100">
              <a:latin typeface="Arial" panose="020B0604020202020204" pitchFamily="34" charset="0"/>
              <a:cs typeface="Arial" panose="020B0604020202020204" pitchFamily="34" charset="0"/>
            </a:rPr>
            <a:t>Implications:</a:t>
          </a:r>
        </a:p>
        <a:p>
          <a:r>
            <a:rPr lang="en-IN" sz="1100">
              <a:latin typeface="Arial" panose="020B0604020202020204" pitchFamily="34" charset="0"/>
              <a:cs typeface="Arial" panose="020B0604020202020204" pitchFamily="34" charset="0"/>
            </a:rPr>
            <a:t>This removes:</a:t>
          </a:r>
        </a:p>
        <a:p>
          <a:r>
            <a:rPr lang="en-IN" sz="1100">
              <a:latin typeface="Arial" panose="020B0604020202020204" pitchFamily="34" charset="0"/>
              <a:cs typeface="Arial" panose="020B0604020202020204" pitchFamily="34" charset="0"/>
            </a:rPr>
            <a:t>- Severity variability</a:t>
          </a:r>
        </a:p>
        <a:p>
          <a:r>
            <a:rPr lang="en-IN" sz="1100">
              <a:latin typeface="Arial" panose="020B0604020202020204" pitchFamily="34" charset="0"/>
              <a:cs typeface="Arial" panose="020B0604020202020204" pitchFamily="34" charset="0"/>
            </a:rPr>
            <a:t>- Tail risk</a:t>
          </a:r>
        </a:p>
        <a:p>
          <a:r>
            <a:rPr lang="en-IN" sz="1100">
              <a:latin typeface="Arial" panose="020B0604020202020204" pitchFamily="34" charset="0"/>
              <a:cs typeface="Arial" panose="020B0604020202020204" pitchFamily="34" charset="0"/>
            </a:rPr>
            <a:t>- Reinsurance impact</a:t>
          </a:r>
        </a:p>
        <a:p>
          <a:br>
            <a:rPr lang="en-IN" sz="1100">
              <a:latin typeface="Arial" panose="020B0604020202020204" pitchFamily="34" charset="0"/>
              <a:cs typeface="Arial" panose="020B0604020202020204" pitchFamily="34" charset="0"/>
            </a:rPr>
          </a:br>
          <a:r>
            <a:rPr lang="en-IN" sz="1100">
              <a:latin typeface="Arial" panose="020B0604020202020204" pitchFamily="34" charset="0"/>
              <a:cs typeface="Arial" panose="020B0604020202020204" pitchFamily="34" charset="0"/>
            </a:rPr>
            <a:t>Therefore:</a:t>
          </a:r>
        </a:p>
        <a:p>
          <a:r>
            <a:rPr lang="en-IN" sz="1100">
              <a:latin typeface="Arial" panose="020B0604020202020204" pitchFamily="34" charset="0"/>
              <a:cs typeface="Arial" panose="020B0604020202020204" pitchFamily="34" charset="0"/>
            </a:rPr>
            <a:t>Excel results underestimate risk (e.g., ruin probability = 0).</a:t>
          </a:r>
        </a:p>
        <a:p>
          <a:r>
            <a:rPr lang="en-IN" sz="1100">
              <a:latin typeface="Arial" panose="020B0604020202020204" pitchFamily="34" charset="0"/>
              <a:cs typeface="Arial" panose="020B0604020202020204" pitchFamily="34" charset="0"/>
            </a:rPr>
            <a:t>The Python model includes stochastic severity and provides the correct risk assessment. Excel workbook is a simplified prototype using stochastic claim frequency</a:t>
          </a:r>
          <a:r>
            <a:rPr lang="en-IN" sz="1100" baseline="0">
              <a:latin typeface="Arial" panose="020B0604020202020204" pitchFamily="34" charset="0"/>
              <a:cs typeface="Arial" panose="020B0604020202020204" pitchFamily="34" charset="0"/>
            </a:rPr>
            <a:t> </a:t>
          </a:r>
          <a:r>
            <a:rPr lang="en-IN" sz="1100">
              <a:latin typeface="Arial" panose="020B0604020202020204" pitchFamily="34" charset="0"/>
              <a:cs typeface="Arial" panose="020B0604020202020204" pitchFamily="34" charset="0"/>
            </a:rPr>
            <a:t>with fixed mean severity.</a:t>
          </a:r>
        </a:p>
        <a:p>
          <a:r>
            <a:rPr lang="en-IN" sz="1100">
              <a:latin typeface="Arial" panose="020B0604020202020204" pitchFamily="34" charset="0"/>
              <a:cs typeface="Arial" panose="020B0604020202020204" pitchFamily="34" charset="0"/>
            </a:rPr>
            <a:t>The Python internal model replaces this with stochastic lognormal severity,</a:t>
          </a:r>
        </a:p>
        <a:p>
          <a:r>
            <a:rPr lang="en-IN" sz="1100">
              <a:latin typeface="Arial" panose="020B0604020202020204" pitchFamily="34" charset="0"/>
              <a:cs typeface="Arial" panose="020B0604020202020204" pitchFamily="34" charset="0"/>
            </a:rPr>
            <a:t>resulting in materially higher tail risk and lower solvency coverage.</a:t>
          </a:r>
        </a:p>
      </xdr:txBody>
    </xdr:sp>
    <xdr:clientData/>
  </xdr:oneCellAnchor>
  <xdr:oneCellAnchor>
    <xdr:from>
      <xdr:col>5</xdr:col>
      <xdr:colOff>68580</xdr:colOff>
      <xdr:row>22</xdr:row>
      <xdr:rowOff>167640</xdr:rowOff>
    </xdr:from>
    <xdr:ext cx="7520940" cy="1645920"/>
    <xdr:sp macro="" textlink="">
      <xdr:nvSpPr>
        <xdr:cNvPr id="3" name="TextBox 2">
          <a:extLst>
            <a:ext uri="{FF2B5EF4-FFF2-40B4-BE49-F238E27FC236}">
              <a16:creationId xmlns:a16="http://schemas.microsoft.com/office/drawing/2014/main" id="{471BBB72-5F80-410B-87E9-5820B1A17F96}"/>
            </a:ext>
          </a:extLst>
        </xdr:cNvPr>
        <xdr:cNvSpPr txBox="1"/>
      </xdr:nvSpPr>
      <xdr:spPr>
        <a:xfrm>
          <a:off x="6240780" y="4465320"/>
          <a:ext cx="7520940" cy="1645920"/>
        </a:xfrm>
        <a:prstGeom prst="rect">
          <a:avLst/>
        </a:prstGeom>
        <a:solidFill>
          <a:srgbClr val="FFFF99"/>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latin typeface="Arial" panose="020B0604020202020204" pitchFamily="34" charset="0"/>
              <a:cs typeface="Arial" panose="020B0604020202020204" pitchFamily="34" charset="0"/>
            </a:rPr>
            <a:t>NOTE ON SOLVENCY RATIO:</a:t>
          </a:r>
        </a:p>
        <a:p>
          <a:r>
            <a:rPr lang="en-IN" sz="1100">
              <a:latin typeface="Arial" panose="020B0604020202020204" pitchFamily="34" charset="0"/>
              <a:cs typeface="Arial" panose="020B0604020202020204" pitchFamily="34" charset="0"/>
            </a:rPr>
            <a:t>The high solvency ratio observed in this Excel model is driven by the assumption of constant claim severity.</a:t>
          </a:r>
        </a:p>
        <a:p>
          <a:r>
            <a:rPr lang="en-IN" sz="1100">
              <a:latin typeface="Arial" panose="020B0604020202020204" pitchFamily="34" charset="0"/>
              <a:cs typeface="Arial" panose="020B0604020202020204" pitchFamily="34" charset="0"/>
            </a:rPr>
            <a:t>Because all claims are fixed at ₹1,20,000:</a:t>
          </a:r>
        </a:p>
        <a:p>
          <a:r>
            <a:rPr lang="en-IN" sz="1100">
              <a:latin typeface="Arial" panose="020B0604020202020204" pitchFamily="34" charset="0"/>
              <a:cs typeface="Arial" panose="020B0604020202020204" pitchFamily="34" charset="0"/>
            </a:rPr>
            <a:t>- Loss variability is artificially low</a:t>
          </a:r>
        </a:p>
        <a:p>
          <a:r>
            <a:rPr lang="en-IN" sz="1100">
              <a:latin typeface="Arial" panose="020B0604020202020204" pitchFamily="34" charset="0"/>
              <a:cs typeface="Arial" panose="020B0604020202020204" pitchFamily="34" charset="0"/>
            </a:rPr>
            <a:t>- Extreme losses do not occur</a:t>
          </a:r>
        </a:p>
        <a:p>
          <a:r>
            <a:rPr lang="en-IN" sz="1100">
              <a:latin typeface="Arial" panose="020B0604020202020204" pitchFamily="34" charset="0"/>
              <a:cs typeface="Arial" panose="020B0604020202020204" pitchFamily="34" charset="0"/>
            </a:rPr>
            <a:t>- Required capital (SCR) is underestimated</a:t>
          </a:r>
        </a:p>
        <a:p>
          <a:endParaRPr lang="en-IN" sz="1100">
            <a:latin typeface="Arial" panose="020B0604020202020204" pitchFamily="34" charset="0"/>
            <a:cs typeface="Arial" panose="020B0604020202020204" pitchFamily="34" charset="0"/>
          </a:endParaRPr>
        </a:p>
        <a:p>
          <a:r>
            <a:rPr lang="en-IN" sz="1100">
              <a:latin typeface="Arial" panose="020B0604020202020204" pitchFamily="34" charset="0"/>
              <a:cs typeface="Arial" panose="020B0604020202020204" pitchFamily="34" charset="0"/>
            </a:rPr>
            <a:t>As a result, the solvency ratio appears inflated.</a:t>
          </a:r>
        </a:p>
        <a:p>
          <a:r>
            <a:rPr lang="en-IN" sz="1100">
              <a:latin typeface="Arial" panose="020B0604020202020204" pitchFamily="34" charset="0"/>
              <a:cs typeface="Arial" panose="020B0604020202020204" pitchFamily="34" charset="0"/>
            </a:rPr>
            <a:t>The Python model, which includes stochastic severity, produces a more realistic solvency ratio (~3.0x).S</a:t>
          </a:r>
        </a:p>
      </xdr:txBody>
    </xdr:sp>
    <xdr:clientData/>
  </xdr:oneCellAnchor>
  <xdr:oneCellAnchor>
    <xdr:from>
      <xdr:col>1</xdr:col>
      <xdr:colOff>53340</xdr:colOff>
      <xdr:row>21</xdr:row>
      <xdr:rowOff>137161</xdr:rowOff>
    </xdr:from>
    <xdr:ext cx="5646420" cy="3307080"/>
    <xdr:sp macro="" textlink="">
      <xdr:nvSpPr>
        <xdr:cNvPr id="4" name="TextBox 3">
          <a:extLst>
            <a:ext uri="{FF2B5EF4-FFF2-40B4-BE49-F238E27FC236}">
              <a16:creationId xmlns:a16="http://schemas.microsoft.com/office/drawing/2014/main" id="{AC1807DC-A6DA-4232-8425-AF15703B91A5}"/>
            </a:ext>
          </a:extLst>
        </xdr:cNvPr>
        <xdr:cNvSpPr txBox="1"/>
      </xdr:nvSpPr>
      <xdr:spPr>
        <a:xfrm>
          <a:off x="259080" y="4251961"/>
          <a:ext cx="5646420" cy="3307080"/>
        </a:xfrm>
        <a:prstGeom prst="rect">
          <a:avLst/>
        </a:prstGeom>
        <a:solidFill>
          <a:schemeClr val="tx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latin typeface="Arial" panose="020B0604020202020204" pitchFamily="34" charset="0"/>
              <a:cs typeface="Arial" panose="020B0604020202020204" pitchFamily="34" charset="0"/>
            </a:rPr>
            <a:t>MODEL COMPARISON (IMPORTANT):</a:t>
          </a:r>
        </a:p>
        <a:p>
          <a:r>
            <a:rPr lang="en-IN" sz="1100">
              <a:latin typeface="Arial" panose="020B0604020202020204" pitchFamily="34" charset="0"/>
              <a:cs typeface="Arial" panose="020B0604020202020204" pitchFamily="34" charset="0"/>
            </a:rPr>
            <a:t>The Excel model shows 0% probability of ruin, while the Python model shows ~32%.</a:t>
          </a:r>
        </a:p>
        <a:p>
          <a:r>
            <a:rPr lang="en-IN" sz="1100">
              <a:latin typeface="Arial" panose="020B0604020202020204" pitchFamily="34" charset="0"/>
              <a:cs typeface="Arial" panose="020B0604020202020204" pitchFamily="34" charset="0"/>
            </a:rPr>
            <a:t>This difference arises due to modeling assumptions:</a:t>
          </a:r>
        </a:p>
        <a:p>
          <a:endParaRPr lang="en-IN" sz="1100">
            <a:latin typeface="Arial" panose="020B0604020202020204" pitchFamily="34" charset="0"/>
            <a:cs typeface="Arial" panose="020B0604020202020204" pitchFamily="34" charset="0"/>
          </a:endParaRPr>
        </a:p>
        <a:p>
          <a:r>
            <a:rPr lang="en-IN" sz="1100">
              <a:latin typeface="Arial" panose="020B0604020202020204" pitchFamily="34" charset="0"/>
              <a:cs typeface="Arial" panose="020B0604020202020204" pitchFamily="34" charset="0"/>
            </a:rPr>
            <a:t>Excel Model:</a:t>
          </a:r>
        </a:p>
        <a:p>
          <a:r>
            <a:rPr lang="en-IN" sz="1100">
              <a:latin typeface="Arial" panose="020B0604020202020204" pitchFamily="34" charset="0"/>
              <a:cs typeface="Arial" panose="020B0604020202020204" pitchFamily="34" charset="0"/>
            </a:rPr>
            <a:t>- Assumes constant claim severity (₹1,20,000)</a:t>
          </a:r>
        </a:p>
        <a:p>
          <a:r>
            <a:rPr lang="en-IN" sz="1100">
              <a:latin typeface="Arial" panose="020B0604020202020204" pitchFamily="34" charset="0"/>
              <a:cs typeface="Arial" panose="020B0604020202020204" pitchFamily="34" charset="0"/>
            </a:rPr>
            <a:t>- Only variability comes from claim frequency</a:t>
          </a:r>
        </a:p>
        <a:p>
          <a:r>
            <a:rPr lang="en-IN" sz="1100">
              <a:latin typeface="Arial" panose="020B0604020202020204" pitchFamily="34" charset="0"/>
              <a:cs typeface="Arial" panose="020B0604020202020204" pitchFamily="34" charset="0"/>
            </a:rPr>
            <a:t>- Loss distribution is narrow → no extreme losses → no ruin</a:t>
          </a:r>
        </a:p>
        <a:p>
          <a:endParaRPr lang="en-IN" sz="1100">
            <a:latin typeface="Arial" panose="020B0604020202020204" pitchFamily="34" charset="0"/>
            <a:cs typeface="Arial" panose="020B0604020202020204" pitchFamily="34" charset="0"/>
          </a:endParaRPr>
        </a:p>
        <a:p>
          <a:r>
            <a:rPr lang="en-IN" sz="1100">
              <a:latin typeface="Arial" panose="020B0604020202020204" pitchFamily="34" charset="0"/>
              <a:cs typeface="Arial" panose="020B0604020202020204" pitchFamily="34" charset="0"/>
            </a:rPr>
            <a:t>Python Model:</a:t>
          </a:r>
        </a:p>
        <a:p>
          <a:r>
            <a:rPr lang="en-IN" sz="1100">
              <a:latin typeface="Arial" panose="020B0604020202020204" pitchFamily="34" charset="0"/>
              <a:cs typeface="Arial" panose="020B0604020202020204" pitchFamily="34" charset="0"/>
            </a:rPr>
            <a:t>- Uses stochastic (lognormal) claim severity</a:t>
          </a:r>
        </a:p>
        <a:p>
          <a:r>
            <a:rPr lang="en-IN" sz="1100">
              <a:latin typeface="Arial" panose="020B0604020202020204" pitchFamily="34" charset="0"/>
              <a:cs typeface="Arial" panose="020B0604020202020204" pitchFamily="34" charset="0"/>
            </a:rPr>
            <a:t>- Captures large claims and tail risk</a:t>
          </a:r>
        </a:p>
        <a:p>
          <a:r>
            <a:rPr lang="en-IN" sz="1100">
              <a:latin typeface="Arial" panose="020B0604020202020204" pitchFamily="34" charset="0"/>
              <a:cs typeface="Arial" panose="020B0604020202020204" pitchFamily="34" charset="0"/>
            </a:rPr>
            <a:t>- Produces realistic loss variability → positive ruin probability</a:t>
          </a:r>
          <a:br>
            <a:rPr lang="en-IN" sz="1100">
              <a:latin typeface="Arial" panose="020B0604020202020204" pitchFamily="34" charset="0"/>
              <a:cs typeface="Arial" panose="020B0604020202020204" pitchFamily="34" charset="0"/>
            </a:rPr>
          </a:br>
          <a:br>
            <a:rPr lang="en-IN" sz="1100">
              <a:latin typeface="Arial" panose="020B0604020202020204" pitchFamily="34" charset="0"/>
              <a:cs typeface="Arial" panose="020B0604020202020204" pitchFamily="34" charset="0"/>
            </a:rPr>
          </a:br>
          <a:r>
            <a:rPr lang="en-IN" sz="1100">
              <a:latin typeface="Arial" panose="020B0604020202020204" pitchFamily="34" charset="0"/>
              <a:cs typeface="Arial" panose="020B0604020202020204" pitchFamily="34" charset="0"/>
            </a:rPr>
            <a:t>Note: Excel simulation assumes constant claim severity, while the Python model uses Lognormal severity with reinsurance effects. Differences in results are expected.</a:t>
          </a:r>
        </a:p>
        <a:p>
          <a:endParaRPr lang="en-IN" sz="1100">
            <a:latin typeface="Arial" panose="020B0604020202020204" pitchFamily="34" charset="0"/>
            <a:cs typeface="Arial" panose="020B0604020202020204" pitchFamily="34" charset="0"/>
          </a:endParaRPr>
        </a:p>
        <a:p>
          <a:r>
            <a:rPr lang="en-IN" sz="1100">
              <a:latin typeface="Arial" panose="020B0604020202020204" pitchFamily="34" charset="0"/>
              <a:cs typeface="Arial" panose="020B0604020202020204" pitchFamily="34" charset="0"/>
            </a:rPr>
            <a:t>Conclusion:</a:t>
          </a:r>
        </a:p>
        <a:p>
          <a:r>
            <a:rPr lang="en-IN" sz="1100">
              <a:latin typeface="Arial" panose="020B0604020202020204" pitchFamily="34" charset="0"/>
              <a:cs typeface="Arial" panose="020B0604020202020204" pitchFamily="34" charset="0"/>
            </a:rPr>
            <a:t>The Python model provides a more accurate representation of real-world insurance risk.</a:t>
          </a:r>
        </a:p>
      </xdr:txBody>
    </xdr:sp>
    <xdr:clientData/>
  </xdr:one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H23"/>
  <sheetViews>
    <sheetView showGridLines="0" zoomScale="78" zoomScaleNormal="78" workbookViewId="0">
      <selection activeCell="E8" sqref="E8:F8"/>
    </sheetView>
  </sheetViews>
  <sheetFormatPr defaultColWidth="8.6640625" defaultRowHeight="14.4" x14ac:dyDescent="0.3"/>
  <cols>
    <col min="1" max="1" width="2" customWidth="1"/>
    <col min="2" max="2" width="28" customWidth="1"/>
    <col min="3" max="3" width="18" customWidth="1"/>
    <col min="4" max="4" width="2" customWidth="1"/>
    <col min="5" max="5" width="28" customWidth="1"/>
    <col min="6" max="6" width="20.109375" customWidth="1"/>
    <col min="7" max="7" width="2.109375" customWidth="1"/>
    <col min="8" max="8" width="18" customWidth="1"/>
  </cols>
  <sheetData>
    <row r="1" spans="1:8" ht="42" customHeight="1" x14ac:dyDescent="0.3">
      <c r="A1" s="74" t="s">
        <v>0</v>
      </c>
      <c r="B1" s="75"/>
      <c r="C1" s="75"/>
      <c r="D1" s="75"/>
      <c r="E1" s="75"/>
      <c r="F1" s="75"/>
      <c r="G1" s="75"/>
      <c r="H1" s="73"/>
    </row>
    <row r="2" spans="1:8" ht="19.5" customHeight="1" x14ac:dyDescent="0.3">
      <c r="A2" s="78" t="s">
        <v>1</v>
      </c>
      <c r="B2" s="79"/>
      <c r="C2" s="79"/>
      <c r="D2" s="79"/>
      <c r="E2" s="79"/>
      <c r="F2" s="79"/>
      <c r="G2" s="79"/>
      <c r="H2" s="79"/>
    </row>
    <row r="3" spans="1:8" ht="7.5" customHeight="1" x14ac:dyDescent="0.3">
      <c r="A3" s="3"/>
      <c r="B3" s="3"/>
      <c r="C3" s="3"/>
      <c r="D3" s="3"/>
      <c r="E3" s="3"/>
      <c r="F3" s="3"/>
      <c r="G3" s="3"/>
      <c r="H3" s="3"/>
    </row>
    <row r="4" spans="1:8" ht="12.75" customHeight="1" x14ac:dyDescent="0.3">
      <c r="B4" s="80" t="s">
        <v>2</v>
      </c>
      <c r="C4" s="73"/>
      <c r="E4" s="80" t="s">
        <v>3</v>
      </c>
      <c r="F4" s="73"/>
    </row>
    <row r="5" spans="1:8" ht="30" customHeight="1" x14ac:dyDescent="0.3">
      <c r="B5" s="72">
        <f>Calculations!B11</f>
        <v>2000000</v>
      </c>
      <c r="C5" s="73"/>
      <c r="E5" s="81">
        <f>Calculations!B18</f>
        <v>0.98</v>
      </c>
      <c r="F5" s="73"/>
    </row>
    <row r="6" spans="1:8" ht="7.5" customHeight="1" x14ac:dyDescent="0.3"/>
    <row r="7" spans="1:8" ht="12.75" customHeight="1" x14ac:dyDescent="0.3">
      <c r="B7" s="80" t="s">
        <v>298</v>
      </c>
      <c r="C7" s="73"/>
      <c r="E7" s="80" t="s">
        <v>4</v>
      </c>
      <c r="F7" s="73"/>
    </row>
    <row r="8" spans="1:8" ht="30" customHeight="1" x14ac:dyDescent="0.3">
      <c r="B8" s="72">
        <f ca="1">Simulation!G9</f>
        <v>66960000</v>
      </c>
      <c r="C8" s="73"/>
      <c r="E8" s="77">
        <f ca="1">'Capital &amp; Solvency'!C20</f>
        <v>2.3946360153256707</v>
      </c>
      <c r="F8" s="73"/>
    </row>
    <row r="9" spans="1:8" ht="7.5" customHeight="1" x14ac:dyDescent="0.3"/>
    <row r="10" spans="1:8" ht="12.75" customHeight="1" x14ac:dyDescent="0.3">
      <c r="B10" s="80" t="s">
        <v>5</v>
      </c>
      <c r="C10" s="73"/>
      <c r="E10" s="80" t="s">
        <v>6</v>
      </c>
      <c r="F10" s="73"/>
    </row>
    <row r="11" spans="1:8" ht="30" customHeight="1" x14ac:dyDescent="0.3">
      <c r="B11" s="81">
        <f>Calculations!B15</f>
        <v>0.6</v>
      </c>
      <c r="C11" s="73"/>
      <c r="E11" s="81">
        <f>Calculations!C25</f>
        <v>0</v>
      </c>
      <c r="F11" s="73"/>
    </row>
    <row r="12" spans="1:8" ht="7.5" customHeight="1" x14ac:dyDescent="0.3"/>
    <row r="13" spans="1:8" ht="12.75" customHeight="1" x14ac:dyDescent="0.3">
      <c r="B13" s="80" t="s">
        <v>7</v>
      </c>
      <c r="C13" s="73"/>
      <c r="E13" s="80" t="s">
        <v>8</v>
      </c>
      <c r="F13" s="73"/>
    </row>
    <row r="14" spans="1:8" ht="30" customHeight="1" x14ac:dyDescent="0.3">
      <c r="B14" s="81">
        <f ca="1">Simulation!G10</f>
        <v>0</v>
      </c>
      <c r="C14" s="73"/>
      <c r="E14" s="72">
        <f ca="1">'Capital &amp; Solvency'!C16</f>
        <v>8352000</v>
      </c>
      <c r="F14" s="73"/>
    </row>
    <row r="15" spans="1:8" ht="7.5" customHeight="1" x14ac:dyDescent="0.3"/>
    <row r="16" spans="1:8" ht="7.5" customHeight="1" x14ac:dyDescent="0.3">
      <c r="A16" s="3"/>
      <c r="B16" s="3"/>
      <c r="C16" s="3"/>
      <c r="D16" s="3"/>
      <c r="E16" s="3"/>
      <c r="F16" s="3"/>
      <c r="G16" s="3"/>
      <c r="H16" s="3"/>
    </row>
    <row r="17" spans="1:8" ht="18" customHeight="1" x14ac:dyDescent="0.3">
      <c r="A17" s="85" t="s">
        <v>9</v>
      </c>
      <c r="B17" s="75"/>
      <c r="C17" s="75"/>
      <c r="D17" s="75"/>
      <c r="E17" s="75"/>
      <c r="F17" s="75"/>
      <c r="G17" s="75"/>
      <c r="H17" s="73"/>
    </row>
    <row r="18" spans="1:8" ht="19.5" customHeight="1" x14ac:dyDescent="0.3">
      <c r="B18" s="76" t="s">
        <v>10</v>
      </c>
      <c r="C18" s="73"/>
      <c r="E18" s="76" t="s">
        <v>10</v>
      </c>
      <c r="F18" s="73"/>
    </row>
    <row r="19" spans="1:8" ht="21.75" customHeight="1" x14ac:dyDescent="0.3">
      <c r="B19" s="4" t="s">
        <v>11</v>
      </c>
      <c r="C19" s="86" t="str">
        <f>IF(Calculations!B11&gt;0,"✓ PROFITABLE","✗ LOSS-MAKING")</f>
        <v>✓ PROFITABLE</v>
      </c>
      <c r="D19" s="73"/>
      <c r="E19" s="4" t="s">
        <v>12</v>
      </c>
      <c r="F19" s="86" t="str">
        <f>IF(Calculations!B18&lt;0.95,"✓ HEALTHY (&lt;95%)",IF(Calculations!B18&lt;1,"⚠ WATCH (95-100%)","✗ DANGER (&gt;100%)"))</f>
        <v>⚠ WATCH (95-100%)</v>
      </c>
      <c r="G19" s="73"/>
    </row>
    <row r="20" spans="1:8" ht="21.75" customHeight="1" x14ac:dyDescent="0.3">
      <c r="B20" s="4" t="s">
        <v>13</v>
      </c>
      <c r="C20" s="86" t="str">
        <f ca="1">IF('Capital &amp; Solvency'!C20&gt;=1,"✓ SOLVENT","✗ CAPITAL SHORTFALL")</f>
        <v>✓ SOLVENT</v>
      </c>
      <c r="D20" s="73"/>
      <c r="E20" s="4" t="s">
        <v>14</v>
      </c>
      <c r="F20" s="86" t="str">
        <f>IF('Pricing Adequacy'!C20&gt;=1,"✓ ADEQUATELY PRICED","✗ REVIEW PRICING")</f>
        <v>✗ REVIEW PRICING</v>
      </c>
      <c r="G20" s="73"/>
    </row>
    <row r="21" spans="1:8" ht="7.5" customHeight="1" x14ac:dyDescent="0.3">
      <c r="A21" s="3"/>
      <c r="B21" s="3"/>
      <c r="C21" s="3"/>
      <c r="D21" s="3"/>
      <c r="E21" s="3"/>
      <c r="F21" s="3"/>
      <c r="G21" s="3"/>
      <c r="H21" s="3"/>
    </row>
    <row r="22" spans="1:8" ht="18" customHeight="1" x14ac:dyDescent="0.3">
      <c r="A22" s="85" t="s">
        <v>15</v>
      </c>
      <c r="B22" s="75"/>
      <c r="C22" s="75"/>
      <c r="D22" s="75"/>
      <c r="E22" s="75"/>
      <c r="F22" s="75"/>
      <c r="G22" s="75"/>
      <c r="H22" s="73"/>
    </row>
    <row r="23" spans="1:8" ht="382.2" customHeight="1" x14ac:dyDescent="0.3">
      <c r="A23" s="82" t="s">
        <v>306</v>
      </c>
      <c r="B23" s="83"/>
      <c r="C23" s="83"/>
      <c r="D23" s="83"/>
      <c r="E23" s="83"/>
      <c r="F23" s="83"/>
      <c r="G23" s="83"/>
      <c r="H23" s="84"/>
    </row>
  </sheetData>
  <mergeCells count="27">
    <mergeCell ref="A23:H23"/>
    <mergeCell ref="A22:H22"/>
    <mergeCell ref="A17:H17"/>
    <mergeCell ref="E7:F7"/>
    <mergeCell ref="B5:C5"/>
    <mergeCell ref="C19:D19"/>
    <mergeCell ref="E18:F18"/>
    <mergeCell ref="C20:D20"/>
    <mergeCell ref="F20:G20"/>
    <mergeCell ref="B14:C14"/>
    <mergeCell ref="E13:F13"/>
    <mergeCell ref="B8:C8"/>
    <mergeCell ref="B13:C13"/>
    <mergeCell ref="E11:F11"/>
    <mergeCell ref="B10:C10"/>
    <mergeCell ref="F19:G19"/>
    <mergeCell ref="E14:F14"/>
    <mergeCell ref="A1:H1"/>
    <mergeCell ref="B18:C18"/>
    <mergeCell ref="E8:F8"/>
    <mergeCell ref="A2:H2"/>
    <mergeCell ref="E4:F4"/>
    <mergeCell ref="B11:C11"/>
    <mergeCell ref="E10:F10"/>
    <mergeCell ref="B4:C4"/>
    <mergeCell ref="B7:C7"/>
    <mergeCell ref="E5:F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F16"/>
  <sheetViews>
    <sheetView showGridLines="0" zoomScaleNormal="100" workbookViewId="0">
      <pane ySplit="2" topLeftCell="A3" activePane="bottomLeft" state="frozen"/>
      <selection pane="bottomLeft" activeCell="A15" sqref="A15"/>
    </sheetView>
  </sheetViews>
  <sheetFormatPr defaultColWidth="8.6640625" defaultRowHeight="14.4" x14ac:dyDescent="0.3"/>
  <cols>
    <col min="1" max="1" width="35" customWidth="1"/>
    <col min="2" max="2" width="18" customWidth="1"/>
    <col min="3" max="3" width="31.77734375" customWidth="1"/>
    <col min="4" max="6" width="14" customWidth="1"/>
  </cols>
  <sheetData>
    <row r="1" spans="1:6" ht="30" customHeight="1" x14ac:dyDescent="0.3">
      <c r="A1" s="88" t="s">
        <v>16</v>
      </c>
      <c r="B1" s="89"/>
      <c r="C1" s="89"/>
      <c r="D1" s="89"/>
      <c r="E1" s="89"/>
      <c r="F1" s="90"/>
    </row>
    <row r="2" spans="1:6" ht="18" customHeight="1" x14ac:dyDescent="0.3">
      <c r="A2" s="87" t="s">
        <v>17</v>
      </c>
      <c r="B2" s="79"/>
      <c r="C2" s="79"/>
      <c r="D2" s="79"/>
      <c r="E2" s="79"/>
      <c r="F2" s="79"/>
    </row>
    <row r="4" spans="1:6" ht="18" customHeight="1" x14ac:dyDescent="0.3">
      <c r="A4" s="85" t="s">
        <v>18</v>
      </c>
      <c r="B4" s="75"/>
      <c r="C4" s="75"/>
      <c r="D4" s="75"/>
      <c r="E4" s="75"/>
      <c r="F4" s="73"/>
    </row>
    <row r="5" spans="1:6" ht="15.75" customHeight="1" x14ac:dyDescent="0.3">
      <c r="A5" s="4" t="s">
        <v>19</v>
      </c>
      <c r="B5" s="5" t="s">
        <v>20</v>
      </c>
      <c r="D5" s="6" t="s">
        <v>20</v>
      </c>
      <c r="E5" s="6" t="s">
        <v>21</v>
      </c>
      <c r="F5" s="6" t="s">
        <v>22</v>
      </c>
    </row>
    <row r="6" spans="1:6" ht="7.5" customHeight="1" x14ac:dyDescent="0.3">
      <c r="A6" s="3"/>
      <c r="B6" s="3"/>
      <c r="C6" s="3"/>
      <c r="D6" s="3"/>
      <c r="E6" s="3"/>
      <c r="F6" s="3"/>
    </row>
    <row r="7" spans="1:6" ht="18" customHeight="1" x14ac:dyDescent="0.3">
      <c r="A7" s="91" t="s">
        <v>23</v>
      </c>
      <c r="B7" s="75"/>
      <c r="C7" s="75"/>
      <c r="D7" s="75"/>
      <c r="E7" s="75"/>
      <c r="F7" s="73"/>
    </row>
    <row r="8" spans="1:6" ht="19.5" customHeight="1" x14ac:dyDescent="0.3">
      <c r="A8" s="2" t="s">
        <v>24</v>
      </c>
      <c r="B8" s="2" t="s">
        <v>25</v>
      </c>
      <c r="C8" s="2" t="s">
        <v>26</v>
      </c>
      <c r="D8" s="2" t="s">
        <v>20</v>
      </c>
      <c r="E8" s="2" t="s">
        <v>21</v>
      </c>
      <c r="F8" s="2" t="s">
        <v>22</v>
      </c>
    </row>
    <row r="9" spans="1:6" ht="18" customHeight="1" x14ac:dyDescent="0.3">
      <c r="A9" s="7" t="s">
        <v>27</v>
      </c>
      <c r="B9" s="5">
        <v>100000000</v>
      </c>
      <c r="C9" s="8" t="s">
        <v>28</v>
      </c>
      <c r="D9" s="9">
        <v>100000000</v>
      </c>
      <c r="E9" s="9">
        <v>120000000</v>
      </c>
      <c r="F9" s="9">
        <v>80000000</v>
      </c>
    </row>
    <row r="10" spans="1:6" ht="18" customHeight="1" x14ac:dyDescent="0.3">
      <c r="A10" s="7" t="s">
        <v>29</v>
      </c>
      <c r="B10" s="10">
        <v>50000</v>
      </c>
      <c r="C10" s="8" t="s">
        <v>30</v>
      </c>
      <c r="D10" s="11">
        <v>50000</v>
      </c>
      <c r="E10" s="11">
        <v>60000</v>
      </c>
      <c r="F10" s="11">
        <v>40000</v>
      </c>
    </row>
    <row r="11" spans="1:6" ht="18" customHeight="1" x14ac:dyDescent="0.3">
      <c r="A11" s="7" t="s">
        <v>31</v>
      </c>
      <c r="B11" s="12">
        <v>0.01</v>
      </c>
      <c r="C11" s="8" t="s">
        <v>32</v>
      </c>
      <c r="D11" s="13">
        <v>0.01</v>
      </c>
      <c r="E11" s="13">
        <v>5.0000000000000001E-3</v>
      </c>
      <c r="F11" s="13">
        <v>0.02</v>
      </c>
    </row>
    <row r="12" spans="1:6" ht="18" customHeight="1" x14ac:dyDescent="0.3">
      <c r="A12" s="7" t="s">
        <v>33</v>
      </c>
      <c r="B12" s="5">
        <v>120000</v>
      </c>
      <c r="C12" s="8" t="s">
        <v>34</v>
      </c>
      <c r="D12" s="9">
        <v>120000</v>
      </c>
      <c r="E12" s="9">
        <v>100000</v>
      </c>
      <c r="F12" s="9">
        <v>150000</v>
      </c>
    </row>
    <row r="13" spans="1:6" ht="18" customHeight="1" x14ac:dyDescent="0.3">
      <c r="A13" s="7" t="s">
        <v>35</v>
      </c>
      <c r="B13" s="14">
        <v>0.3</v>
      </c>
      <c r="C13" s="8" t="s">
        <v>36</v>
      </c>
      <c r="D13" s="15">
        <v>0.3</v>
      </c>
      <c r="E13" s="15">
        <v>0.28000000000000003</v>
      </c>
      <c r="F13" s="15">
        <v>0.33</v>
      </c>
    </row>
    <row r="14" spans="1:6" ht="18" customHeight="1" x14ac:dyDescent="0.3">
      <c r="A14" s="70" t="s">
        <v>309</v>
      </c>
      <c r="B14" s="5">
        <v>500000</v>
      </c>
      <c r="C14" s="8" t="s">
        <v>37</v>
      </c>
      <c r="D14" s="9">
        <v>500000</v>
      </c>
      <c r="E14" s="9">
        <v>500000</v>
      </c>
      <c r="F14" s="9">
        <v>500000</v>
      </c>
    </row>
    <row r="15" spans="1:6" ht="18" customHeight="1" x14ac:dyDescent="0.3">
      <c r="A15" s="7" t="s">
        <v>307</v>
      </c>
      <c r="B15" s="5">
        <v>4500000</v>
      </c>
      <c r="C15" s="8" t="s">
        <v>308</v>
      </c>
      <c r="D15" s="9">
        <v>4500000</v>
      </c>
      <c r="E15" s="9">
        <v>4500000</v>
      </c>
      <c r="F15" s="9">
        <v>4500000</v>
      </c>
    </row>
    <row r="16" spans="1:6" x14ac:dyDescent="0.3">
      <c r="A16" s="7" t="s">
        <v>38</v>
      </c>
      <c r="B16" s="14">
        <v>0.08</v>
      </c>
      <c r="C16" s="8" t="s">
        <v>39</v>
      </c>
      <c r="D16" s="15">
        <v>0.08</v>
      </c>
      <c r="E16" s="15">
        <v>7.0000000000000007E-2</v>
      </c>
      <c r="F16" s="15">
        <v>0.1</v>
      </c>
    </row>
  </sheetData>
  <mergeCells count="4">
    <mergeCell ref="A2:F2"/>
    <mergeCell ref="A1:F1"/>
    <mergeCell ref="A7:F7"/>
    <mergeCell ref="A4:F4"/>
  </mergeCells>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5090"/>
  </sheetPr>
  <dimension ref="A1:C31"/>
  <sheetViews>
    <sheetView showGridLines="0" zoomScaleNormal="100" workbookViewId="0">
      <pane ySplit="2" topLeftCell="A18" activePane="bottomLeft" state="frozen"/>
      <selection pane="bottomLeft" activeCell="C31" sqref="C31"/>
    </sheetView>
  </sheetViews>
  <sheetFormatPr defaultColWidth="8.6640625" defaultRowHeight="14.4" x14ac:dyDescent="0.3"/>
  <cols>
    <col min="1" max="1" width="38" customWidth="1"/>
    <col min="2" max="2" width="20" customWidth="1"/>
    <col min="3" max="3" width="22" customWidth="1"/>
  </cols>
  <sheetData>
    <row r="1" spans="1:3" ht="30" customHeight="1" x14ac:dyDescent="0.3">
      <c r="A1" s="88" t="s">
        <v>40</v>
      </c>
      <c r="B1" s="89"/>
      <c r="C1" s="90"/>
    </row>
    <row r="2" spans="1:3" ht="15.75" customHeight="1" x14ac:dyDescent="0.3">
      <c r="A2" s="87" t="s">
        <v>41</v>
      </c>
      <c r="B2" s="79"/>
      <c r="C2" s="79"/>
    </row>
    <row r="4" spans="1:3" ht="15" customHeight="1" x14ac:dyDescent="0.3">
      <c r="A4" s="85" t="s">
        <v>42</v>
      </c>
      <c r="B4" s="75"/>
      <c r="C4" s="73"/>
    </row>
    <row r="5" spans="1:3" ht="19.5" customHeight="1" x14ac:dyDescent="0.3">
      <c r="A5" s="2" t="s">
        <v>43</v>
      </c>
      <c r="B5" s="2" t="s">
        <v>44</v>
      </c>
      <c r="C5" s="2" t="s">
        <v>45</v>
      </c>
    </row>
    <row r="6" spans="1:3" ht="18" customHeight="1" x14ac:dyDescent="0.3">
      <c r="A6" s="4" t="s">
        <v>46</v>
      </c>
      <c r="B6" s="16">
        <f>Inputs!B9</f>
        <v>100000000</v>
      </c>
      <c r="C6" s="17">
        <f>B6/B6</f>
        <v>1</v>
      </c>
    </row>
    <row r="7" spans="1:3" ht="18" customHeight="1" x14ac:dyDescent="0.3">
      <c r="A7" s="7" t="s">
        <v>47</v>
      </c>
      <c r="B7" s="18">
        <f>Inputs!B10*Inputs!B11</f>
        <v>500</v>
      </c>
    </row>
    <row r="8" spans="1:3" ht="18" customHeight="1" x14ac:dyDescent="0.3">
      <c r="A8" s="7" t="s">
        <v>48</v>
      </c>
      <c r="B8" s="18">
        <f>B7*Inputs!B12</f>
        <v>60000000</v>
      </c>
      <c r="C8" s="19">
        <f>B8/B6</f>
        <v>0.6</v>
      </c>
    </row>
    <row r="9" spans="1:3" ht="18" customHeight="1" x14ac:dyDescent="0.3">
      <c r="A9" s="7" t="s">
        <v>49</v>
      </c>
      <c r="B9" s="18">
        <f>Inputs!B9*Inputs!B13</f>
        <v>30000000</v>
      </c>
      <c r="C9" s="19">
        <f>B9/B6</f>
        <v>0.3</v>
      </c>
    </row>
    <row r="10" spans="1:3" ht="18" customHeight="1" x14ac:dyDescent="0.3">
      <c r="A10" s="7" t="s">
        <v>50</v>
      </c>
      <c r="B10" s="18">
        <f>Inputs!B9*Inputs!B16</f>
        <v>8000000</v>
      </c>
      <c r="C10" s="19">
        <f>B10/B6</f>
        <v>0.08</v>
      </c>
    </row>
    <row r="11" spans="1:3" ht="18" customHeight="1" x14ac:dyDescent="0.3">
      <c r="A11" s="4" t="s">
        <v>51</v>
      </c>
      <c r="B11" s="16">
        <f>B6-(B8+B9+B10)</f>
        <v>2000000</v>
      </c>
      <c r="C11" s="17">
        <f>B11/B6</f>
        <v>0.02</v>
      </c>
    </row>
    <row r="12" spans="1:3" ht="9.75" customHeight="1" x14ac:dyDescent="0.3"/>
    <row r="13" spans="1:3" ht="15" customHeight="1" x14ac:dyDescent="0.3">
      <c r="A13" s="85" t="s">
        <v>52</v>
      </c>
      <c r="B13" s="75"/>
      <c r="C13" s="73"/>
    </row>
    <row r="14" spans="1:3" ht="19.5" customHeight="1" x14ac:dyDescent="0.3">
      <c r="A14" s="2" t="s">
        <v>53</v>
      </c>
      <c r="B14" s="2" t="s">
        <v>25</v>
      </c>
      <c r="C14" s="2" t="s">
        <v>54</v>
      </c>
    </row>
    <row r="15" spans="1:3" ht="18" customHeight="1" x14ac:dyDescent="0.3">
      <c r="A15" s="7" t="s">
        <v>55</v>
      </c>
      <c r="B15" s="19">
        <f>B8/B6</f>
        <v>0.6</v>
      </c>
      <c r="C15" s="20" t="s">
        <v>56</v>
      </c>
    </row>
    <row r="16" spans="1:3" ht="18" customHeight="1" x14ac:dyDescent="0.3">
      <c r="A16" s="7" t="s">
        <v>35</v>
      </c>
      <c r="B16" s="19">
        <f>B9/B6</f>
        <v>0.3</v>
      </c>
      <c r="C16" s="20" t="s">
        <v>57</v>
      </c>
    </row>
    <row r="17" spans="1:3" ht="18" customHeight="1" x14ac:dyDescent="0.3">
      <c r="A17" s="7" t="s">
        <v>58</v>
      </c>
      <c r="B17" s="19">
        <f>B10/B6</f>
        <v>0.08</v>
      </c>
      <c r="C17" s="20" t="s">
        <v>59</v>
      </c>
    </row>
    <row r="18" spans="1:3" ht="18" customHeight="1" x14ac:dyDescent="0.3">
      <c r="A18" s="4" t="s">
        <v>12</v>
      </c>
      <c r="B18" s="17">
        <f>(B8+B9+B10)/B6</f>
        <v>0.98</v>
      </c>
      <c r="C18" s="20" t="s">
        <v>60</v>
      </c>
    </row>
    <row r="19" spans="1:3" ht="9.75" customHeight="1" x14ac:dyDescent="0.3"/>
    <row r="20" spans="1:3" ht="15" customHeight="1" x14ac:dyDescent="0.3">
      <c r="A20" s="85" t="s">
        <v>61</v>
      </c>
      <c r="B20" s="75"/>
      <c r="C20" s="73"/>
    </row>
    <row r="21" spans="1:3" ht="19.5" customHeight="1" x14ac:dyDescent="0.3">
      <c r="A21" s="2" t="s">
        <v>62</v>
      </c>
      <c r="B21" s="2" t="s">
        <v>63</v>
      </c>
      <c r="C21" s="2" t="s">
        <v>64</v>
      </c>
    </row>
    <row r="22" spans="1:3" ht="18" customHeight="1" x14ac:dyDescent="0.3">
      <c r="A22" s="7" t="s">
        <v>65</v>
      </c>
      <c r="B22" s="18">
        <f>Inputs!B12</f>
        <v>120000</v>
      </c>
      <c r="C22" s="21">
        <f>B7*Inputs!B12</f>
        <v>60000000</v>
      </c>
    </row>
    <row r="23" spans="1:3" ht="18" customHeight="1" x14ac:dyDescent="0.3">
      <c r="A23" s="7" t="s">
        <v>66</v>
      </c>
      <c r="B23" s="18">
        <f>MIN(Inputs!B12,Inputs!B14)</f>
        <v>120000</v>
      </c>
      <c r="C23" s="21">
        <f>B7*B23</f>
        <v>60000000</v>
      </c>
    </row>
    <row r="24" spans="1:3" ht="18" customHeight="1" x14ac:dyDescent="0.3">
      <c r="A24" s="7" t="s">
        <v>67</v>
      </c>
      <c r="B24" s="18">
        <f>MAX(0, MIN(Inputs!B12-Inputs!B14, Inputs!B15))</f>
        <v>0</v>
      </c>
      <c r="C24" s="21">
        <f>B7*B24</f>
        <v>0</v>
      </c>
    </row>
    <row r="25" spans="1:3" ht="18" customHeight="1" x14ac:dyDescent="0.3">
      <c r="A25" s="4" t="s">
        <v>68</v>
      </c>
      <c r="C25" s="22">
        <f>C24</f>
        <v>0</v>
      </c>
    </row>
    <row r="26" spans="1:3" ht="18" customHeight="1" x14ac:dyDescent="0.3">
      <c r="A26" s="4" t="s">
        <v>69</v>
      </c>
      <c r="C26" s="17">
        <f>IF(C22=0,0,C24/C22)</f>
        <v>0</v>
      </c>
    </row>
    <row r="27" spans="1:3" ht="15" customHeight="1" x14ac:dyDescent="0.3">
      <c r="A27" t="str">
        <f>IF(Inputs!B12&lt;=Inputs!B14,"⚠ NOTE: Avg severity (" &amp; TEXT(Inputs!B12,"₹#,##0") &amp; ") &lt; Retention (" &amp; TEXT(Inputs!B14,"₹#,##0") &amp; ") — XL treaty provides no coverage at current severity.","✓ RI treaty triggered — reinsurer absorbs losses above retention.")</f>
        <v>⚠ NOTE: Avg severity (₹1,20,000) &lt; Retention (₹5,00,000) — XL treaty provides no coverage at current severity.</v>
      </c>
    </row>
    <row r="28" spans="1:3" ht="21.6" customHeight="1" x14ac:dyDescent="0.3">
      <c r="A28" s="85" t="s">
        <v>70</v>
      </c>
      <c r="B28" s="75"/>
      <c r="C28" s="73"/>
    </row>
    <row r="29" spans="1:3" ht="19.5" customHeight="1" x14ac:dyDescent="0.3">
      <c r="A29" s="2" t="s">
        <v>71</v>
      </c>
      <c r="B29" s="2" t="s">
        <v>72</v>
      </c>
      <c r="C29" s="2" t="s">
        <v>73</v>
      </c>
    </row>
    <row r="30" spans="1:3" ht="18" customHeight="1" x14ac:dyDescent="0.3">
      <c r="A30" s="7" t="s">
        <v>74</v>
      </c>
      <c r="B30" s="21">
        <f>B8</f>
        <v>60000000</v>
      </c>
      <c r="C30" s="23">
        <f>B8*1.5</f>
        <v>90000000</v>
      </c>
    </row>
    <row r="31" spans="1:3" ht="18" customHeight="1" x14ac:dyDescent="0.3">
      <c r="A31" s="7" t="s">
        <v>75</v>
      </c>
      <c r="B31" s="22">
        <f>B11</f>
        <v>2000000</v>
      </c>
      <c r="C31" s="24">
        <f>B6-(C30+B9+B10)</f>
        <v>-28000000</v>
      </c>
    </row>
  </sheetData>
  <mergeCells count="6">
    <mergeCell ref="A28:C28"/>
    <mergeCell ref="A13:C13"/>
    <mergeCell ref="A1:C1"/>
    <mergeCell ref="A4:C4"/>
    <mergeCell ref="A20:C20"/>
    <mergeCell ref="A2:C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33C00"/>
  </sheetPr>
  <dimension ref="A1:H32"/>
  <sheetViews>
    <sheetView showGridLines="0" zoomScaleNormal="100" workbookViewId="0">
      <pane ySplit="2" topLeftCell="A15" activePane="bottomLeft" state="frozen"/>
      <selection pane="bottomLeft" activeCell="D29" sqref="D29"/>
    </sheetView>
  </sheetViews>
  <sheetFormatPr defaultColWidth="8.6640625" defaultRowHeight="14.4" x14ac:dyDescent="0.3"/>
  <cols>
    <col min="1" max="1" width="3" customWidth="1"/>
    <col min="2" max="2" width="32" customWidth="1"/>
    <col min="3" max="7" width="14" customWidth="1"/>
  </cols>
  <sheetData>
    <row r="1" spans="1:8" ht="30" customHeight="1" x14ac:dyDescent="0.3">
      <c r="A1" s="93" t="s">
        <v>76</v>
      </c>
      <c r="B1" s="75"/>
      <c r="C1" s="75"/>
      <c r="D1" s="75"/>
      <c r="E1" s="75"/>
      <c r="F1" s="75"/>
      <c r="G1" s="73"/>
    </row>
    <row r="2" spans="1:8" ht="15.75" customHeight="1" x14ac:dyDescent="0.3">
      <c r="A2" s="87" t="s">
        <v>77</v>
      </c>
      <c r="B2" s="79"/>
      <c r="C2" s="79"/>
      <c r="D2" s="79"/>
      <c r="E2" s="79"/>
      <c r="F2" s="79"/>
      <c r="G2" s="79"/>
    </row>
    <row r="4" spans="1:8" ht="18" customHeight="1" x14ac:dyDescent="0.3">
      <c r="A4" s="85" t="s">
        <v>78</v>
      </c>
      <c r="B4" s="75"/>
      <c r="C4" s="75"/>
      <c r="D4" s="75"/>
      <c r="E4" s="75"/>
      <c r="F4" s="75"/>
      <c r="G4" s="73"/>
    </row>
    <row r="5" spans="1:8" ht="19.5" customHeight="1" x14ac:dyDescent="0.3">
      <c r="B5" s="2" t="s">
        <v>71</v>
      </c>
      <c r="C5" s="2" t="s">
        <v>79</v>
      </c>
      <c r="D5" s="2" t="s">
        <v>80</v>
      </c>
      <c r="E5" s="2" t="s">
        <v>81</v>
      </c>
      <c r="F5" s="2" t="s">
        <v>82</v>
      </c>
      <c r="G5" s="2" t="s">
        <v>83</v>
      </c>
    </row>
    <row r="6" spans="1:8" ht="18" customHeight="1" x14ac:dyDescent="0.3">
      <c r="B6" s="7" t="s">
        <v>84</v>
      </c>
      <c r="C6" s="25">
        <f>Inputs!$B$11*(1+-0.3)</f>
        <v>6.9999999999999993E-3</v>
      </c>
      <c r="D6" s="25">
        <f>Inputs!$B$11*(1+-0.1)</f>
        <v>9.0000000000000011E-3</v>
      </c>
      <c r="E6" s="26">
        <f>Inputs!$B$11*(1+0)</f>
        <v>0.01</v>
      </c>
      <c r="F6" s="27">
        <f>Inputs!$B$11*(1+0.1)</f>
        <v>1.1000000000000001E-2</v>
      </c>
      <c r="G6" s="27">
        <f>Inputs!$B$11*(1+0.3)</f>
        <v>1.3000000000000001E-2</v>
      </c>
    </row>
    <row r="7" spans="1:8" ht="18" customHeight="1" x14ac:dyDescent="0.3">
      <c r="B7" s="7" t="s">
        <v>48</v>
      </c>
      <c r="C7" s="28">
        <f>Inputs!$B$10*Inputs!$B$11*(1+-0.3)*Inputs!$B$12</f>
        <v>42000000</v>
      </c>
      <c r="D7" s="28">
        <f>Inputs!$B$10*Inputs!$B$11*(1+-0.1)*Inputs!$B$12</f>
        <v>54000000</v>
      </c>
      <c r="E7" s="29">
        <f>Inputs!$B$10*Inputs!$B$11*(1+0)*Inputs!$B$12</f>
        <v>60000000</v>
      </c>
      <c r="F7" s="23">
        <f>Inputs!$B$10*Inputs!$B$11*(1+0.1)*Inputs!$B$12</f>
        <v>66000000</v>
      </c>
      <c r="G7" s="23">
        <f>Inputs!$B$10*Inputs!$B$11*(1+0.3)*Inputs!$B$12</f>
        <v>78000000</v>
      </c>
    </row>
    <row r="8" spans="1:8" ht="18" customHeight="1" x14ac:dyDescent="0.3">
      <c r="B8" s="7" t="s">
        <v>55</v>
      </c>
      <c r="C8" s="30">
        <f>(Inputs!$B$10*Inputs!$B$11*(1+-0.3)*Inputs!$B$12)/Inputs!$B$9</f>
        <v>0.42</v>
      </c>
      <c r="D8" s="30">
        <f>(Inputs!$B$10*Inputs!$B$11*(1+-0.1)*Inputs!$B$12)/Inputs!$B$9</f>
        <v>0.54</v>
      </c>
      <c r="E8" s="31">
        <f>(Inputs!$B$10*Inputs!$B$11*(1+0)*Inputs!$B$12)/Inputs!$B$9</f>
        <v>0.6</v>
      </c>
      <c r="F8" s="32">
        <f>(Inputs!$B$10*Inputs!$B$11*(1+0.1)*Inputs!$B$12)/Inputs!$B$9</f>
        <v>0.66</v>
      </c>
      <c r="G8" s="32">
        <f>(Inputs!$B$10*Inputs!$B$11*(1+0.3)*Inputs!$B$12)/Inputs!$B$9</f>
        <v>0.78</v>
      </c>
    </row>
    <row r="9" spans="1:8" ht="18" customHeight="1" x14ac:dyDescent="0.3">
      <c r="B9" s="4" t="s">
        <v>12</v>
      </c>
      <c r="C9" s="33">
        <f>(Inputs!$B$10*Inputs!$B$11*(1+-0.3)*Inputs!$B$12+Inputs!$B$9*Inputs!$B$13+Inputs!$B$9*Inputs!$B$16)/Inputs!$B$9</f>
        <v>0.8</v>
      </c>
      <c r="D9" s="33">
        <f>(Inputs!$B$10*Inputs!$B$11*(1+-0.1)*Inputs!$B$12+Inputs!$B$9*Inputs!$B$13+Inputs!$B$9*Inputs!$B$16)/Inputs!$B$9</f>
        <v>0.92</v>
      </c>
      <c r="E9" s="17">
        <f>(Inputs!$B$10*Inputs!$B$11*(1+0)*Inputs!$B$12+Inputs!$B$9*Inputs!$B$13+Inputs!$B$9*Inputs!$B$16)/Inputs!$B$9</f>
        <v>0.98</v>
      </c>
      <c r="F9" s="34">
        <f>(Inputs!$B$10*Inputs!$B$11*(1+0.1)*Inputs!$B$12+Inputs!$B$9*Inputs!$B$13+Inputs!$B$9*Inputs!$B$16)/Inputs!$B$9</f>
        <v>1.04</v>
      </c>
      <c r="G9" s="34">
        <f>(Inputs!$B$10*Inputs!$B$11*(1+0.3)*Inputs!$B$12+Inputs!$B$9*Inputs!$B$13+Inputs!$B$9*Inputs!$B$16)/Inputs!$B$9</f>
        <v>1.1599999999999999</v>
      </c>
    </row>
    <row r="10" spans="1:8" ht="18" customHeight="1" x14ac:dyDescent="0.3">
      <c r="B10" s="4" t="s">
        <v>85</v>
      </c>
      <c r="C10" s="35">
        <f>Inputs!$B$9-(Inputs!$B$10*Inputs!$B$11*(1+-0.3)*Inputs!$B$12+Inputs!$B$9*Inputs!$B$13+Inputs!$B$9*Inputs!$B$16)</f>
        <v>20000000</v>
      </c>
      <c r="D10" s="35">
        <f>Inputs!$B$9-(Inputs!$B$10*Inputs!$B$11*(1+-0.1)*Inputs!$B$12+Inputs!$B$9*Inputs!$B$13+Inputs!$B$9*Inputs!$B$16)</f>
        <v>8000000</v>
      </c>
      <c r="E10" s="22">
        <f>Inputs!$B$9-(Inputs!$B$10*Inputs!$B$11*(1+0)*Inputs!$B$12+Inputs!$B$9*Inputs!$B$13+Inputs!$B$9*Inputs!$B$16)</f>
        <v>2000000</v>
      </c>
      <c r="F10" s="24">
        <f>Inputs!$B$9-(Inputs!$B$10*Inputs!$B$11*(1+0.1)*Inputs!$B$12+Inputs!$B$9*Inputs!$B$13+Inputs!$B$9*Inputs!$B$16)</f>
        <v>-4000000</v>
      </c>
      <c r="G10" s="24">
        <f>Inputs!$B$9-(Inputs!$B$10*Inputs!$B$11*(1+0.3)*Inputs!$B$12+Inputs!$B$9*Inputs!$B$13+Inputs!$B$9*Inputs!$B$16)</f>
        <v>-16000000</v>
      </c>
    </row>
    <row r="11" spans="1:8" ht="7.5" customHeight="1" x14ac:dyDescent="0.3">
      <c r="A11" s="3"/>
      <c r="B11" s="3"/>
      <c r="C11" s="3"/>
      <c r="D11" s="3"/>
      <c r="E11" s="3"/>
      <c r="F11" s="3"/>
      <c r="G11" s="3"/>
      <c r="H11" s="3"/>
    </row>
    <row r="12" spans="1:8" ht="18" customHeight="1" x14ac:dyDescent="0.3">
      <c r="A12" s="85" t="s">
        <v>86</v>
      </c>
      <c r="B12" s="75"/>
      <c r="C12" s="75"/>
      <c r="D12" s="75"/>
      <c r="E12" s="75"/>
      <c r="F12" s="75"/>
      <c r="G12" s="73"/>
    </row>
    <row r="13" spans="1:8" ht="19.5" customHeight="1" x14ac:dyDescent="0.3">
      <c r="B13" s="2" t="s">
        <v>71</v>
      </c>
      <c r="C13" s="2" t="s">
        <v>87</v>
      </c>
      <c r="D13" s="2" t="s">
        <v>80</v>
      </c>
      <c r="E13" s="2" t="s">
        <v>81</v>
      </c>
      <c r="F13" s="2" t="s">
        <v>82</v>
      </c>
      <c r="G13" s="2" t="s">
        <v>88</v>
      </c>
    </row>
    <row r="14" spans="1:8" ht="18" customHeight="1" x14ac:dyDescent="0.3">
      <c r="B14" s="7" t="s">
        <v>89</v>
      </c>
      <c r="C14" s="28">
        <f>Inputs!$B$12*(1+-0.2)</f>
        <v>96000</v>
      </c>
      <c r="D14" s="28">
        <f>Inputs!$B$12*(1+-0.1)</f>
        <v>108000</v>
      </c>
      <c r="E14" s="29">
        <f>Inputs!$B$12*(1+0)</f>
        <v>120000</v>
      </c>
      <c r="F14" s="23">
        <f>Inputs!$B$12*(1+0.1)</f>
        <v>132000</v>
      </c>
      <c r="G14" s="23">
        <f>Inputs!$B$12*(1+0.2)</f>
        <v>144000</v>
      </c>
    </row>
    <row r="15" spans="1:8" ht="18" customHeight="1" x14ac:dyDescent="0.3">
      <c r="B15" s="7" t="s">
        <v>48</v>
      </c>
      <c r="C15" s="28">
        <f>Inputs!$B$10*Inputs!$B$11*Inputs!$B$12*(1+-0.2)</f>
        <v>48000000</v>
      </c>
      <c r="D15" s="28">
        <f>Inputs!$B$10*Inputs!$B$11*Inputs!$B$12*(1+-0.1)</f>
        <v>54000000</v>
      </c>
      <c r="E15" s="29">
        <f>Inputs!$B$10*Inputs!$B$11*Inputs!$B$12*(1+0)</f>
        <v>60000000</v>
      </c>
      <c r="F15" s="23">
        <f>Inputs!$B$10*Inputs!$B$11*Inputs!$B$12*(1+0.1)</f>
        <v>66000000.000000007</v>
      </c>
      <c r="G15" s="23">
        <f>Inputs!$B$10*Inputs!$B$11*Inputs!$B$12*(1+0.2)</f>
        <v>72000000</v>
      </c>
    </row>
    <row r="16" spans="1:8" ht="18" customHeight="1" x14ac:dyDescent="0.3">
      <c r="B16" s="7" t="s">
        <v>55</v>
      </c>
      <c r="C16" s="30">
        <f>(Inputs!$B$10*Inputs!$B$11*Inputs!$B$12*(1+-0.2))/Inputs!$B$9</f>
        <v>0.48</v>
      </c>
      <c r="D16" s="30">
        <f>(Inputs!$B$10*Inputs!$B$11*Inputs!$B$12*(1+-0.1))/Inputs!$B$9</f>
        <v>0.54</v>
      </c>
      <c r="E16" s="31">
        <f>(Inputs!$B$10*Inputs!$B$11*Inputs!$B$12*(1+0))/Inputs!$B$9</f>
        <v>0.6</v>
      </c>
      <c r="F16" s="32">
        <f>(Inputs!$B$10*Inputs!$B$11*Inputs!$B$12*(1+0.1))/Inputs!$B$9</f>
        <v>0.66</v>
      </c>
      <c r="G16" s="32">
        <f>(Inputs!$B$10*Inputs!$B$11*Inputs!$B$12*(1+0.2))/Inputs!$B$9</f>
        <v>0.72</v>
      </c>
    </row>
    <row r="17" spans="1:8" ht="18" customHeight="1" x14ac:dyDescent="0.3">
      <c r="B17" s="4" t="s">
        <v>12</v>
      </c>
      <c r="C17" s="33">
        <f>(Inputs!$B$10*Inputs!$B$11*Inputs!$B$12*(1+-0.2)+Inputs!$B$9*Inputs!$B$13+Inputs!$B$9*Inputs!$B$16)/Inputs!$B$9</f>
        <v>0.86</v>
      </c>
      <c r="D17" s="33">
        <f>(Inputs!$B$10*Inputs!$B$11*Inputs!$B$12*(1+-0.1)+Inputs!$B$9*Inputs!$B$13+Inputs!$B$9*Inputs!$B$16)/Inputs!$B$9</f>
        <v>0.92</v>
      </c>
      <c r="E17" s="17">
        <f>(Inputs!$B$10*Inputs!$B$11*Inputs!$B$12*(1+0)+Inputs!$B$9*Inputs!$B$13+Inputs!$B$9*Inputs!$B$16)/Inputs!$B$9</f>
        <v>0.98</v>
      </c>
      <c r="F17" s="34">
        <f>(Inputs!$B$10*Inputs!$B$11*Inputs!$B$12*(1+0.1)+Inputs!$B$9*Inputs!$B$13+Inputs!$B$9*Inputs!$B$16)/Inputs!$B$9</f>
        <v>1.04</v>
      </c>
      <c r="G17" s="34">
        <f>(Inputs!$B$10*Inputs!$B$11*Inputs!$B$12*(1+0.2)+Inputs!$B$9*Inputs!$B$13+Inputs!$B$9*Inputs!$B$16)/Inputs!$B$9</f>
        <v>1.1000000000000001</v>
      </c>
    </row>
    <row r="18" spans="1:8" ht="18" customHeight="1" x14ac:dyDescent="0.3">
      <c r="B18" s="4" t="s">
        <v>85</v>
      </c>
      <c r="C18" s="35">
        <f>Inputs!$B$9-(Inputs!$B$10*Inputs!$B$11*Inputs!$B$12*(1+-0.2)+Inputs!$B$9*Inputs!$B$13+Inputs!$B$9*Inputs!$B$16)</f>
        <v>14000000</v>
      </c>
      <c r="D18" s="35">
        <f>Inputs!$B$9-(Inputs!$B$10*Inputs!$B$11*Inputs!$B$12*(1+-0.1)+Inputs!$B$9*Inputs!$B$13+Inputs!$B$9*Inputs!$B$16)</f>
        <v>8000000</v>
      </c>
      <c r="E18" s="22">
        <f>Inputs!$B$9-(Inputs!$B$10*Inputs!$B$11*Inputs!$B$12*(1+0)+Inputs!$B$9*Inputs!$B$13+Inputs!$B$9*Inputs!$B$16)</f>
        <v>2000000</v>
      </c>
      <c r="F18" s="24">
        <f>Inputs!$B$9-(Inputs!$B$10*Inputs!$B$11*Inputs!$B$12*(1+0.1)+Inputs!$B$9*Inputs!$B$13+Inputs!$B$9*Inputs!$B$16)</f>
        <v>-4000000</v>
      </c>
      <c r="G18" s="24">
        <f>Inputs!$B$9-(Inputs!$B$10*Inputs!$B$11*Inputs!$B$12*(1+0.2)+Inputs!$B$9*Inputs!$B$13+Inputs!$B$9*Inputs!$B$16)</f>
        <v>-10000000</v>
      </c>
    </row>
    <row r="19" spans="1:8" ht="7.5" customHeight="1" x14ac:dyDescent="0.3">
      <c r="A19" s="3"/>
      <c r="B19" s="3"/>
      <c r="C19" s="3"/>
      <c r="D19" s="3"/>
      <c r="E19" s="3"/>
      <c r="F19" s="3"/>
      <c r="G19" s="3"/>
      <c r="H19" s="3"/>
    </row>
    <row r="20" spans="1:8" ht="18" customHeight="1" x14ac:dyDescent="0.3">
      <c r="A20" s="85" t="s">
        <v>90</v>
      </c>
      <c r="B20" s="75"/>
      <c r="C20" s="75"/>
      <c r="D20" s="75"/>
      <c r="E20" s="75"/>
      <c r="F20" s="75"/>
      <c r="G20" s="73"/>
    </row>
    <row r="21" spans="1:8" ht="19.5" customHeight="1" x14ac:dyDescent="0.3">
      <c r="B21" s="2" t="s">
        <v>71</v>
      </c>
      <c r="C21" s="2" t="s">
        <v>91</v>
      </c>
      <c r="D21" s="2" t="s">
        <v>92</v>
      </c>
      <c r="E21" s="2" t="s">
        <v>93</v>
      </c>
      <c r="F21" s="2" t="s">
        <v>94</v>
      </c>
      <c r="G21" s="2" t="s">
        <v>95</v>
      </c>
    </row>
    <row r="22" spans="1:8" ht="18" customHeight="1" x14ac:dyDescent="0.3">
      <c r="B22" s="7" t="s">
        <v>49</v>
      </c>
      <c r="C22" s="28">
        <f>Inputs!$B$9*0.2</f>
        <v>20000000</v>
      </c>
      <c r="D22" s="28">
        <f>Inputs!$B$9*0.25</f>
        <v>25000000</v>
      </c>
      <c r="E22" s="29">
        <f>Inputs!$B$9*0.3</f>
        <v>30000000</v>
      </c>
      <c r="F22" s="23">
        <f>Inputs!$B$9*0.35</f>
        <v>35000000</v>
      </c>
      <c r="G22" s="23">
        <f>Inputs!$B$9*0.4</f>
        <v>40000000</v>
      </c>
    </row>
    <row r="23" spans="1:8" ht="18" customHeight="1" x14ac:dyDescent="0.3">
      <c r="B23" s="4" t="s">
        <v>12</v>
      </c>
      <c r="C23" s="33">
        <f>(Calculations!$B$8+Inputs!$B$9*0.2+Inputs!$B$9*Inputs!$B$16)/Inputs!$B$9</f>
        <v>0.88</v>
      </c>
      <c r="D23" s="33">
        <f>(Calculations!$B$8+Inputs!$B$9*0.25+Inputs!$B$9*Inputs!$B$16)/Inputs!$B$9</f>
        <v>0.93</v>
      </c>
      <c r="E23" s="17">
        <f>(Calculations!$B$8+Inputs!$B$9*0.3+Inputs!$B$9*Inputs!$B$16)/Inputs!$B$9</f>
        <v>0.98</v>
      </c>
      <c r="F23" s="34">
        <f>(Calculations!$B$8+Inputs!$B$9*0.35+Inputs!$B$9*Inputs!$B$16)/Inputs!$B$9</f>
        <v>1.03</v>
      </c>
      <c r="G23" s="34">
        <f>(Calculations!$B$8+Inputs!$B$9*0.4+Inputs!$B$9*Inputs!$B$16)/Inputs!$B$9</f>
        <v>1.08</v>
      </c>
    </row>
    <row r="24" spans="1:8" ht="18" customHeight="1" x14ac:dyDescent="0.3">
      <c r="B24" s="4" t="s">
        <v>85</v>
      </c>
      <c r="C24" s="35">
        <f>Inputs!$B$9-(Calculations!$B$8+Inputs!$B$9*0.2+Inputs!$B$9*Inputs!$B$16)</f>
        <v>12000000</v>
      </c>
      <c r="D24" s="35">
        <f>Inputs!$B$9-(Calculations!$B$8+Inputs!$B$9*0.25+Inputs!$B$9*Inputs!$B$16)</f>
        <v>7000000</v>
      </c>
      <c r="E24" s="22">
        <f>Inputs!$B$9-(Calculations!$B$8+Inputs!$B$9*0.3+Inputs!$B$9*Inputs!$B$16)</f>
        <v>2000000</v>
      </c>
      <c r="F24" s="24">
        <f>Inputs!$B$9-(Calculations!$B$8+Inputs!$B$9*0.35+Inputs!$B$9*Inputs!$B$16)</f>
        <v>-3000000</v>
      </c>
      <c r="G24" s="24">
        <f>Inputs!$B$9-(Calculations!$B$8+Inputs!$B$9*0.4+Inputs!$B$9*Inputs!$B$16)</f>
        <v>-8000000</v>
      </c>
    </row>
    <row r="25" spans="1:8" ht="7.5" customHeight="1" x14ac:dyDescent="0.3">
      <c r="A25" s="3"/>
      <c r="B25" s="3"/>
      <c r="C25" s="3"/>
      <c r="D25" s="3"/>
      <c r="E25" s="3"/>
      <c r="F25" s="3"/>
      <c r="G25" s="3"/>
      <c r="H25" s="3"/>
    </row>
    <row r="26" spans="1:8" ht="18" customHeight="1" x14ac:dyDescent="0.3">
      <c r="A26" s="85" t="s">
        <v>96</v>
      </c>
      <c r="B26" s="75"/>
      <c r="C26" s="75"/>
      <c r="D26" s="75"/>
      <c r="E26" s="75"/>
      <c r="F26" s="75"/>
      <c r="G26" s="73"/>
    </row>
    <row r="27" spans="1:8" ht="19.5" customHeight="1" x14ac:dyDescent="0.3">
      <c r="B27" s="2" t="s">
        <v>97</v>
      </c>
      <c r="C27" s="2" t="s">
        <v>98</v>
      </c>
      <c r="D27" s="2" t="s">
        <v>99</v>
      </c>
      <c r="E27" s="2" t="s">
        <v>100</v>
      </c>
      <c r="F27" s="2" t="s">
        <v>101</v>
      </c>
      <c r="G27" s="2" t="s">
        <v>102</v>
      </c>
    </row>
    <row r="28" spans="1:8" ht="18" customHeight="1" x14ac:dyDescent="0.3">
      <c r="B28" s="7" t="s">
        <v>103</v>
      </c>
      <c r="C28" s="36">
        <f>Inputs!B9-(Inputs!B10*Inputs!B11*0.7*Inputs!B12+Inputs!B9*Inputs!B13+Inputs!B9*Inputs!B16)</f>
        <v>20000000</v>
      </c>
      <c r="D28" s="22">
        <f>Calculations!B11</f>
        <v>2000000</v>
      </c>
      <c r="E28" s="28">
        <f>Inputs!B9-(Inputs!B10*Inputs!B11*1.3*Inputs!B12+Inputs!B9*Inputs!B13+Inputs!B9*Inputs!B16)</f>
        <v>-16000000</v>
      </c>
      <c r="F28" s="37">
        <f>ABS(C28-E28)</f>
        <v>36000000</v>
      </c>
      <c r="G28" s="38" t="s">
        <v>104</v>
      </c>
    </row>
    <row r="29" spans="1:8" ht="18" customHeight="1" x14ac:dyDescent="0.3">
      <c r="B29" s="7" t="s">
        <v>105</v>
      </c>
      <c r="C29" s="36">
        <f>Inputs!B9-(Inputs!B10*Inputs!B11*Inputs!B12*0.8+Inputs!B9*Inputs!B13+Inputs!B9*Inputs!B16)</f>
        <v>14000000</v>
      </c>
      <c r="D29" s="22">
        <f>Calculations!B11</f>
        <v>2000000</v>
      </c>
      <c r="E29" s="28">
        <f>Inputs!B9-(Inputs!B10*Inputs!B11*Inputs!B12*1.2+Inputs!B9*Inputs!B13+Inputs!B9*Inputs!B16)</f>
        <v>-10000000</v>
      </c>
      <c r="F29" s="37">
        <f>ABS(C29-E29)</f>
        <v>24000000</v>
      </c>
      <c r="G29" s="38" t="s">
        <v>106</v>
      </c>
    </row>
    <row r="30" spans="1:8" ht="18" customHeight="1" x14ac:dyDescent="0.3">
      <c r="B30" s="7" t="s">
        <v>107</v>
      </c>
      <c r="C30" s="36">
        <f>Inputs!B9-(Calculations!B8+Inputs!B9*0.2+Inputs!B9*Inputs!B16)</f>
        <v>12000000</v>
      </c>
      <c r="D30" s="22">
        <f>Calculations!B11</f>
        <v>2000000</v>
      </c>
      <c r="E30" s="28">
        <f>Inputs!B9-(Calculations!B8+Inputs!B9*0.4+Inputs!B9*Inputs!B16)</f>
        <v>-8000000</v>
      </c>
      <c r="F30" s="37">
        <f>ABS(C30-E30)</f>
        <v>20000000</v>
      </c>
      <c r="G30" s="38" t="s">
        <v>108</v>
      </c>
    </row>
    <row r="31" spans="1:8" ht="18" customHeight="1" x14ac:dyDescent="0.3">
      <c r="B31" s="7" t="s">
        <v>109</v>
      </c>
      <c r="C31" s="36">
        <f>Inputs!B9-(Calculations!B8+Inputs!B9*Inputs!B13+Inputs!B9*0.05)</f>
        <v>5000000</v>
      </c>
      <c r="D31" s="22">
        <f>Calculations!B11</f>
        <v>2000000</v>
      </c>
      <c r="E31" s="28">
        <f>Inputs!B9-(Calculations!B8+Inputs!B9*Inputs!B13+Inputs!B9*0.11)</f>
        <v>-1000000</v>
      </c>
      <c r="F31" s="37">
        <f>ABS(C31-E31)</f>
        <v>6000000</v>
      </c>
      <c r="G31" s="38" t="s">
        <v>110</v>
      </c>
    </row>
    <row r="32" spans="1:8" ht="13.5" customHeight="1" x14ac:dyDescent="0.3">
      <c r="A32" s="92" t="s">
        <v>111</v>
      </c>
      <c r="B32" s="75"/>
      <c r="C32" s="75"/>
      <c r="D32" s="75"/>
      <c r="E32" s="75"/>
      <c r="F32" s="75"/>
      <c r="G32" s="73"/>
    </row>
  </sheetData>
  <mergeCells count="7">
    <mergeCell ref="A32:G32"/>
    <mergeCell ref="A1:G1"/>
    <mergeCell ref="A12:G12"/>
    <mergeCell ref="A4:G4"/>
    <mergeCell ref="A26:G26"/>
    <mergeCell ref="A20:G20"/>
    <mergeCell ref="A2:G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75623"/>
  </sheetPr>
  <dimension ref="A1:H28"/>
  <sheetViews>
    <sheetView showGridLines="0" zoomScaleNormal="100" workbookViewId="0">
      <pane ySplit="2" topLeftCell="A6" activePane="bottomLeft" state="frozen"/>
      <selection pane="bottomLeft" activeCell="C19" sqref="C19"/>
    </sheetView>
  </sheetViews>
  <sheetFormatPr defaultColWidth="8.6640625" defaultRowHeight="14.4" x14ac:dyDescent="0.3"/>
  <cols>
    <col min="1" max="1" width="3" customWidth="1"/>
    <col min="2" max="2" width="38" customWidth="1"/>
    <col min="3" max="5" width="20" customWidth="1"/>
  </cols>
  <sheetData>
    <row r="1" spans="1:8" ht="30" customHeight="1" x14ac:dyDescent="0.3">
      <c r="A1" s="93" t="s">
        <v>112</v>
      </c>
      <c r="B1" s="75"/>
      <c r="C1" s="75"/>
      <c r="D1" s="75"/>
      <c r="E1" s="73"/>
    </row>
    <row r="2" spans="1:8" ht="15.75" customHeight="1" x14ac:dyDescent="0.3">
      <c r="A2" s="87" t="s">
        <v>113</v>
      </c>
      <c r="B2" s="79"/>
      <c r="C2" s="79"/>
      <c r="D2" s="79"/>
      <c r="E2" s="79"/>
    </row>
    <row r="4" spans="1:8" ht="18" customHeight="1" x14ac:dyDescent="0.3">
      <c r="A4" s="85" t="s">
        <v>114</v>
      </c>
      <c r="B4" s="75"/>
      <c r="C4" s="75"/>
      <c r="D4" s="75"/>
      <c r="E4" s="73"/>
    </row>
    <row r="5" spans="1:8" ht="19.5" customHeight="1" x14ac:dyDescent="0.3">
      <c r="B5" s="2" t="s">
        <v>115</v>
      </c>
      <c r="C5" s="2" t="s">
        <v>25</v>
      </c>
      <c r="D5" s="76" t="s">
        <v>116</v>
      </c>
      <c r="E5" s="73"/>
    </row>
    <row r="6" spans="1:8" ht="18" customHeight="1" x14ac:dyDescent="0.3">
      <c r="B6" s="7" t="s">
        <v>117</v>
      </c>
      <c r="C6" s="14">
        <v>0.95</v>
      </c>
      <c r="D6" s="94" t="s">
        <v>118</v>
      </c>
      <c r="E6" s="73"/>
    </row>
    <row r="7" spans="1:8" ht="18" customHeight="1" x14ac:dyDescent="0.3">
      <c r="B7" s="7" t="s">
        <v>119</v>
      </c>
      <c r="C7" s="14">
        <v>0.05</v>
      </c>
      <c r="D7" s="94" t="s">
        <v>120</v>
      </c>
      <c r="E7" s="73"/>
    </row>
    <row r="8" spans="1:8" ht="18" customHeight="1" x14ac:dyDescent="0.3">
      <c r="B8" s="7" t="s">
        <v>121</v>
      </c>
      <c r="C8" s="14">
        <v>0.03</v>
      </c>
      <c r="D8" s="94" t="s">
        <v>122</v>
      </c>
      <c r="E8" s="73"/>
    </row>
    <row r="9" spans="1:8" ht="18" customHeight="1" x14ac:dyDescent="0.3">
      <c r="B9" s="7" t="s">
        <v>123</v>
      </c>
      <c r="C9" s="5">
        <v>20000000</v>
      </c>
      <c r="D9" s="94" t="s">
        <v>124</v>
      </c>
      <c r="E9" s="73"/>
    </row>
    <row r="10" spans="1:8" ht="18" customHeight="1" x14ac:dyDescent="0.3">
      <c r="B10" s="7" t="s">
        <v>125</v>
      </c>
      <c r="C10" s="14">
        <v>0.1</v>
      </c>
      <c r="D10" s="94" t="s">
        <v>126</v>
      </c>
      <c r="E10" s="73"/>
    </row>
    <row r="11" spans="1:8" ht="7.5" customHeight="1" x14ac:dyDescent="0.3">
      <c r="A11" s="3"/>
      <c r="B11" s="3"/>
      <c r="C11" s="3"/>
      <c r="D11" s="3"/>
      <c r="E11" s="3"/>
      <c r="F11" s="3"/>
      <c r="G11" s="3"/>
      <c r="H11" s="3"/>
    </row>
    <row r="12" spans="1:8" ht="18" customHeight="1" x14ac:dyDescent="0.3">
      <c r="A12" s="85" t="s">
        <v>127</v>
      </c>
      <c r="B12" s="75"/>
      <c r="C12" s="75"/>
      <c r="D12" s="75"/>
      <c r="E12" s="73"/>
    </row>
    <row r="13" spans="1:8" ht="19.5" customHeight="1" x14ac:dyDescent="0.3">
      <c r="B13" s="2" t="s">
        <v>128</v>
      </c>
      <c r="C13" s="2" t="s">
        <v>44</v>
      </c>
      <c r="D13" s="76" t="s">
        <v>129</v>
      </c>
      <c r="E13" s="73"/>
    </row>
    <row r="14" spans="1:8" ht="18" customHeight="1" x14ac:dyDescent="0.3">
      <c r="B14" s="7" t="s">
        <v>130</v>
      </c>
      <c r="C14" s="21">
        <f>Calculations!B8</f>
        <v>60000000</v>
      </c>
      <c r="D14" s="95">
        <f>C14/C19</f>
        <v>0.58939096267190572</v>
      </c>
      <c r="E14" s="73"/>
    </row>
    <row r="15" spans="1:8" ht="18" customHeight="1" x14ac:dyDescent="0.3">
      <c r="B15" s="7" t="s">
        <v>131</v>
      </c>
      <c r="C15" s="21">
        <f>Calculations!B9</f>
        <v>30000000</v>
      </c>
      <c r="D15" s="95">
        <f>C15/C19</f>
        <v>0.29469548133595286</v>
      </c>
      <c r="E15" s="73"/>
    </row>
    <row r="16" spans="1:8" ht="18" customHeight="1" x14ac:dyDescent="0.3">
      <c r="B16" s="7" t="s">
        <v>132</v>
      </c>
      <c r="C16" s="21">
        <f>Calculations!B10</f>
        <v>8000000</v>
      </c>
      <c r="D16" s="95">
        <f>C16/C19</f>
        <v>7.8585461689587424E-2</v>
      </c>
      <c r="E16" s="73"/>
    </row>
    <row r="17" spans="1:8" ht="18" customHeight="1" x14ac:dyDescent="0.3">
      <c r="B17" s="7" t="s">
        <v>133</v>
      </c>
      <c r="C17" s="21">
        <f>Calculations!B8*0.03</f>
        <v>1800000</v>
      </c>
      <c r="D17" s="95">
        <f>C17/C19</f>
        <v>1.768172888015717E-2</v>
      </c>
      <c r="E17" s="73"/>
    </row>
    <row r="18" spans="1:8" ht="18" customHeight="1" x14ac:dyDescent="0.3">
      <c r="B18" s="7" t="s">
        <v>134</v>
      </c>
      <c r="C18" s="21">
        <f>C9*C10</f>
        <v>2000000</v>
      </c>
      <c r="D18" s="95">
        <f>C18/C19</f>
        <v>1.9646365422396856E-2</v>
      </c>
      <c r="E18" s="73"/>
    </row>
    <row r="19" spans="1:8" ht="19.5" customHeight="1" x14ac:dyDescent="0.3">
      <c r="B19" s="40" t="s">
        <v>135</v>
      </c>
      <c r="C19" s="22">
        <f>SUM(C14:C18)</f>
        <v>101800000</v>
      </c>
    </row>
    <row r="20" spans="1:8" ht="7.5" customHeight="1" x14ac:dyDescent="0.3">
      <c r="A20" s="3"/>
      <c r="B20" s="3"/>
      <c r="C20" s="3"/>
      <c r="D20" s="3"/>
      <c r="E20" s="3"/>
      <c r="F20" s="3"/>
      <c r="G20" s="3"/>
      <c r="H20" s="3"/>
    </row>
    <row r="21" spans="1:8" ht="18" customHeight="1" x14ac:dyDescent="0.3">
      <c r="A21" s="85" t="s">
        <v>136</v>
      </c>
      <c r="B21" s="75"/>
      <c r="C21" s="75"/>
      <c r="D21" s="75"/>
      <c r="E21" s="73"/>
    </row>
    <row r="22" spans="1:8" ht="19.5" customHeight="1" x14ac:dyDescent="0.3">
      <c r="B22" s="2" t="s">
        <v>71</v>
      </c>
      <c r="C22" s="2" t="s">
        <v>25</v>
      </c>
      <c r="D22" s="2" t="s">
        <v>137</v>
      </c>
      <c r="E22" s="2" t="s">
        <v>138</v>
      </c>
    </row>
    <row r="23" spans="1:8" ht="18" customHeight="1" x14ac:dyDescent="0.3">
      <c r="B23" s="7" t="s">
        <v>139</v>
      </c>
      <c r="C23" s="21">
        <f>Inputs!B9</f>
        <v>100000000</v>
      </c>
      <c r="D23" s="41" t="s">
        <v>140</v>
      </c>
      <c r="E23" s="41" t="s">
        <v>141</v>
      </c>
    </row>
    <row r="24" spans="1:8" ht="18" customHeight="1" x14ac:dyDescent="0.3">
      <c r="B24" s="7" t="s">
        <v>142</v>
      </c>
      <c r="C24" s="21">
        <f>C19</f>
        <v>101800000</v>
      </c>
      <c r="D24" s="41" t="s">
        <v>140</v>
      </c>
      <c r="E24" s="41" t="s">
        <v>141</v>
      </c>
    </row>
    <row r="25" spans="1:8" ht="18" customHeight="1" x14ac:dyDescent="0.3">
      <c r="B25" s="4" t="s">
        <v>143</v>
      </c>
      <c r="C25" s="22">
        <f>Inputs!B9-C19</f>
        <v>-1800000</v>
      </c>
      <c r="D25" s="41" t="s">
        <v>144</v>
      </c>
      <c r="E25" s="41" t="s">
        <v>141</v>
      </c>
    </row>
    <row r="26" spans="1:8" ht="18" customHeight="1" x14ac:dyDescent="0.3">
      <c r="B26" s="4" t="s">
        <v>145</v>
      </c>
      <c r="C26" s="42">
        <f>Inputs!B9/C19</f>
        <v>0.98231827111984282</v>
      </c>
      <c r="D26" s="41" t="s">
        <v>146</v>
      </c>
      <c r="E26" s="43" t="str">
        <f>IF(C26&gt;=1,"✓ ADEQUATE","✗ UNDER-PRICED")</f>
        <v>✗ UNDER-PRICED</v>
      </c>
    </row>
    <row r="27" spans="1:8" ht="18" customHeight="1" x14ac:dyDescent="0.3">
      <c r="B27" s="7" t="s">
        <v>147</v>
      </c>
      <c r="C27" s="19">
        <f>Calculations!B18</f>
        <v>0.98</v>
      </c>
      <c r="D27" s="41" t="s">
        <v>148</v>
      </c>
      <c r="E27" s="43" t="str">
        <f>IF(C27&lt;=0.95,"✓ ON TARGET",IF(C27&lt;=1,"⚠ WATCH","✗ UNPROFITABLE"))</f>
        <v>⚠ WATCH</v>
      </c>
    </row>
    <row r="28" spans="1:8" ht="18" customHeight="1" x14ac:dyDescent="0.3">
      <c r="B28" s="4" t="s">
        <v>149</v>
      </c>
      <c r="C28" s="17">
        <f>1-Calculations!B18</f>
        <v>2.0000000000000018E-2</v>
      </c>
      <c r="D28" s="41" t="s">
        <v>150</v>
      </c>
      <c r="E28" s="41" t="s">
        <v>141</v>
      </c>
    </row>
  </sheetData>
  <mergeCells count="17">
    <mergeCell ref="A1:E1"/>
    <mergeCell ref="D18:E18"/>
    <mergeCell ref="D9:E9"/>
    <mergeCell ref="A4:E4"/>
    <mergeCell ref="D7:E7"/>
    <mergeCell ref="D10:E10"/>
    <mergeCell ref="A2:E2"/>
    <mergeCell ref="D15:E15"/>
    <mergeCell ref="D13:E13"/>
    <mergeCell ref="D5:E5"/>
    <mergeCell ref="D14:E14"/>
    <mergeCell ref="A21:E21"/>
    <mergeCell ref="D6:E6"/>
    <mergeCell ref="D8:E8"/>
    <mergeCell ref="D16:E16"/>
    <mergeCell ref="A12:E12"/>
    <mergeCell ref="D17:E1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55A11"/>
  </sheetPr>
  <dimension ref="A1:H23"/>
  <sheetViews>
    <sheetView showGridLines="0" zoomScaleNormal="100" workbookViewId="0">
      <pane ySplit="2" topLeftCell="A9" activePane="bottomLeft" state="frozen"/>
      <selection pane="bottomLeft" activeCell="C20" sqref="C20"/>
    </sheetView>
  </sheetViews>
  <sheetFormatPr defaultColWidth="8.6640625" defaultRowHeight="14.4" x14ac:dyDescent="0.3"/>
  <cols>
    <col min="1" max="1" width="3" customWidth="1"/>
    <col min="2" max="2" width="40" customWidth="1"/>
    <col min="3" max="3" width="20" customWidth="1"/>
    <col min="4" max="4" width="24" customWidth="1"/>
    <col min="5" max="5" width="29.6640625" bestFit="1" customWidth="1"/>
  </cols>
  <sheetData>
    <row r="1" spans="1:8" ht="30" customHeight="1" x14ac:dyDescent="0.3">
      <c r="A1" s="96" t="s">
        <v>310</v>
      </c>
      <c r="B1" s="75"/>
      <c r="C1" s="75"/>
      <c r="D1" s="75"/>
      <c r="E1" s="73"/>
    </row>
    <row r="2" spans="1:8" ht="15.75" customHeight="1" x14ac:dyDescent="0.3">
      <c r="A2" s="97" t="s">
        <v>292</v>
      </c>
      <c r="B2" s="98"/>
      <c r="C2" s="98"/>
      <c r="D2" s="98"/>
      <c r="E2" s="98"/>
    </row>
    <row r="4" spans="1:8" ht="18" customHeight="1" x14ac:dyDescent="0.3">
      <c r="A4" s="85" t="s">
        <v>151</v>
      </c>
      <c r="B4" s="75"/>
      <c r="C4" s="75"/>
      <c r="D4" s="75"/>
      <c r="E4" s="73"/>
    </row>
    <row r="5" spans="1:8" ht="19.5" customHeight="1" x14ac:dyDescent="0.3">
      <c r="B5" s="2" t="s">
        <v>115</v>
      </c>
      <c r="C5" s="2" t="s">
        <v>25</v>
      </c>
      <c r="D5" s="99" t="s">
        <v>116</v>
      </c>
      <c r="E5" s="75"/>
    </row>
    <row r="6" spans="1:8" ht="18" customHeight="1" x14ac:dyDescent="0.3">
      <c r="B6" s="7" t="s">
        <v>123</v>
      </c>
      <c r="C6" s="5">
        <v>20000000</v>
      </c>
      <c r="D6" s="94" t="s">
        <v>152</v>
      </c>
      <c r="E6" s="73"/>
    </row>
    <row r="7" spans="1:8" ht="18" customHeight="1" x14ac:dyDescent="0.3">
      <c r="B7" s="7" t="s">
        <v>153</v>
      </c>
      <c r="C7" s="14">
        <v>0.2</v>
      </c>
      <c r="D7" s="94" t="s">
        <v>154</v>
      </c>
      <c r="E7" s="73"/>
    </row>
    <row r="8" spans="1:8" ht="7.5" customHeight="1" x14ac:dyDescent="0.3">
      <c r="A8" s="3"/>
      <c r="B8" s="3"/>
      <c r="C8" s="3"/>
      <c r="D8" s="3"/>
      <c r="E8" s="3"/>
      <c r="F8" s="3"/>
      <c r="G8" s="3"/>
      <c r="H8" s="3"/>
    </row>
    <row r="9" spans="1:8" ht="18" customHeight="1" x14ac:dyDescent="0.3">
      <c r="A9" s="85" t="s">
        <v>155</v>
      </c>
      <c r="B9" s="75"/>
      <c r="C9" s="75"/>
      <c r="D9" s="75"/>
      <c r="E9" s="73"/>
    </row>
    <row r="10" spans="1:8" ht="19.5" customHeight="1" x14ac:dyDescent="0.3">
      <c r="B10" s="2" t="s">
        <v>156</v>
      </c>
      <c r="C10" s="2" t="s">
        <v>44</v>
      </c>
      <c r="D10" s="2" t="s">
        <v>157</v>
      </c>
      <c r="E10" s="2" t="s">
        <v>158</v>
      </c>
    </row>
    <row r="11" spans="1:8" ht="18" customHeight="1" x14ac:dyDescent="0.3">
      <c r="B11" s="7" t="s">
        <v>159</v>
      </c>
      <c r="C11" s="21">
        <f>Calculations!B8</f>
        <v>60000000</v>
      </c>
      <c r="D11" s="8" t="s">
        <v>160</v>
      </c>
      <c r="E11" s="44" t="s">
        <v>161</v>
      </c>
    </row>
    <row r="12" spans="1:8" ht="18" customHeight="1" x14ac:dyDescent="0.3">
      <c r="B12" s="7" t="s">
        <v>162</v>
      </c>
      <c r="C12" s="21">
        <f ca="1">Simulation!G8</f>
        <v>64560000</v>
      </c>
      <c r="D12" s="8" t="s">
        <v>163</v>
      </c>
      <c r="E12" s="44" t="s">
        <v>164</v>
      </c>
    </row>
    <row r="13" spans="1:8" ht="18" customHeight="1" x14ac:dyDescent="0.3">
      <c r="B13" s="7" t="s">
        <v>293</v>
      </c>
      <c r="C13" s="21">
        <f ca="1">Simulation!G9</f>
        <v>66960000</v>
      </c>
      <c r="D13" s="8" t="s">
        <v>299</v>
      </c>
      <c r="E13" s="44" t="s">
        <v>295</v>
      </c>
    </row>
    <row r="14" spans="1:8" ht="18" customHeight="1" x14ac:dyDescent="0.3">
      <c r="B14" s="4" t="s">
        <v>165</v>
      </c>
      <c r="C14" s="22">
        <f ca="1">Simulation!G9-Calculations!B8</f>
        <v>6960000</v>
      </c>
      <c r="D14" s="8" t="s">
        <v>294</v>
      </c>
      <c r="E14" s="44" t="s">
        <v>166</v>
      </c>
    </row>
    <row r="15" spans="1:8" ht="18" customHeight="1" x14ac:dyDescent="0.3">
      <c r="B15" s="7" t="s">
        <v>167</v>
      </c>
      <c r="C15" s="21">
        <f ca="1">C14*C7</f>
        <v>1392000</v>
      </c>
      <c r="D15" s="8" t="s">
        <v>168</v>
      </c>
      <c r="E15" s="44" t="s">
        <v>169</v>
      </c>
    </row>
    <row r="16" spans="1:8" ht="18" customHeight="1" x14ac:dyDescent="0.3">
      <c r="B16" s="4" t="s">
        <v>170</v>
      </c>
      <c r="C16" s="22">
        <f ca="1">C14+C15</f>
        <v>8352000</v>
      </c>
      <c r="D16" s="8" t="s">
        <v>171</v>
      </c>
      <c r="E16" s="44" t="s">
        <v>172</v>
      </c>
    </row>
    <row r="17" spans="1:8" ht="7.5" customHeight="1" x14ac:dyDescent="0.3">
      <c r="A17" s="3"/>
      <c r="B17" s="3"/>
      <c r="C17" s="3"/>
      <c r="D17" s="3"/>
      <c r="E17" s="3"/>
      <c r="F17" s="3"/>
      <c r="G17" s="3"/>
      <c r="H17" s="3"/>
    </row>
    <row r="18" spans="1:8" ht="18" customHeight="1" x14ac:dyDescent="0.3">
      <c r="A18" s="85" t="s">
        <v>173</v>
      </c>
      <c r="B18" s="75"/>
      <c r="C18" s="75"/>
      <c r="D18" s="75"/>
      <c r="E18" s="73"/>
    </row>
    <row r="19" spans="1:8" ht="19.5" customHeight="1" x14ac:dyDescent="0.3">
      <c r="B19" s="2" t="s">
        <v>53</v>
      </c>
      <c r="C19" s="2" t="s">
        <v>25</v>
      </c>
      <c r="D19" s="2" t="s">
        <v>174</v>
      </c>
      <c r="E19" s="2" t="s">
        <v>138</v>
      </c>
    </row>
    <row r="20" spans="1:8" ht="18" customHeight="1" x14ac:dyDescent="0.3">
      <c r="B20" s="4" t="s">
        <v>175</v>
      </c>
      <c r="C20" s="42">
        <f ca="1">C6/C16</f>
        <v>2.3946360153256707</v>
      </c>
      <c r="D20" s="41" t="s">
        <v>146</v>
      </c>
      <c r="E20" s="43" t="str">
        <f ca="1">IF(C20&gt;=1,"✓ SOLVENT","✗ CAPITAL SHORTFALL")</f>
        <v>✓ SOLVENT</v>
      </c>
    </row>
    <row r="21" spans="1:8" ht="18" customHeight="1" x14ac:dyDescent="0.3">
      <c r="B21" s="4" t="s">
        <v>176</v>
      </c>
      <c r="C21" s="42">
        <f ca="1">C6/C14</f>
        <v>2.8735632183908044</v>
      </c>
      <c r="D21" s="41" t="s">
        <v>146</v>
      </c>
      <c r="E21" s="43" t="str">
        <f ca="1">IF(C21&gt;=1,"✓ ADEQUATE","✗ BELOW SCR")</f>
        <v>✓ ADEQUATE</v>
      </c>
    </row>
    <row r="22" spans="1:8" ht="18" customHeight="1" x14ac:dyDescent="0.3">
      <c r="B22" s="7" t="s">
        <v>177</v>
      </c>
      <c r="C22" s="21">
        <f ca="1">C6-C16</f>
        <v>11648000</v>
      </c>
      <c r="D22" s="41" t="s">
        <v>144</v>
      </c>
      <c r="E22" s="45" t="s">
        <v>141</v>
      </c>
    </row>
    <row r="23" spans="1:8" ht="18" customHeight="1" x14ac:dyDescent="0.3">
      <c r="B23" s="7" t="s">
        <v>178</v>
      </c>
      <c r="C23" s="19">
        <f ca="1">Calculations!B11/C16</f>
        <v>0.23946360153256704</v>
      </c>
      <c r="D23" s="41" t="s">
        <v>179</v>
      </c>
      <c r="E23" s="45" t="s">
        <v>141</v>
      </c>
    </row>
  </sheetData>
  <mergeCells count="8">
    <mergeCell ref="A1:E1"/>
    <mergeCell ref="A18:E18"/>
    <mergeCell ref="A9:E9"/>
    <mergeCell ref="D6:E6"/>
    <mergeCell ref="A4:E4"/>
    <mergeCell ref="D7:E7"/>
    <mergeCell ref="A2:E2"/>
    <mergeCell ref="D5:E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75623"/>
  </sheetPr>
  <dimension ref="A1:G5004"/>
  <sheetViews>
    <sheetView showGridLines="0" zoomScaleNormal="100" workbookViewId="0">
      <pane ySplit="4" topLeftCell="A5" activePane="bottomLeft" state="frozen"/>
      <selection pane="bottomLeft" activeCell="I15" sqref="I15"/>
    </sheetView>
  </sheetViews>
  <sheetFormatPr defaultColWidth="8.6640625" defaultRowHeight="14.4" x14ac:dyDescent="0.3"/>
  <cols>
    <col min="1" max="1" width="14" customWidth="1"/>
    <col min="2" max="2" width="16" customWidth="1"/>
    <col min="3" max="4" width="18" customWidth="1"/>
    <col min="5" max="5" width="3" customWidth="1"/>
    <col min="6" max="6" width="36.33203125" customWidth="1"/>
    <col min="7" max="7" width="20.6640625" customWidth="1"/>
  </cols>
  <sheetData>
    <row r="1" spans="1:7" ht="30" customHeight="1" x14ac:dyDescent="0.3">
      <c r="A1" s="88" t="s">
        <v>180</v>
      </c>
      <c r="B1" s="89"/>
      <c r="C1" s="89"/>
      <c r="D1" s="89"/>
      <c r="E1" s="89"/>
      <c r="F1" s="89"/>
      <c r="G1" s="90"/>
    </row>
    <row r="2" spans="1:7" ht="15.75" customHeight="1" x14ac:dyDescent="0.3">
      <c r="A2" s="87" t="s">
        <v>302</v>
      </c>
      <c r="B2" s="79"/>
      <c r="C2" s="79"/>
      <c r="D2" s="79"/>
      <c r="E2" s="79"/>
      <c r="F2" s="79"/>
      <c r="G2" s="79"/>
    </row>
    <row r="3" spans="1:7" ht="10.199999999999999" customHeight="1" x14ac:dyDescent="0.3"/>
    <row r="4" spans="1:7" ht="27" customHeight="1" x14ac:dyDescent="0.3">
      <c r="A4" s="2" t="s">
        <v>181</v>
      </c>
      <c r="B4" s="2" t="s">
        <v>182</v>
      </c>
      <c r="C4" s="2" t="s">
        <v>183</v>
      </c>
      <c r="D4" s="2" t="s">
        <v>184</v>
      </c>
      <c r="F4" s="2" t="s">
        <v>291</v>
      </c>
      <c r="G4" s="2" t="s">
        <v>25</v>
      </c>
    </row>
    <row r="5" spans="1:7" ht="13.5" customHeight="1" x14ac:dyDescent="0.3">
      <c r="A5" s="46">
        <v>1</v>
      </c>
      <c r="B5" s="47">
        <f t="shared" ref="B5:B68" ca="1" si="0">RAND()</f>
        <v>0.72837931938206091</v>
      </c>
      <c r="C5" s="48">
        <f t="array" aca="1" ref="C5" ca="1">MAX(0,ROUND(Inputs!$B$10*Inputs!$B$11+NORMSINV(B5)*SQRT(Inputs!$B$10*Inputs!$B$11),0))</f>
        <v>514</v>
      </c>
      <c r="D5" s="49">
        <f ca="1">C5*Inputs!$B$12</f>
        <v>61680000</v>
      </c>
      <c r="F5" s="7" t="s">
        <v>185</v>
      </c>
      <c r="G5" s="22">
        <f ca="1">AVERAGE(D5:D5004)</f>
        <v>60044256</v>
      </c>
    </row>
    <row r="6" spans="1:7" ht="13.5" customHeight="1" x14ac:dyDescent="0.3">
      <c r="A6" s="50">
        <v>2</v>
      </c>
      <c r="B6" s="51">
        <f t="shared" ca="1" si="0"/>
        <v>0.26851245848691629</v>
      </c>
      <c r="C6" s="48">
        <f t="array" aca="1" ref="C6" ca="1">MAX(0,ROUND(Inputs!$B$10*Inputs!$B$11+NORMSINV(B6)*SQRT(Inputs!$B$10*Inputs!$B$11),0))</f>
        <v>486</v>
      </c>
      <c r="D6" s="52">
        <f ca="1">C6*Inputs!$B$12</f>
        <v>58320000</v>
      </c>
      <c r="F6" s="53" t="s">
        <v>186</v>
      </c>
      <c r="G6" s="22">
        <f ca="1">MEDIAN(D5:D5004)</f>
        <v>60000000</v>
      </c>
    </row>
    <row r="7" spans="1:7" ht="13.5" customHeight="1" x14ac:dyDescent="0.3">
      <c r="A7" s="46">
        <v>3</v>
      </c>
      <c r="B7" s="47">
        <f t="shared" ca="1" si="0"/>
        <v>0.93937329071045261</v>
      </c>
      <c r="C7" s="48">
        <f t="array" aca="1" ref="C7" ca="1">MAX(0,ROUND(Inputs!$B$10*Inputs!$B$11+NORMSINV(B7)*SQRT(Inputs!$B$10*Inputs!$B$11),0))</f>
        <v>535</v>
      </c>
      <c r="D7" s="49">
        <f ca="1">C7*Inputs!$B$12</f>
        <v>64200000</v>
      </c>
      <c r="F7" s="7" t="s">
        <v>187</v>
      </c>
      <c r="G7" s="22">
        <f ca="1">MAX(D5:D5004)</f>
        <v>69000000</v>
      </c>
    </row>
    <row r="8" spans="1:7" ht="13.5" customHeight="1" x14ac:dyDescent="0.3">
      <c r="A8" s="50">
        <v>4</v>
      </c>
      <c r="B8" s="51">
        <f t="shared" ca="1" si="0"/>
        <v>0.29702805194756909</v>
      </c>
      <c r="C8" s="48">
        <f t="array" aca="1" ref="C8" ca="1">MAX(0,ROUND(Inputs!$B$10*Inputs!$B$11+NORMSINV(B8)*SQRT(Inputs!$B$10*Inputs!$B$11),0))</f>
        <v>488</v>
      </c>
      <c r="D8" s="52">
        <f ca="1">C8*Inputs!$B$12</f>
        <v>58560000</v>
      </c>
      <c r="F8" s="53" t="s">
        <v>188</v>
      </c>
      <c r="G8" s="22">
        <f ca="1">PERCENTILE(D5:D5004,0.95)</f>
        <v>64560000</v>
      </c>
    </row>
    <row r="9" spans="1:7" ht="13.5" customHeight="1" x14ac:dyDescent="0.3">
      <c r="A9" s="46">
        <v>5</v>
      </c>
      <c r="B9" s="47">
        <f t="shared" ca="1" si="0"/>
        <v>7.5477892893716314E-2</v>
      </c>
      <c r="C9" s="48">
        <f t="array" aca="1" ref="C9" ca="1">MAX(0,ROUND(Inputs!$B$10*Inputs!$B$11+NORMSINV(B9)*SQRT(Inputs!$B$10*Inputs!$B$11),0))</f>
        <v>468</v>
      </c>
      <c r="D9" s="49">
        <f ca="1">C9*Inputs!$B$12</f>
        <v>56160000</v>
      </c>
      <c r="F9" s="7" t="s">
        <v>290</v>
      </c>
      <c r="G9" s="22">
        <f ca="1">PERCENTILE(D5:D5004,0.995)</f>
        <v>66960000</v>
      </c>
    </row>
    <row r="10" spans="1:7" ht="13.5" customHeight="1" x14ac:dyDescent="0.3">
      <c r="A10" s="50">
        <v>6</v>
      </c>
      <c r="B10" s="51">
        <f t="shared" ca="1" si="0"/>
        <v>0.8231643907034818</v>
      </c>
      <c r="C10" s="48">
        <f t="array" aca="1" ref="C10" ca="1">MAX(0,ROUND(Inputs!$B$10*Inputs!$B$11+NORMSINV(B10)*SQRT(Inputs!$B$10*Inputs!$B$11),0))</f>
        <v>521</v>
      </c>
      <c r="D10" s="52">
        <f ca="1">C10*Inputs!$B$12</f>
        <v>62520000</v>
      </c>
      <c r="F10" s="71" t="s">
        <v>311</v>
      </c>
      <c r="G10" s="17">
        <f ca="1">COUNTIF(D5:D5004,"&gt;"&amp;Inputs!B9)/5000</f>
        <v>0</v>
      </c>
    </row>
    <row r="11" spans="1:7" ht="13.5" customHeight="1" x14ac:dyDescent="0.3">
      <c r="A11" s="46">
        <v>7</v>
      </c>
      <c r="B11" s="47">
        <f t="shared" ca="1" si="0"/>
        <v>0.3294666742361223</v>
      </c>
      <c r="C11" s="48">
        <f t="array" aca="1" ref="C11" ca="1">MAX(0,ROUND(Inputs!$B$10*Inputs!$B$11+NORMSINV(B11)*SQRT(Inputs!$B$10*Inputs!$B$11),0))</f>
        <v>490</v>
      </c>
      <c r="D11" s="49">
        <f ca="1">C11*Inputs!$B$12</f>
        <v>58800000</v>
      </c>
      <c r="F11" s="7" t="s">
        <v>189</v>
      </c>
      <c r="G11" s="17">
        <f ca="1">COUNTIF(D5:D5004,"&gt;"&amp;(Inputs!B9+Inputs!B9*0.2))/5000</f>
        <v>0</v>
      </c>
    </row>
    <row r="12" spans="1:7" ht="13.5" customHeight="1" x14ac:dyDescent="0.3">
      <c r="A12" s="50">
        <v>8</v>
      </c>
      <c r="B12" s="51">
        <f t="shared" ca="1" si="0"/>
        <v>0.58020670482036751</v>
      </c>
      <c r="C12" s="48">
        <f t="array" aca="1" ref="C12" ca="1">MAX(0,ROUND(Inputs!$B$10*Inputs!$B$11+NORMSINV(B12)*SQRT(Inputs!$B$10*Inputs!$B$11),0))</f>
        <v>505</v>
      </c>
      <c r="D12" s="52">
        <f ca="1">C12*Inputs!$B$12</f>
        <v>60600000</v>
      </c>
      <c r="F12" s="53" t="s">
        <v>190</v>
      </c>
      <c r="G12" s="22">
        <f ca="1">STDEV(D5:D5004)</f>
        <v>2671693.5519911619</v>
      </c>
    </row>
    <row r="13" spans="1:7" ht="13.5" customHeight="1" x14ac:dyDescent="0.3">
      <c r="A13" s="46">
        <v>9</v>
      </c>
      <c r="B13" s="47">
        <f t="shared" ca="1" si="0"/>
        <v>0.83786909199237203</v>
      </c>
      <c r="C13" s="48">
        <f t="array" aca="1" ref="C13" ca="1">MAX(0,ROUND(Inputs!$B$10*Inputs!$B$11+NORMSINV(B13)*SQRT(Inputs!$B$10*Inputs!$B$11),0))</f>
        <v>522</v>
      </c>
      <c r="D13" s="49">
        <f ca="1">C13*Inputs!$B$12</f>
        <v>62640000</v>
      </c>
    </row>
    <row r="14" spans="1:7" ht="13.5" customHeight="1" x14ac:dyDescent="0.3">
      <c r="A14" s="50">
        <v>10</v>
      </c>
      <c r="B14" s="51">
        <f t="shared" ca="1" si="0"/>
        <v>0.5474258915076079</v>
      </c>
      <c r="C14" s="48">
        <f t="array" aca="1" ref="C14" ca="1">MAX(0,ROUND(Inputs!$B$10*Inputs!$B$11+NORMSINV(B14)*SQRT(Inputs!$B$10*Inputs!$B$11),0))</f>
        <v>503</v>
      </c>
      <c r="D14" s="52">
        <f ca="1">C14*Inputs!$B$12</f>
        <v>60360000</v>
      </c>
      <c r="F14" s="100" t="s">
        <v>191</v>
      </c>
      <c r="G14" s="73"/>
    </row>
    <row r="15" spans="1:7" ht="13.5" customHeight="1" x14ac:dyDescent="0.3">
      <c r="A15" s="46">
        <v>11</v>
      </c>
      <c r="B15" s="47">
        <f t="shared" ca="1" si="0"/>
        <v>0.62952594253298655</v>
      </c>
      <c r="C15" s="48">
        <f t="array" aca="1" ref="C15" ca="1">MAX(0,ROUND(Inputs!$B$10*Inputs!$B$11+NORMSINV(B15)*SQRT(Inputs!$B$10*Inputs!$B$11),0))</f>
        <v>507</v>
      </c>
      <c r="D15" s="49">
        <f ca="1">C15*Inputs!$B$12</f>
        <v>60840000</v>
      </c>
      <c r="F15" s="100" t="s">
        <v>192</v>
      </c>
      <c r="G15" s="73"/>
    </row>
    <row r="16" spans="1:7" ht="13.5" customHeight="1" x14ac:dyDescent="0.3">
      <c r="A16" s="50">
        <v>12</v>
      </c>
      <c r="B16" s="51">
        <f t="shared" ca="1" si="0"/>
        <v>0.33253850883263925</v>
      </c>
      <c r="C16" s="48">
        <f t="array" aca="1" ref="C16" ca="1">MAX(0,ROUND(Inputs!$B$10*Inputs!$B$11+NORMSINV(B16)*SQRT(Inputs!$B$10*Inputs!$B$11),0))</f>
        <v>490</v>
      </c>
      <c r="D16" s="52">
        <f ca="1">C16*Inputs!$B$12</f>
        <v>58800000</v>
      </c>
    </row>
    <row r="17" spans="1:4" ht="13.5" customHeight="1" x14ac:dyDescent="0.3">
      <c r="A17" s="46">
        <v>13</v>
      </c>
      <c r="B17" s="47">
        <f t="shared" ca="1" si="0"/>
        <v>0.6185776510272305</v>
      </c>
      <c r="C17" s="48">
        <f t="array" aca="1" ref="C17" ca="1">MAX(0,ROUND(Inputs!$B$10*Inputs!$B$11+NORMSINV(B17)*SQRT(Inputs!$B$10*Inputs!$B$11),0))</f>
        <v>507</v>
      </c>
      <c r="D17" s="49">
        <f ca="1">C17*Inputs!$B$12</f>
        <v>60840000</v>
      </c>
    </row>
    <row r="18" spans="1:4" ht="13.5" customHeight="1" x14ac:dyDescent="0.3">
      <c r="A18" s="50">
        <v>14</v>
      </c>
      <c r="B18" s="51">
        <f t="shared" ca="1" si="0"/>
        <v>0.92222224950436849</v>
      </c>
      <c r="C18" s="48">
        <f t="array" aca="1" ref="C18" ca="1">MAX(0,ROUND(Inputs!$B$10*Inputs!$B$11+NORMSINV(B18)*SQRT(Inputs!$B$10*Inputs!$B$11),0))</f>
        <v>532</v>
      </c>
      <c r="D18" s="52">
        <f ca="1">C18*Inputs!$B$12</f>
        <v>63840000</v>
      </c>
    </row>
    <row r="19" spans="1:4" ht="13.5" customHeight="1" x14ac:dyDescent="0.3">
      <c r="A19" s="46">
        <v>15</v>
      </c>
      <c r="B19" s="47">
        <f t="shared" ca="1" si="0"/>
        <v>0.99217826727431058</v>
      </c>
      <c r="C19" s="48">
        <f t="array" aca="1" ref="C19" ca="1">MAX(0,ROUND(Inputs!$B$10*Inputs!$B$11+NORMSINV(B19)*SQRT(Inputs!$B$10*Inputs!$B$11),0))</f>
        <v>554</v>
      </c>
      <c r="D19" s="49">
        <f ca="1">C19*Inputs!$B$12</f>
        <v>66480000</v>
      </c>
    </row>
    <row r="20" spans="1:4" ht="13.5" customHeight="1" x14ac:dyDescent="0.3">
      <c r="A20" s="50">
        <v>16</v>
      </c>
      <c r="B20" s="51">
        <f t="shared" ca="1" si="0"/>
        <v>0.2047420232273105</v>
      </c>
      <c r="C20" s="48">
        <f t="array" aca="1" ref="C20" ca="1">MAX(0,ROUND(Inputs!$B$10*Inputs!$B$11+NORMSINV(B20)*SQRT(Inputs!$B$10*Inputs!$B$11),0))</f>
        <v>482</v>
      </c>
      <c r="D20" s="52">
        <f ca="1">C20*Inputs!$B$12</f>
        <v>57840000</v>
      </c>
    </row>
    <row r="21" spans="1:4" ht="13.5" customHeight="1" x14ac:dyDescent="0.3">
      <c r="A21" s="46">
        <v>17</v>
      </c>
      <c r="B21" s="47">
        <f t="shared" ca="1" si="0"/>
        <v>0.80119186526991837</v>
      </c>
      <c r="C21" s="48">
        <f t="array" aca="1" ref="C21" ca="1">MAX(0,ROUND(Inputs!$B$10*Inputs!$B$11+NORMSINV(B21)*SQRT(Inputs!$B$10*Inputs!$B$11),0))</f>
        <v>519</v>
      </c>
      <c r="D21" s="49">
        <f ca="1">C21*Inputs!$B$12</f>
        <v>62280000</v>
      </c>
    </row>
    <row r="22" spans="1:4" ht="13.5" customHeight="1" x14ac:dyDescent="0.3">
      <c r="A22" s="50">
        <v>18</v>
      </c>
      <c r="B22" s="51">
        <f t="shared" ca="1" si="0"/>
        <v>0.34962978967344027</v>
      </c>
      <c r="C22" s="48">
        <f t="array" aca="1" ref="C22" ca="1">MAX(0,ROUND(Inputs!$B$10*Inputs!$B$11+NORMSINV(B22)*SQRT(Inputs!$B$10*Inputs!$B$11),0))</f>
        <v>491</v>
      </c>
      <c r="D22" s="52">
        <f ca="1">C22*Inputs!$B$12</f>
        <v>58920000</v>
      </c>
    </row>
    <row r="23" spans="1:4" ht="13.5" customHeight="1" x14ac:dyDescent="0.3">
      <c r="A23" s="46">
        <v>19</v>
      </c>
      <c r="B23" s="47">
        <f t="shared" ca="1" si="0"/>
        <v>0.24232639060551031</v>
      </c>
      <c r="C23" s="48">
        <f t="array" aca="1" ref="C23" ca="1">MAX(0,ROUND(Inputs!$B$10*Inputs!$B$11+NORMSINV(B23)*SQRT(Inputs!$B$10*Inputs!$B$11),0))</f>
        <v>484</v>
      </c>
      <c r="D23" s="49">
        <f ca="1">C23*Inputs!$B$12</f>
        <v>58080000</v>
      </c>
    </row>
    <row r="24" spans="1:4" ht="13.5" customHeight="1" x14ac:dyDescent="0.3">
      <c r="A24" s="50">
        <v>20</v>
      </c>
      <c r="B24" s="51">
        <f t="shared" ca="1" si="0"/>
        <v>0.50026334373451853</v>
      </c>
      <c r="C24" s="48">
        <f t="array" aca="1" ref="C24" ca="1">MAX(0,ROUND(Inputs!$B$10*Inputs!$B$11+NORMSINV(B24)*SQRT(Inputs!$B$10*Inputs!$B$11),0))</f>
        <v>500</v>
      </c>
      <c r="D24" s="52">
        <f ca="1">C24*Inputs!$B$12</f>
        <v>60000000</v>
      </c>
    </row>
    <row r="25" spans="1:4" ht="13.5" customHeight="1" x14ac:dyDescent="0.3">
      <c r="A25" s="46">
        <v>21</v>
      </c>
      <c r="B25" s="47">
        <f t="shared" ca="1" si="0"/>
        <v>0.59316445306387255</v>
      </c>
      <c r="C25" s="48">
        <f t="array" aca="1" ref="C25" ca="1">MAX(0,ROUND(Inputs!$B$10*Inputs!$B$11+NORMSINV(B25)*SQRT(Inputs!$B$10*Inputs!$B$11),0))</f>
        <v>505</v>
      </c>
      <c r="D25" s="49">
        <f ca="1">C25*Inputs!$B$12</f>
        <v>60600000</v>
      </c>
    </row>
    <row r="26" spans="1:4" ht="13.5" customHeight="1" x14ac:dyDescent="0.3">
      <c r="A26" s="50">
        <v>22</v>
      </c>
      <c r="B26" s="51">
        <f t="shared" ca="1" si="0"/>
        <v>0.12234215254953351</v>
      </c>
      <c r="C26" s="48">
        <f t="array" aca="1" ref="C26" ca="1">MAX(0,ROUND(Inputs!$B$10*Inputs!$B$11+NORMSINV(B26)*SQRT(Inputs!$B$10*Inputs!$B$11),0))</f>
        <v>474</v>
      </c>
      <c r="D26" s="52">
        <f ca="1">C26*Inputs!$B$12</f>
        <v>56880000</v>
      </c>
    </row>
    <row r="27" spans="1:4" ht="13.5" customHeight="1" x14ac:dyDescent="0.3">
      <c r="A27" s="46">
        <v>23</v>
      </c>
      <c r="B27" s="47">
        <f t="shared" ca="1" si="0"/>
        <v>0.9605021591163414</v>
      </c>
      <c r="C27" s="48">
        <f t="array" aca="1" ref="C27" ca="1">MAX(0,ROUND(Inputs!$B$10*Inputs!$B$11+NORMSINV(B27)*SQRT(Inputs!$B$10*Inputs!$B$11),0))</f>
        <v>539</v>
      </c>
      <c r="D27" s="49">
        <f ca="1">C27*Inputs!$B$12</f>
        <v>64680000</v>
      </c>
    </row>
    <row r="28" spans="1:4" ht="13.5" customHeight="1" x14ac:dyDescent="0.3">
      <c r="A28" s="50">
        <v>24</v>
      </c>
      <c r="B28" s="51">
        <f t="shared" ca="1" si="0"/>
        <v>0.84784822638713087</v>
      </c>
      <c r="C28" s="48">
        <f t="array" aca="1" ref="C28" ca="1">MAX(0,ROUND(Inputs!$B$10*Inputs!$B$11+NORMSINV(B28)*SQRT(Inputs!$B$10*Inputs!$B$11),0))</f>
        <v>523</v>
      </c>
      <c r="D28" s="52">
        <f ca="1">C28*Inputs!$B$12</f>
        <v>62760000</v>
      </c>
    </row>
    <row r="29" spans="1:4" ht="13.5" customHeight="1" x14ac:dyDescent="0.3">
      <c r="A29" s="46">
        <v>25</v>
      </c>
      <c r="B29" s="47">
        <f t="shared" ca="1" si="0"/>
        <v>0.46496420651035353</v>
      </c>
      <c r="C29" s="48">
        <f t="array" aca="1" ref="C29" ca="1">MAX(0,ROUND(Inputs!$B$10*Inputs!$B$11+NORMSINV(B29)*SQRT(Inputs!$B$10*Inputs!$B$11),0))</f>
        <v>498</v>
      </c>
      <c r="D29" s="49">
        <f ca="1">C29*Inputs!$B$12</f>
        <v>59760000</v>
      </c>
    </row>
    <row r="30" spans="1:4" ht="13.5" customHeight="1" x14ac:dyDescent="0.3">
      <c r="A30" s="50">
        <v>26</v>
      </c>
      <c r="B30" s="51">
        <f t="shared" ca="1" si="0"/>
        <v>0.39483406660919407</v>
      </c>
      <c r="C30" s="48">
        <f t="array" aca="1" ref="C30" ca="1">MAX(0,ROUND(Inputs!$B$10*Inputs!$B$11+NORMSINV(B30)*SQRT(Inputs!$B$10*Inputs!$B$11),0))</f>
        <v>494</v>
      </c>
      <c r="D30" s="52">
        <f ca="1">C30*Inputs!$B$12</f>
        <v>59280000</v>
      </c>
    </row>
    <row r="31" spans="1:4" ht="13.5" customHeight="1" x14ac:dyDescent="0.3">
      <c r="A31" s="46">
        <v>27</v>
      </c>
      <c r="B31" s="47">
        <f t="shared" ca="1" si="0"/>
        <v>0.11036241898388044</v>
      </c>
      <c r="C31" s="48">
        <f t="array" aca="1" ref="C31" ca="1">MAX(0,ROUND(Inputs!$B$10*Inputs!$B$11+NORMSINV(B31)*SQRT(Inputs!$B$10*Inputs!$B$11),0))</f>
        <v>473</v>
      </c>
      <c r="D31" s="49">
        <f ca="1">C31*Inputs!$B$12</f>
        <v>56760000</v>
      </c>
    </row>
    <row r="32" spans="1:4" ht="13.5" customHeight="1" x14ac:dyDescent="0.3">
      <c r="A32" s="50">
        <v>28</v>
      </c>
      <c r="B32" s="51">
        <f t="shared" ca="1" si="0"/>
        <v>0.71434553562000402</v>
      </c>
      <c r="C32" s="48">
        <f t="array" aca="1" ref="C32" ca="1">MAX(0,ROUND(Inputs!$B$10*Inputs!$B$11+NORMSINV(B32)*SQRT(Inputs!$B$10*Inputs!$B$11),0))</f>
        <v>513</v>
      </c>
      <c r="D32" s="52">
        <f ca="1">C32*Inputs!$B$12</f>
        <v>61560000</v>
      </c>
    </row>
    <row r="33" spans="1:4" ht="13.5" customHeight="1" x14ac:dyDescent="0.3">
      <c r="A33" s="46">
        <v>29</v>
      </c>
      <c r="B33" s="47">
        <f t="shared" ca="1" si="0"/>
        <v>0.29384299447351636</v>
      </c>
      <c r="C33" s="48">
        <f t="array" aca="1" ref="C33" ca="1">MAX(0,ROUND(Inputs!$B$10*Inputs!$B$11+NORMSINV(B33)*SQRT(Inputs!$B$10*Inputs!$B$11),0))</f>
        <v>488</v>
      </c>
      <c r="D33" s="49">
        <f ca="1">C33*Inputs!$B$12</f>
        <v>58560000</v>
      </c>
    </row>
    <row r="34" spans="1:4" ht="13.5" customHeight="1" x14ac:dyDescent="0.3">
      <c r="A34" s="50">
        <v>30</v>
      </c>
      <c r="B34" s="51">
        <f t="shared" ca="1" si="0"/>
        <v>0.72643077323942362</v>
      </c>
      <c r="C34" s="48">
        <f t="array" aca="1" ref="C34" ca="1">MAX(0,ROUND(Inputs!$B$10*Inputs!$B$11+NORMSINV(B34)*SQRT(Inputs!$B$10*Inputs!$B$11),0))</f>
        <v>513</v>
      </c>
      <c r="D34" s="52">
        <f ca="1">C34*Inputs!$B$12</f>
        <v>61560000</v>
      </c>
    </row>
    <row r="35" spans="1:4" ht="13.5" customHeight="1" x14ac:dyDescent="0.3">
      <c r="A35" s="46">
        <v>31</v>
      </c>
      <c r="B35" s="47">
        <f t="shared" ca="1" si="0"/>
        <v>0.53915255788984828</v>
      </c>
      <c r="C35" s="48">
        <f t="array" aca="1" ref="C35" ca="1">MAX(0,ROUND(Inputs!$B$10*Inputs!$B$11+NORMSINV(B35)*SQRT(Inputs!$B$10*Inputs!$B$11),0))</f>
        <v>502</v>
      </c>
      <c r="D35" s="49">
        <f ca="1">C35*Inputs!$B$12</f>
        <v>60240000</v>
      </c>
    </row>
    <row r="36" spans="1:4" ht="13.5" customHeight="1" x14ac:dyDescent="0.3">
      <c r="A36" s="50">
        <v>32</v>
      </c>
      <c r="B36" s="51">
        <f t="shared" ca="1" si="0"/>
        <v>0.82072666625574464</v>
      </c>
      <c r="C36" s="48">
        <f t="array" aca="1" ref="C36" ca="1">MAX(0,ROUND(Inputs!$B$10*Inputs!$B$11+NORMSINV(B36)*SQRT(Inputs!$B$10*Inputs!$B$11),0))</f>
        <v>521</v>
      </c>
      <c r="D36" s="52">
        <f ca="1">C36*Inputs!$B$12</f>
        <v>62520000</v>
      </c>
    </row>
    <row r="37" spans="1:4" ht="13.5" customHeight="1" x14ac:dyDescent="0.3">
      <c r="A37" s="46">
        <v>33</v>
      </c>
      <c r="B37" s="47">
        <f t="shared" ca="1" si="0"/>
        <v>0.63637757253746241</v>
      </c>
      <c r="C37" s="48">
        <f t="array" aca="1" ref="C37" ca="1">MAX(0,ROUND(Inputs!$B$10*Inputs!$B$11+NORMSINV(B37)*SQRT(Inputs!$B$10*Inputs!$B$11),0))</f>
        <v>508</v>
      </c>
      <c r="D37" s="49">
        <f ca="1">C37*Inputs!$B$12</f>
        <v>60960000</v>
      </c>
    </row>
    <row r="38" spans="1:4" ht="13.5" customHeight="1" x14ac:dyDescent="0.3">
      <c r="A38" s="50">
        <v>34</v>
      </c>
      <c r="B38" s="51">
        <f t="shared" ca="1" si="0"/>
        <v>0.84675217842168893</v>
      </c>
      <c r="C38" s="48">
        <f t="array" aca="1" ref="C38" ca="1">MAX(0,ROUND(Inputs!$B$10*Inputs!$B$11+NORMSINV(B38)*SQRT(Inputs!$B$10*Inputs!$B$11),0))</f>
        <v>523</v>
      </c>
      <c r="D38" s="52">
        <f ca="1">C38*Inputs!$B$12</f>
        <v>62760000</v>
      </c>
    </row>
    <row r="39" spans="1:4" ht="13.5" customHeight="1" x14ac:dyDescent="0.3">
      <c r="A39" s="46">
        <v>35</v>
      </c>
      <c r="B39" s="47">
        <f t="shared" ca="1" si="0"/>
        <v>0.83941569628796775</v>
      </c>
      <c r="C39" s="48">
        <f t="array" aca="1" ref="C39" ca="1">MAX(0,ROUND(Inputs!$B$10*Inputs!$B$11+NORMSINV(B39)*SQRT(Inputs!$B$10*Inputs!$B$11),0))</f>
        <v>522</v>
      </c>
      <c r="D39" s="49">
        <f ca="1">C39*Inputs!$B$12</f>
        <v>62640000</v>
      </c>
    </row>
    <row r="40" spans="1:4" ht="13.5" customHeight="1" x14ac:dyDescent="0.3">
      <c r="A40" s="50">
        <v>36</v>
      </c>
      <c r="B40" s="51">
        <f t="shared" ca="1" si="0"/>
        <v>0.34735913182264766</v>
      </c>
      <c r="C40" s="48">
        <f t="array" aca="1" ref="C40" ca="1">MAX(0,ROUND(Inputs!$B$10*Inputs!$B$11+NORMSINV(B40)*SQRT(Inputs!$B$10*Inputs!$B$11),0))</f>
        <v>491</v>
      </c>
      <c r="D40" s="52">
        <f ca="1">C40*Inputs!$B$12</f>
        <v>58920000</v>
      </c>
    </row>
    <row r="41" spans="1:4" ht="13.5" customHeight="1" x14ac:dyDescent="0.3">
      <c r="A41" s="46">
        <v>37</v>
      </c>
      <c r="B41" s="47">
        <f t="shared" ca="1" si="0"/>
        <v>0.90832851551652272</v>
      </c>
      <c r="C41" s="48">
        <f t="array" aca="1" ref="C41" ca="1">MAX(0,ROUND(Inputs!$B$10*Inputs!$B$11+NORMSINV(B41)*SQRT(Inputs!$B$10*Inputs!$B$11),0))</f>
        <v>530</v>
      </c>
      <c r="D41" s="49">
        <f ca="1">C41*Inputs!$B$12</f>
        <v>63600000</v>
      </c>
    </row>
    <row r="42" spans="1:4" ht="13.5" customHeight="1" x14ac:dyDescent="0.3">
      <c r="A42" s="50">
        <v>38</v>
      </c>
      <c r="B42" s="51">
        <f t="shared" ca="1" si="0"/>
        <v>6.2151637552712691E-2</v>
      </c>
      <c r="C42" s="48">
        <f t="array" aca="1" ref="C42" ca="1">MAX(0,ROUND(Inputs!$B$10*Inputs!$B$11+NORMSINV(B42)*SQRT(Inputs!$B$10*Inputs!$B$11),0))</f>
        <v>466</v>
      </c>
      <c r="D42" s="52">
        <f ca="1">C42*Inputs!$B$12</f>
        <v>55920000</v>
      </c>
    </row>
    <row r="43" spans="1:4" ht="13.5" customHeight="1" x14ac:dyDescent="0.3">
      <c r="A43" s="46">
        <v>39</v>
      </c>
      <c r="B43" s="47">
        <f t="shared" ca="1" si="0"/>
        <v>0.92864051015138716</v>
      </c>
      <c r="C43" s="48">
        <f t="array" aca="1" ref="C43" ca="1">MAX(0,ROUND(Inputs!$B$10*Inputs!$B$11+NORMSINV(B43)*SQRT(Inputs!$B$10*Inputs!$B$11),0))</f>
        <v>533</v>
      </c>
      <c r="D43" s="49">
        <f ca="1">C43*Inputs!$B$12</f>
        <v>63960000</v>
      </c>
    </row>
    <row r="44" spans="1:4" ht="13.5" customHeight="1" x14ac:dyDescent="0.3">
      <c r="A44" s="50">
        <v>40</v>
      </c>
      <c r="B44" s="51">
        <f t="shared" ca="1" si="0"/>
        <v>0.46569225712627871</v>
      </c>
      <c r="C44" s="48">
        <f t="array" aca="1" ref="C44" ca="1">MAX(0,ROUND(Inputs!$B$10*Inputs!$B$11+NORMSINV(B44)*SQRT(Inputs!$B$10*Inputs!$B$11),0))</f>
        <v>498</v>
      </c>
      <c r="D44" s="52">
        <f ca="1">C44*Inputs!$B$12</f>
        <v>59760000</v>
      </c>
    </row>
    <row r="45" spans="1:4" ht="13.5" customHeight="1" x14ac:dyDescent="0.3">
      <c r="A45" s="46">
        <v>41</v>
      </c>
      <c r="B45" s="47">
        <f t="shared" ca="1" si="0"/>
        <v>0.70688761632285957</v>
      </c>
      <c r="C45" s="48">
        <f t="array" aca="1" ref="C45" ca="1">MAX(0,ROUND(Inputs!$B$10*Inputs!$B$11+NORMSINV(B45)*SQRT(Inputs!$B$10*Inputs!$B$11),0))</f>
        <v>512</v>
      </c>
      <c r="D45" s="49">
        <f ca="1">C45*Inputs!$B$12</f>
        <v>61440000</v>
      </c>
    </row>
    <row r="46" spans="1:4" ht="13.5" customHeight="1" x14ac:dyDescent="0.3">
      <c r="A46" s="50">
        <v>42</v>
      </c>
      <c r="B46" s="51">
        <f t="shared" ca="1" si="0"/>
        <v>0.98094681865924982</v>
      </c>
      <c r="C46" s="48">
        <f t="array" aca="1" ref="C46" ca="1">MAX(0,ROUND(Inputs!$B$10*Inputs!$B$11+NORMSINV(B46)*SQRT(Inputs!$B$10*Inputs!$B$11),0))</f>
        <v>546</v>
      </c>
      <c r="D46" s="52">
        <f ca="1">C46*Inputs!$B$12</f>
        <v>65520000</v>
      </c>
    </row>
    <row r="47" spans="1:4" ht="13.5" customHeight="1" x14ac:dyDescent="0.3">
      <c r="A47" s="46">
        <v>43</v>
      </c>
      <c r="B47" s="47">
        <f t="shared" ca="1" si="0"/>
        <v>0.29943275770544975</v>
      </c>
      <c r="C47" s="48">
        <f t="array" aca="1" ref="C47" ca="1">MAX(0,ROUND(Inputs!$B$10*Inputs!$B$11+NORMSINV(B47)*SQRT(Inputs!$B$10*Inputs!$B$11),0))</f>
        <v>488</v>
      </c>
      <c r="D47" s="49">
        <f ca="1">C47*Inputs!$B$12</f>
        <v>58560000</v>
      </c>
    </row>
    <row r="48" spans="1:4" ht="13.5" customHeight="1" x14ac:dyDescent="0.3">
      <c r="A48" s="50">
        <v>44</v>
      </c>
      <c r="B48" s="51">
        <f t="shared" ca="1" si="0"/>
        <v>0.33888473392617602</v>
      </c>
      <c r="C48" s="48">
        <f t="array" aca="1" ref="C48" ca="1">MAX(0,ROUND(Inputs!$B$10*Inputs!$B$11+NORMSINV(B48)*SQRT(Inputs!$B$10*Inputs!$B$11),0))</f>
        <v>491</v>
      </c>
      <c r="D48" s="52">
        <f ca="1">C48*Inputs!$B$12</f>
        <v>58920000</v>
      </c>
    </row>
    <row r="49" spans="1:4" ht="13.5" customHeight="1" x14ac:dyDescent="0.3">
      <c r="A49" s="46">
        <v>45</v>
      </c>
      <c r="B49" s="47">
        <f t="shared" ca="1" si="0"/>
        <v>0.60405960542911696</v>
      </c>
      <c r="C49" s="48">
        <f t="array" aca="1" ref="C49" ca="1">MAX(0,ROUND(Inputs!$B$10*Inputs!$B$11+NORMSINV(B49)*SQRT(Inputs!$B$10*Inputs!$B$11),0))</f>
        <v>506</v>
      </c>
      <c r="D49" s="49">
        <f ca="1">C49*Inputs!$B$12</f>
        <v>60720000</v>
      </c>
    </row>
    <row r="50" spans="1:4" ht="13.5" customHeight="1" x14ac:dyDescent="0.3">
      <c r="A50" s="50">
        <v>46</v>
      </c>
      <c r="B50" s="51">
        <f t="shared" ca="1" si="0"/>
        <v>0.77619225852806129</v>
      </c>
      <c r="C50" s="48">
        <f t="array" aca="1" ref="C50" ca="1">MAX(0,ROUND(Inputs!$B$10*Inputs!$B$11+NORMSINV(B50)*SQRT(Inputs!$B$10*Inputs!$B$11),0))</f>
        <v>517</v>
      </c>
      <c r="D50" s="52">
        <f ca="1">C50*Inputs!$B$12</f>
        <v>62040000</v>
      </c>
    </row>
    <row r="51" spans="1:4" ht="13.5" customHeight="1" x14ac:dyDescent="0.3">
      <c r="A51" s="46">
        <v>47</v>
      </c>
      <c r="B51" s="47">
        <f t="shared" ca="1" si="0"/>
        <v>0.41746473120509042</v>
      </c>
      <c r="C51" s="48">
        <f t="array" aca="1" ref="C51" ca="1">MAX(0,ROUND(Inputs!$B$10*Inputs!$B$11+NORMSINV(B51)*SQRT(Inputs!$B$10*Inputs!$B$11),0))</f>
        <v>495</v>
      </c>
      <c r="D51" s="49">
        <f ca="1">C51*Inputs!$B$12</f>
        <v>59400000</v>
      </c>
    </row>
    <row r="52" spans="1:4" ht="13.5" customHeight="1" x14ac:dyDescent="0.3">
      <c r="A52" s="50">
        <v>48</v>
      </c>
      <c r="B52" s="51">
        <f t="shared" ca="1" si="0"/>
        <v>0.57245649327935344</v>
      </c>
      <c r="C52" s="48">
        <f t="array" aca="1" ref="C52" ca="1">MAX(0,ROUND(Inputs!$B$10*Inputs!$B$11+NORMSINV(B52)*SQRT(Inputs!$B$10*Inputs!$B$11),0))</f>
        <v>504</v>
      </c>
      <c r="D52" s="52">
        <f ca="1">C52*Inputs!$B$12</f>
        <v>60480000</v>
      </c>
    </row>
    <row r="53" spans="1:4" ht="13.5" customHeight="1" x14ac:dyDescent="0.3">
      <c r="A53" s="46">
        <v>49</v>
      </c>
      <c r="B53" s="47">
        <f t="shared" ca="1" si="0"/>
        <v>0.54461953961821097</v>
      </c>
      <c r="C53" s="48">
        <f t="array" aca="1" ref="C53" ca="1">MAX(0,ROUND(Inputs!$B$10*Inputs!$B$11+NORMSINV(B53)*SQRT(Inputs!$B$10*Inputs!$B$11),0))</f>
        <v>503</v>
      </c>
      <c r="D53" s="49">
        <f ca="1">C53*Inputs!$B$12</f>
        <v>60360000</v>
      </c>
    </row>
    <row r="54" spans="1:4" ht="13.5" customHeight="1" x14ac:dyDescent="0.3">
      <c r="A54" s="50">
        <v>50</v>
      </c>
      <c r="B54" s="51">
        <f t="shared" ca="1" si="0"/>
        <v>0.9770385846199735</v>
      </c>
      <c r="C54" s="48">
        <f t="array" aca="1" ref="C54" ca="1">MAX(0,ROUND(Inputs!$B$10*Inputs!$B$11+NORMSINV(B54)*SQRT(Inputs!$B$10*Inputs!$B$11),0))</f>
        <v>545</v>
      </c>
      <c r="D54" s="52">
        <f ca="1">C54*Inputs!$B$12</f>
        <v>65400000</v>
      </c>
    </row>
    <row r="55" spans="1:4" ht="13.5" customHeight="1" x14ac:dyDescent="0.3">
      <c r="A55" s="46">
        <v>51</v>
      </c>
      <c r="B55" s="47">
        <f t="shared" ca="1" si="0"/>
        <v>8.9491250064982708E-2</v>
      </c>
      <c r="C55" s="48">
        <f t="array" aca="1" ref="C55" ca="1">MAX(0,ROUND(Inputs!$B$10*Inputs!$B$11+NORMSINV(B55)*SQRT(Inputs!$B$10*Inputs!$B$11),0))</f>
        <v>470</v>
      </c>
      <c r="D55" s="49">
        <f ca="1">C55*Inputs!$B$12</f>
        <v>56400000</v>
      </c>
    </row>
    <row r="56" spans="1:4" ht="13.5" customHeight="1" x14ac:dyDescent="0.3">
      <c r="A56" s="50">
        <v>52</v>
      </c>
      <c r="B56" s="51">
        <f t="shared" ca="1" si="0"/>
        <v>0.96557273781516784</v>
      </c>
      <c r="C56" s="48">
        <f t="array" aca="1" ref="C56" ca="1">MAX(0,ROUND(Inputs!$B$10*Inputs!$B$11+NORMSINV(B56)*SQRT(Inputs!$B$10*Inputs!$B$11),0))</f>
        <v>541</v>
      </c>
      <c r="D56" s="52">
        <f ca="1">C56*Inputs!$B$12</f>
        <v>64920000</v>
      </c>
    </row>
    <row r="57" spans="1:4" ht="13.5" customHeight="1" x14ac:dyDescent="0.3">
      <c r="A57" s="46">
        <v>53</v>
      </c>
      <c r="B57" s="47">
        <f t="shared" ca="1" si="0"/>
        <v>0.37629414325871735</v>
      </c>
      <c r="C57" s="48">
        <f t="array" aca="1" ref="C57" ca="1">MAX(0,ROUND(Inputs!$B$10*Inputs!$B$11+NORMSINV(B57)*SQRT(Inputs!$B$10*Inputs!$B$11),0))</f>
        <v>493</v>
      </c>
      <c r="D57" s="49">
        <f ca="1">C57*Inputs!$B$12</f>
        <v>59160000</v>
      </c>
    </row>
    <row r="58" spans="1:4" ht="13.5" customHeight="1" x14ac:dyDescent="0.3">
      <c r="A58" s="50">
        <v>54</v>
      </c>
      <c r="B58" s="51">
        <f t="shared" ca="1" si="0"/>
        <v>0.33697431530333966</v>
      </c>
      <c r="C58" s="48">
        <f t="array" aca="1" ref="C58" ca="1">MAX(0,ROUND(Inputs!$B$10*Inputs!$B$11+NORMSINV(B58)*SQRT(Inputs!$B$10*Inputs!$B$11),0))</f>
        <v>491</v>
      </c>
      <c r="D58" s="52">
        <f ca="1">C58*Inputs!$B$12</f>
        <v>58920000</v>
      </c>
    </row>
    <row r="59" spans="1:4" ht="13.5" customHeight="1" x14ac:dyDescent="0.3">
      <c r="A59" s="46">
        <v>55</v>
      </c>
      <c r="B59" s="47">
        <f t="shared" ca="1" si="0"/>
        <v>0.91361003767116344</v>
      </c>
      <c r="C59" s="48">
        <f t="array" aca="1" ref="C59" ca="1">MAX(0,ROUND(Inputs!$B$10*Inputs!$B$11+NORMSINV(B59)*SQRT(Inputs!$B$10*Inputs!$B$11),0))</f>
        <v>530</v>
      </c>
      <c r="D59" s="49">
        <f ca="1">C59*Inputs!$B$12</f>
        <v>63600000</v>
      </c>
    </row>
    <row r="60" spans="1:4" ht="13.5" customHeight="1" x14ac:dyDescent="0.3">
      <c r="A60" s="50">
        <v>56</v>
      </c>
      <c r="B60" s="51">
        <f t="shared" ca="1" si="0"/>
        <v>0.87910178053173194</v>
      </c>
      <c r="C60" s="48">
        <f t="array" aca="1" ref="C60" ca="1">MAX(0,ROUND(Inputs!$B$10*Inputs!$B$11+NORMSINV(B60)*SQRT(Inputs!$B$10*Inputs!$B$11),0))</f>
        <v>526</v>
      </c>
      <c r="D60" s="52">
        <f ca="1">C60*Inputs!$B$12</f>
        <v>63120000</v>
      </c>
    </row>
    <row r="61" spans="1:4" ht="13.5" customHeight="1" x14ac:dyDescent="0.3">
      <c r="A61" s="46">
        <v>57</v>
      </c>
      <c r="B61" s="47">
        <f t="shared" ca="1" si="0"/>
        <v>0.99630536741267284</v>
      </c>
      <c r="C61" s="48">
        <f t="array" aca="1" ref="C61" ca="1">MAX(0,ROUND(Inputs!$B$10*Inputs!$B$11+NORMSINV(B61)*SQRT(Inputs!$B$10*Inputs!$B$11),0))</f>
        <v>560</v>
      </c>
      <c r="D61" s="49">
        <f ca="1">C61*Inputs!$B$12</f>
        <v>67200000</v>
      </c>
    </row>
    <row r="62" spans="1:4" ht="13.5" customHeight="1" x14ac:dyDescent="0.3">
      <c r="A62" s="50">
        <v>58</v>
      </c>
      <c r="B62" s="51">
        <f t="shared" ca="1" si="0"/>
        <v>0.87533761748153394</v>
      </c>
      <c r="C62" s="48">
        <f t="array" aca="1" ref="C62" ca="1">MAX(0,ROUND(Inputs!$B$10*Inputs!$B$11+NORMSINV(B62)*SQRT(Inputs!$B$10*Inputs!$B$11),0))</f>
        <v>526</v>
      </c>
      <c r="D62" s="52">
        <f ca="1">C62*Inputs!$B$12</f>
        <v>63120000</v>
      </c>
    </row>
    <row r="63" spans="1:4" ht="13.5" customHeight="1" x14ac:dyDescent="0.3">
      <c r="A63" s="46">
        <v>59</v>
      </c>
      <c r="B63" s="47">
        <f t="shared" ca="1" si="0"/>
        <v>0.21501541455527684</v>
      </c>
      <c r="C63" s="48">
        <f t="array" aca="1" ref="C63" ca="1">MAX(0,ROUND(Inputs!$B$10*Inputs!$B$11+NORMSINV(B63)*SQRT(Inputs!$B$10*Inputs!$B$11),0))</f>
        <v>482</v>
      </c>
      <c r="D63" s="49">
        <f ca="1">C63*Inputs!$B$12</f>
        <v>57840000</v>
      </c>
    </row>
    <row r="64" spans="1:4" ht="13.5" customHeight="1" x14ac:dyDescent="0.3">
      <c r="A64" s="50">
        <v>60</v>
      </c>
      <c r="B64" s="51">
        <f t="shared" ca="1" si="0"/>
        <v>0.70317295426908855</v>
      </c>
      <c r="C64" s="48">
        <f t="array" aca="1" ref="C64" ca="1">MAX(0,ROUND(Inputs!$B$10*Inputs!$B$11+NORMSINV(B64)*SQRT(Inputs!$B$10*Inputs!$B$11),0))</f>
        <v>512</v>
      </c>
      <c r="D64" s="52">
        <f ca="1">C64*Inputs!$B$12</f>
        <v>61440000</v>
      </c>
    </row>
    <row r="65" spans="1:4" ht="13.5" customHeight="1" x14ac:dyDescent="0.3">
      <c r="A65" s="46">
        <v>61</v>
      </c>
      <c r="B65" s="47">
        <f t="shared" ca="1" si="0"/>
        <v>0.11239788250100691</v>
      </c>
      <c r="C65" s="48">
        <f t="array" aca="1" ref="C65" ca="1">MAX(0,ROUND(Inputs!$B$10*Inputs!$B$11+NORMSINV(B65)*SQRT(Inputs!$B$10*Inputs!$B$11),0))</f>
        <v>473</v>
      </c>
      <c r="D65" s="49">
        <f ca="1">C65*Inputs!$B$12</f>
        <v>56760000</v>
      </c>
    </row>
    <row r="66" spans="1:4" ht="13.5" customHeight="1" x14ac:dyDescent="0.3">
      <c r="A66" s="50">
        <v>62</v>
      </c>
      <c r="B66" s="51">
        <f t="shared" ca="1" si="0"/>
        <v>0.22831800850204276</v>
      </c>
      <c r="C66" s="48">
        <f t="array" aca="1" ref="C66" ca="1">MAX(0,ROUND(Inputs!$B$10*Inputs!$B$11+NORMSINV(B66)*SQRT(Inputs!$B$10*Inputs!$B$11),0))</f>
        <v>483</v>
      </c>
      <c r="D66" s="52">
        <f ca="1">C66*Inputs!$B$12</f>
        <v>57960000</v>
      </c>
    </row>
    <row r="67" spans="1:4" ht="13.5" customHeight="1" x14ac:dyDescent="0.3">
      <c r="A67" s="46">
        <v>63</v>
      </c>
      <c r="B67" s="47">
        <f t="shared" ca="1" si="0"/>
        <v>0.24193417902268943</v>
      </c>
      <c r="C67" s="48">
        <f t="array" aca="1" ref="C67" ca="1">MAX(0,ROUND(Inputs!$B$10*Inputs!$B$11+NORMSINV(B67)*SQRT(Inputs!$B$10*Inputs!$B$11),0))</f>
        <v>484</v>
      </c>
      <c r="D67" s="49">
        <f ca="1">C67*Inputs!$B$12</f>
        <v>58080000</v>
      </c>
    </row>
    <row r="68" spans="1:4" ht="13.5" customHeight="1" x14ac:dyDescent="0.3">
      <c r="A68" s="50">
        <v>64</v>
      </c>
      <c r="B68" s="51">
        <f t="shared" ca="1" si="0"/>
        <v>0.53500190986305285</v>
      </c>
      <c r="C68" s="48">
        <f t="array" aca="1" ref="C68" ca="1">MAX(0,ROUND(Inputs!$B$10*Inputs!$B$11+NORMSINV(B68)*SQRT(Inputs!$B$10*Inputs!$B$11),0))</f>
        <v>502</v>
      </c>
      <c r="D68" s="52">
        <f ca="1">C68*Inputs!$B$12</f>
        <v>60240000</v>
      </c>
    </row>
    <row r="69" spans="1:4" ht="13.5" customHeight="1" x14ac:dyDescent="0.3">
      <c r="A69" s="46">
        <v>65</v>
      </c>
      <c r="B69" s="47">
        <f t="shared" ref="B69:B132" ca="1" si="1">RAND()</f>
        <v>0.11273558386390192</v>
      </c>
      <c r="C69" s="48">
        <f t="array" aca="1" ref="C69" ca="1">MAX(0,ROUND(Inputs!$B$10*Inputs!$B$11+NORMSINV(B69)*SQRT(Inputs!$B$10*Inputs!$B$11),0))</f>
        <v>473</v>
      </c>
      <c r="D69" s="49">
        <f ca="1">C69*Inputs!$B$12</f>
        <v>56760000</v>
      </c>
    </row>
    <row r="70" spans="1:4" ht="13.5" customHeight="1" x14ac:dyDescent="0.3">
      <c r="A70" s="50">
        <v>66</v>
      </c>
      <c r="B70" s="51">
        <f t="shared" ca="1" si="1"/>
        <v>0.92313425695725848</v>
      </c>
      <c r="C70" s="48">
        <f t="array" aca="1" ref="C70" ca="1">MAX(0,ROUND(Inputs!$B$10*Inputs!$B$11+NORMSINV(B70)*SQRT(Inputs!$B$10*Inputs!$B$11),0))</f>
        <v>532</v>
      </c>
      <c r="D70" s="52">
        <f ca="1">C70*Inputs!$B$12</f>
        <v>63840000</v>
      </c>
    </row>
    <row r="71" spans="1:4" ht="13.5" customHeight="1" x14ac:dyDescent="0.3">
      <c r="A71" s="46">
        <v>67</v>
      </c>
      <c r="B71" s="47">
        <f t="shared" ca="1" si="1"/>
        <v>0.31405049302127996</v>
      </c>
      <c r="C71" s="48">
        <f t="array" aca="1" ref="C71" ca="1">MAX(0,ROUND(Inputs!$B$10*Inputs!$B$11+NORMSINV(B71)*SQRT(Inputs!$B$10*Inputs!$B$11),0))</f>
        <v>489</v>
      </c>
      <c r="D71" s="49">
        <f ca="1">C71*Inputs!$B$12</f>
        <v>58680000</v>
      </c>
    </row>
    <row r="72" spans="1:4" ht="13.5" customHeight="1" x14ac:dyDescent="0.3">
      <c r="A72" s="50">
        <v>68</v>
      </c>
      <c r="B72" s="51">
        <f t="shared" ca="1" si="1"/>
        <v>0.1587878524157027</v>
      </c>
      <c r="C72" s="48">
        <f t="array" aca="1" ref="C72" ca="1">MAX(0,ROUND(Inputs!$B$10*Inputs!$B$11+NORMSINV(B72)*SQRT(Inputs!$B$10*Inputs!$B$11),0))</f>
        <v>478</v>
      </c>
      <c r="D72" s="52">
        <f ca="1">C72*Inputs!$B$12</f>
        <v>57360000</v>
      </c>
    </row>
    <row r="73" spans="1:4" ht="13.5" customHeight="1" x14ac:dyDescent="0.3">
      <c r="A73" s="46">
        <v>69</v>
      </c>
      <c r="B73" s="47">
        <f t="shared" ca="1" si="1"/>
        <v>0.19062897730533146</v>
      </c>
      <c r="C73" s="48">
        <f t="array" aca="1" ref="C73" ca="1">MAX(0,ROUND(Inputs!$B$10*Inputs!$B$11+NORMSINV(B73)*SQRT(Inputs!$B$10*Inputs!$B$11),0))</f>
        <v>480</v>
      </c>
      <c r="D73" s="49">
        <f ca="1">C73*Inputs!$B$12</f>
        <v>57600000</v>
      </c>
    </row>
    <row r="74" spans="1:4" ht="13.5" customHeight="1" x14ac:dyDescent="0.3">
      <c r="A74" s="50">
        <v>70</v>
      </c>
      <c r="B74" s="51">
        <f t="shared" ca="1" si="1"/>
        <v>0.94312876105277521</v>
      </c>
      <c r="C74" s="48">
        <f t="array" aca="1" ref="C74" ca="1">MAX(0,ROUND(Inputs!$B$10*Inputs!$B$11+NORMSINV(B74)*SQRT(Inputs!$B$10*Inputs!$B$11),0))</f>
        <v>535</v>
      </c>
      <c r="D74" s="52">
        <f ca="1">C74*Inputs!$B$12</f>
        <v>64200000</v>
      </c>
    </row>
    <row r="75" spans="1:4" ht="13.5" customHeight="1" x14ac:dyDescent="0.3">
      <c r="A75" s="46">
        <v>71</v>
      </c>
      <c r="B75" s="47">
        <f t="shared" ca="1" si="1"/>
        <v>0.99169482543626297</v>
      </c>
      <c r="C75" s="48">
        <f t="array" aca="1" ref="C75" ca="1">MAX(0,ROUND(Inputs!$B$10*Inputs!$B$11+NORMSINV(B75)*SQRT(Inputs!$B$10*Inputs!$B$11),0))</f>
        <v>554</v>
      </c>
      <c r="D75" s="49">
        <f ca="1">C75*Inputs!$B$12</f>
        <v>66480000</v>
      </c>
    </row>
    <row r="76" spans="1:4" ht="13.5" customHeight="1" x14ac:dyDescent="0.3">
      <c r="A76" s="50">
        <v>72</v>
      </c>
      <c r="B76" s="51">
        <f t="shared" ca="1" si="1"/>
        <v>0.92999949660619696</v>
      </c>
      <c r="C76" s="48">
        <f t="array" aca="1" ref="C76" ca="1">MAX(0,ROUND(Inputs!$B$10*Inputs!$B$11+NORMSINV(B76)*SQRT(Inputs!$B$10*Inputs!$B$11),0))</f>
        <v>533</v>
      </c>
      <c r="D76" s="52">
        <f ca="1">C76*Inputs!$B$12</f>
        <v>63960000</v>
      </c>
    </row>
    <row r="77" spans="1:4" ht="13.5" customHeight="1" x14ac:dyDescent="0.3">
      <c r="A77" s="46">
        <v>73</v>
      </c>
      <c r="B77" s="47">
        <f t="shared" ca="1" si="1"/>
        <v>0.61353383886077217</v>
      </c>
      <c r="C77" s="48">
        <f t="array" aca="1" ref="C77" ca="1">MAX(0,ROUND(Inputs!$B$10*Inputs!$B$11+NORMSINV(B77)*SQRT(Inputs!$B$10*Inputs!$B$11),0))</f>
        <v>506</v>
      </c>
      <c r="D77" s="49">
        <f ca="1">C77*Inputs!$B$12</f>
        <v>60720000</v>
      </c>
    </row>
    <row r="78" spans="1:4" ht="13.5" customHeight="1" x14ac:dyDescent="0.3">
      <c r="A78" s="50">
        <v>74</v>
      </c>
      <c r="B78" s="51">
        <f t="shared" ca="1" si="1"/>
        <v>0.85045638566010373</v>
      </c>
      <c r="C78" s="48">
        <f t="array" aca="1" ref="C78" ca="1">MAX(0,ROUND(Inputs!$B$10*Inputs!$B$11+NORMSINV(B78)*SQRT(Inputs!$B$10*Inputs!$B$11),0))</f>
        <v>523</v>
      </c>
      <c r="D78" s="52">
        <f ca="1">C78*Inputs!$B$12</f>
        <v>62760000</v>
      </c>
    </row>
    <row r="79" spans="1:4" ht="13.5" customHeight="1" x14ac:dyDescent="0.3">
      <c r="A79" s="46">
        <v>75</v>
      </c>
      <c r="B79" s="47">
        <f t="shared" ca="1" si="1"/>
        <v>0.6450995725649955</v>
      </c>
      <c r="C79" s="48">
        <f t="array" aca="1" ref="C79" ca="1">MAX(0,ROUND(Inputs!$B$10*Inputs!$B$11+NORMSINV(B79)*SQRT(Inputs!$B$10*Inputs!$B$11),0))</f>
        <v>508</v>
      </c>
      <c r="D79" s="49">
        <f ca="1">C79*Inputs!$B$12</f>
        <v>60960000</v>
      </c>
    </row>
    <row r="80" spans="1:4" ht="13.5" customHeight="1" x14ac:dyDescent="0.3">
      <c r="A80" s="50">
        <v>76</v>
      </c>
      <c r="B80" s="51">
        <f t="shared" ca="1" si="1"/>
        <v>5.1768638608929995E-3</v>
      </c>
      <c r="C80" s="48">
        <f t="array" aca="1" ref="C80" ca="1">MAX(0,ROUND(Inputs!$B$10*Inputs!$B$11+NORMSINV(B80)*SQRT(Inputs!$B$10*Inputs!$B$11),0))</f>
        <v>443</v>
      </c>
      <c r="D80" s="52">
        <f ca="1">C80*Inputs!$B$12</f>
        <v>53160000</v>
      </c>
    </row>
    <row r="81" spans="1:4" ht="13.5" customHeight="1" x14ac:dyDescent="0.3">
      <c r="A81" s="46">
        <v>77</v>
      </c>
      <c r="B81" s="47">
        <f t="shared" ca="1" si="1"/>
        <v>0.46011906170067629</v>
      </c>
      <c r="C81" s="48">
        <f t="array" aca="1" ref="C81" ca="1">MAX(0,ROUND(Inputs!$B$10*Inputs!$B$11+NORMSINV(B81)*SQRT(Inputs!$B$10*Inputs!$B$11),0))</f>
        <v>498</v>
      </c>
      <c r="D81" s="49">
        <f ca="1">C81*Inputs!$B$12</f>
        <v>59760000</v>
      </c>
    </row>
    <row r="82" spans="1:4" ht="13.5" customHeight="1" x14ac:dyDescent="0.3">
      <c r="A82" s="50">
        <v>78</v>
      </c>
      <c r="B82" s="51">
        <f t="shared" ca="1" si="1"/>
        <v>0.82900619109636298</v>
      </c>
      <c r="C82" s="48">
        <f t="array" aca="1" ref="C82" ca="1">MAX(0,ROUND(Inputs!$B$10*Inputs!$B$11+NORMSINV(B82)*SQRT(Inputs!$B$10*Inputs!$B$11),0))</f>
        <v>521</v>
      </c>
      <c r="D82" s="52">
        <f ca="1">C82*Inputs!$B$12</f>
        <v>62520000</v>
      </c>
    </row>
    <row r="83" spans="1:4" ht="13.5" customHeight="1" x14ac:dyDescent="0.3">
      <c r="A83" s="46">
        <v>79</v>
      </c>
      <c r="B83" s="47">
        <f t="shared" ca="1" si="1"/>
        <v>0.39415995279279914</v>
      </c>
      <c r="C83" s="48">
        <f t="array" aca="1" ref="C83" ca="1">MAX(0,ROUND(Inputs!$B$10*Inputs!$B$11+NORMSINV(B83)*SQRT(Inputs!$B$10*Inputs!$B$11),0))</f>
        <v>494</v>
      </c>
      <c r="D83" s="49">
        <f ca="1">C83*Inputs!$B$12</f>
        <v>59280000</v>
      </c>
    </row>
    <row r="84" spans="1:4" ht="13.5" customHeight="1" x14ac:dyDescent="0.3">
      <c r="A84" s="50">
        <v>80</v>
      </c>
      <c r="B84" s="51">
        <f t="shared" ca="1" si="1"/>
        <v>0.37263873593094943</v>
      </c>
      <c r="C84" s="48">
        <f t="array" aca="1" ref="C84" ca="1">MAX(0,ROUND(Inputs!$B$10*Inputs!$B$11+NORMSINV(B84)*SQRT(Inputs!$B$10*Inputs!$B$11),0))</f>
        <v>493</v>
      </c>
      <c r="D84" s="52">
        <f ca="1">C84*Inputs!$B$12</f>
        <v>59160000</v>
      </c>
    </row>
    <row r="85" spans="1:4" ht="13.5" customHeight="1" x14ac:dyDescent="0.3">
      <c r="A85" s="46">
        <v>81</v>
      </c>
      <c r="B85" s="47">
        <f t="shared" ca="1" si="1"/>
        <v>0.49406697647869657</v>
      </c>
      <c r="C85" s="48">
        <f t="array" aca="1" ref="C85" ca="1">MAX(0,ROUND(Inputs!$B$10*Inputs!$B$11+NORMSINV(B85)*SQRT(Inputs!$B$10*Inputs!$B$11),0))</f>
        <v>500</v>
      </c>
      <c r="D85" s="49">
        <f ca="1">C85*Inputs!$B$12</f>
        <v>60000000</v>
      </c>
    </row>
    <row r="86" spans="1:4" ht="13.5" customHeight="1" x14ac:dyDescent="0.3">
      <c r="A86" s="50">
        <v>82</v>
      </c>
      <c r="B86" s="51">
        <f t="shared" ca="1" si="1"/>
        <v>0.93209121042801302</v>
      </c>
      <c r="C86" s="48">
        <f t="array" aca="1" ref="C86" ca="1">MAX(0,ROUND(Inputs!$B$10*Inputs!$B$11+NORMSINV(B86)*SQRT(Inputs!$B$10*Inputs!$B$11),0))</f>
        <v>533</v>
      </c>
      <c r="D86" s="52">
        <f ca="1">C86*Inputs!$B$12</f>
        <v>63960000</v>
      </c>
    </row>
    <row r="87" spans="1:4" ht="13.5" customHeight="1" x14ac:dyDescent="0.3">
      <c r="A87" s="46">
        <v>83</v>
      </c>
      <c r="B87" s="47">
        <f t="shared" ca="1" si="1"/>
        <v>3.2472653145643737E-2</v>
      </c>
      <c r="C87" s="48">
        <f t="array" aca="1" ref="C87" ca="1">MAX(0,ROUND(Inputs!$B$10*Inputs!$B$11+NORMSINV(B87)*SQRT(Inputs!$B$10*Inputs!$B$11),0))</f>
        <v>459</v>
      </c>
      <c r="D87" s="49">
        <f ca="1">C87*Inputs!$B$12</f>
        <v>55080000</v>
      </c>
    </row>
    <row r="88" spans="1:4" ht="13.5" customHeight="1" x14ac:dyDescent="0.3">
      <c r="A88" s="50">
        <v>84</v>
      </c>
      <c r="B88" s="51">
        <f t="shared" ca="1" si="1"/>
        <v>0.67521094929109493</v>
      </c>
      <c r="C88" s="48">
        <f t="array" aca="1" ref="C88" ca="1">MAX(0,ROUND(Inputs!$B$10*Inputs!$B$11+NORMSINV(B88)*SQRT(Inputs!$B$10*Inputs!$B$11),0))</f>
        <v>510</v>
      </c>
      <c r="D88" s="52">
        <f ca="1">C88*Inputs!$B$12</f>
        <v>61200000</v>
      </c>
    </row>
    <row r="89" spans="1:4" ht="13.5" customHeight="1" x14ac:dyDescent="0.3">
      <c r="A89" s="46">
        <v>85</v>
      </c>
      <c r="B89" s="47">
        <f t="shared" ca="1" si="1"/>
        <v>0.46515136542576208</v>
      </c>
      <c r="C89" s="48">
        <f t="array" aca="1" ref="C89" ca="1">MAX(0,ROUND(Inputs!$B$10*Inputs!$B$11+NORMSINV(B89)*SQRT(Inputs!$B$10*Inputs!$B$11),0))</f>
        <v>498</v>
      </c>
      <c r="D89" s="49">
        <f ca="1">C89*Inputs!$B$12</f>
        <v>59760000</v>
      </c>
    </row>
    <row r="90" spans="1:4" ht="13.5" customHeight="1" x14ac:dyDescent="0.3">
      <c r="A90" s="50">
        <v>86</v>
      </c>
      <c r="B90" s="51">
        <f t="shared" ca="1" si="1"/>
        <v>0.61509538498875316</v>
      </c>
      <c r="C90" s="48">
        <f t="array" aca="1" ref="C90" ca="1">MAX(0,ROUND(Inputs!$B$10*Inputs!$B$11+NORMSINV(B90)*SQRT(Inputs!$B$10*Inputs!$B$11),0))</f>
        <v>507</v>
      </c>
      <c r="D90" s="52">
        <f ca="1">C90*Inputs!$B$12</f>
        <v>60840000</v>
      </c>
    </row>
    <row r="91" spans="1:4" ht="13.5" customHeight="1" x14ac:dyDescent="0.3">
      <c r="A91" s="46">
        <v>87</v>
      </c>
      <c r="B91" s="47">
        <f t="shared" ca="1" si="1"/>
        <v>0.82083931045358149</v>
      </c>
      <c r="C91" s="48">
        <f t="array" aca="1" ref="C91" ca="1">MAX(0,ROUND(Inputs!$B$10*Inputs!$B$11+NORMSINV(B91)*SQRT(Inputs!$B$10*Inputs!$B$11),0))</f>
        <v>521</v>
      </c>
      <c r="D91" s="49">
        <f ca="1">C91*Inputs!$B$12</f>
        <v>62520000</v>
      </c>
    </row>
    <row r="92" spans="1:4" ht="13.5" customHeight="1" x14ac:dyDescent="0.3">
      <c r="A92" s="50">
        <v>88</v>
      </c>
      <c r="B92" s="51">
        <f t="shared" ca="1" si="1"/>
        <v>0.74724451614265541</v>
      </c>
      <c r="C92" s="48">
        <f t="array" aca="1" ref="C92" ca="1">MAX(0,ROUND(Inputs!$B$10*Inputs!$B$11+NORMSINV(B92)*SQRT(Inputs!$B$10*Inputs!$B$11),0))</f>
        <v>515</v>
      </c>
      <c r="D92" s="52">
        <f ca="1">C92*Inputs!$B$12</f>
        <v>61800000</v>
      </c>
    </row>
    <row r="93" spans="1:4" ht="13.5" customHeight="1" x14ac:dyDescent="0.3">
      <c r="A93" s="46">
        <v>89</v>
      </c>
      <c r="B93" s="47">
        <f t="shared" ca="1" si="1"/>
        <v>0.71303829735564461</v>
      </c>
      <c r="C93" s="48">
        <f t="array" aca="1" ref="C93" ca="1">MAX(0,ROUND(Inputs!$B$10*Inputs!$B$11+NORMSINV(B93)*SQRT(Inputs!$B$10*Inputs!$B$11),0))</f>
        <v>513</v>
      </c>
      <c r="D93" s="49">
        <f ca="1">C93*Inputs!$B$12</f>
        <v>61560000</v>
      </c>
    </row>
    <row r="94" spans="1:4" ht="13.5" customHeight="1" x14ac:dyDescent="0.3">
      <c r="A94" s="50">
        <v>90</v>
      </c>
      <c r="B94" s="51">
        <f t="shared" ca="1" si="1"/>
        <v>0.96465123570238065</v>
      </c>
      <c r="C94" s="48">
        <f t="array" aca="1" ref="C94" ca="1">MAX(0,ROUND(Inputs!$B$10*Inputs!$B$11+NORMSINV(B94)*SQRT(Inputs!$B$10*Inputs!$B$11),0))</f>
        <v>540</v>
      </c>
      <c r="D94" s="52">
        <f ca="1">C94*Inputs!$B$12</f>
        <v>64800000</v>
      </c>
    </row>
    <row r="95" spans="1:4" ht="13.5" customHeight="1" x14ac:dyDescent="0.3">
      <c r="A95" s="46">
        <v>91</v>
      </c>
      <c r="B95" s="47">
        <f t="shared" ca="1" si="1"/>
        <v>0.66942870874946692</v>
      </c>
      <c r="C95" s="48">
        <f t="array" aca="1" ref="C95" ca="1">MAX(0,ROUND(Inputs!$B$10*Inputs!$B$11+NORMSINV(B95)*SQRT(Inputs!$B$10*Inputs!$B$11),0))</f>
        <v>510</v>
      </c>
      <c r="D95" s="49">
        <f ca="1">C95*Inputs!$B$12</f>
        <v>61200000</v>
      </c>
    </row>
    <row r="96" spans="1:4" ht="13.5" customHeight="1" x14ac:dyDescent="0.3">
      <c r="A96" s="50">
        <v>92</v>
      </c>
      <c r="B96" s="51">
        <f t="shared" ca="1" si="1"/>
        <v>0.1765992688335809</v>
      </c>
      <c r="C96" s="48">
        <f t="array" aca="1" ref="C96" ca="1">MAX(0,ROUND(Inputs!$B$10*Inputs!$B$11+NORMSINV(B96)*SQRT(Inputs!$B$10*Inputs!$B$11),0))</f>
        <v>479</v>
      </c>
      <c r="D96" s="52">
        <f ca="1">C96*Inputs!$B$12</f>
        <v>57480000</v>
      </c>
    </row>
    <row r="97" spans="1:4" ht="13.5" customHeight="1" x14ac:dyDescent="0.3">
      <c r="A97" s="46">
        <v>93</v>
      </c>
      <c r="B97" s="47">
        <f t="shared" ca="1" si="1"/>
        <v>0.34767993503088956</v>
      </c>
      <c r="C97" s="48">
        <f t="array" aca="1" ref="C97" ca="1">MAX(0,ROUND(Inputs!$B$10*Inputs!$B$11+NORMSINV(B97)*SQRT(Inputs!$B$10*Inputs!$B$11),0))</f>
        <v>491</v>
      </c>
      <c r="D97" s="49">
        <f ca="1">C97*Inputs!$B$12</f>
        <v>58920000</v>
      </c>
    </row>
    <row r="98" spans="1:4" ht="13.5" customHeight="1" x14ac:dyDescent="0.3">
      <c r="A98" s="50">
        <v>94</v>
      </c>
      <c r="B98" s="51">
        <f t="shared" ca="1" si="1"/>
        <v>0.72540112065291196</v>
      </c>
      <c r="C98" s="48">
        <f t="array" aca="1" ref="C98" ca="1">MAX(0,ROUND(Inputs!$B$10*Inputs!$B$11+NORMSINV(B98)*SQRT(Inputs!$B$10*Inputs!$B$11),0))</f>
        <v>513</v>
      </c>
      <c r="D98" s="52">
        <f ca="1">C98*Inputs!$B$12</f>
        <v>61560000</v>
      </c>
    </row>
    <row r="99" spans="1:4" ht="13.5" customHeight="1" x14ac:dyDescent="0.3">
      <c r="A99" s="46">
        <v>95</v>
      </c>
      <c r="B99" s="47">
        <f t="shared" ca="1" si="1"/>
        <v>0.2652521305395924</v>
      </c>
      <c r="C99" s="48">
        <f t="array" aca="1" ref="C99" ca="1">MAX(0,ROUND(Inputs!$B$10*Inputs!$B$11+NORMSINV(B99)*SQRT(Inputs!$B$10*Inputs!$B$11),0))</f>
        <v>486</v>
      </c>
      <c r="D99" s="49">
        <f ca="1">C99*Inputs!$B$12</f>
        <v>58320000</v>
      </c>
    </row>
    <row r="100" spans="1:4" ht="13.5" customHeight="1" x14ac:dyDescent="0.3">
      <c r="A100" s="50">
        <v>96</v>
      </c>
      <c r="B100" s="51">
        <f t="shared" ca="1" si="1"/>
        <v>0.86524113587150742</v>
      </c>
      <c r="C100" s="48">
        <f t="array" aca="1" ref="C100" ca="1">MAX(0,ROUND(Inputs!$B$10*Inputs!$B$11+NORMSINV(B100)*SQRT(Inputs!$B$10*Inputs!$B$11),0))</f>
        <v>525</v>
      </c>
      <c r="D100" s="52">
        <f ca="1">C100*Inputs!$B$12</f>
        <v>63000000</v>
      </c>
    </row>
    <row r="101" spans="1:4" ht="13.5" customHeight="1" x14ac:dyDescent="0.3">
      <c r="A101" s="46">
        <v>97</v>
      </c>
      <c r="B101" s="47">
        <f t="shared" ca="1" si="1"/>
        <v>0.1256446605459669</v>
      </c>
      <c r="C101" s="48">
        <f t="array" aca="1" ref="C101" ca="1">MAX(0,ROUND(Inputs!$B$10*Inputs!$B$11+NORMSINV(B101)*SQRT(Inputs!$B$10*Inputs!$B$11),0))</f>
        <v>474</v>
      </c>
      <c r="D101" s="49">
        <f ca="1">C101*Inputs!$B$12</f>
        <v>56880000</v>
      </c>
    </row>
    <row r="102" spans="1:4" ht="13.5" customHeight="1" x14ac:dyDescent="0.3">
      <c r="A102" s="50">
        <v>98</v>
      </c>
      <c r="B102" s="51">
        <f t="shared" ca="1" si="1"/>
        <v>0.67247796778831925</v>
      </c>
      <c r="C102" s="48">
        <f t="array" aca="1" ref="C102" ca="1">MAX(0,ROUND(Inputs!$B$10*Inputs!$B$11+NORMSINV(B102)*SQRT(Inputs!$B$10*Inputs!$B$11),0))</f>
        <v>510</v>
      </c>
      <c r="D102" s="52">
        <f ca="1">C102*Inputs!$B$12</f>
        <v>61200000</v>
      </c>
    </row>
    <row r="103" spans="1:4" ht="13.5" customHeight="1" x14ac:dyDescent="0.3">
      <c r="A103" s="46">
        <v>99</v>
      </c>
      <c r="B103" s="47">
        <f t="shared" ca="1" si="1"/>
        <v>0.25128907448792281</v>
      </c>
      <c r="C103" s="48">
        <f t="array" aca="1" ref="C103" ca="1">MAX(0,ROUND(Inputs!$B$10*Inputs!$B$11+NORMSINV(B103)*SQRT(Inputs!$B$10*Inputs!$B$11),0))</f>
        <v>485</v>
      </c>
      <c r="D103" s="49">
        <f ca="1">C103*Inputs!$B$12</f>
        <v>58200000</v>
      </c>
    </row>
    <row r="104" spans="1:4" ht="13.5" customHeight="1" x14ac:dyDescent="0.3">
      <c r="A104" s="50">
        <v>100</v>
      </c>
      <c r="B104" s="51">
        <f t="shared" ca="1" si="1"/>
        <v>0.1313876313279444</v>
      </c>
      <c r="C104" s="48">
        <f t="array" aca="1" ref="C104" ca="1">MAX(0,ROUND(Inputs!$B$10*Inputs!$B$11+NORMSINV(B104)*SQRT(Inputs!$B$10*Inputs!$B$11),0))</f>
        <v>475</v>
      </c>
      <c r="D104" s="52">
        <f ca="1">C104*Inputs!$B$12</f>
        <v>57000000</v>
      </c>
    </row>
    <row r="105" spans="1:4" ht="13.5" customHeight="1" x14ac:dyDescent="0.3">
      <c r="A105" s="46">
        <v>101</v>
      </c>
      <c r="B105" s="47">
        <f t="shared" ca="1" si="1"/>
        <v>0.48065857706410886</v>
      </c>
      <c r="C105" s="48">
        <f t="array" aca="1" ref="C105" ca="1">MAX(0,ROUND(Inputs!$B$10*Inputs!$B$11+NORMSINV(B105)*SQRT(Inputs!$B$10*Inputs!$B$11),0))</f>
        <v>499</v>
      </c>
      <c r="D105" s="49">
        <f ca="1">C105*Inputs!$B$12</f>
        <v>59880000</v>
      </c>
    </row>
    <row r="106" spans="1:4" ht="13.5" customHeight="1" x14ac:dyDescent="0.3">
      <c r="A106" s="50">
        <v>102</v>
      </c>
      <c r="B106" s="51">
        <f t="shared" ca="1" si="1"/>
        <v>0.35978111861358208</v>
      </c>
      <c r="C106" s="48">
        <f t="array" aca="1" ref="C106" ca="1">MAX(0,ROUND(Inputs!$B$10*Inputs!$B$11+NORMSINV(B106)*SQRT(Inputs!$B$10*Inputs!$B$11),0))</f>
        <v>492</v>
      </c>
      <c r="D106" s="52">
        <f ca="1">C106*Inputs!$B$12</f>
        <v>59040000</v>
      </c>
    </row>
    <row r="107" spans="1:4" ht="13.5" customHeight="1" x14ac:dyDescent="0.3">
      <c r="A107" s="46">
        <v>103</v>
      </c>
      <c r="B107" s="47">
        <f t="shared" ca="1" si="1"/>
        <v>0.24878523137496267</v>
      </c>
      <c r="C107" s="48">
        <f t="array" aca="1" ref="C107" ca="1">MAX(0,ROUND(Inputs!$B$10*Inputs!$B$11+NORMSINV(B107)*SQRT(Inputs!$B$10*Inputs!$B$11),0))</f>
        <v>485</v>
      </c>
      <c r="D107" s="49">
        <f ca="1">C107*Inputs!$B$12</f>
        <v>58200000</v>
      </c>
    </row>
    <row r="108" spans="1:4" ht="13.5" customHeight="1" x14ac:dyDescent="0.3">
      <c r="A108" s="50">
        <v>104</v>
      </c>
      <c r="B108" s="51">
        <f t="shared" ca="1" si="1"/>
        <v>0.60707945236601546</v>
      </c>
      <c r="C108" s="48">
        <f t="array" aca="1" ref="C108" ca="1">MAX(0,ROUND(Inputs!$B$10*Inputs!$B$11+NORMSINV(B108)*SQRT(Inputs!$B$10*Inputs!$B$11),0))</f>
        <v>506</v>
      </c>
      <c r="D108" s="52">
        <f ca="1">C108*Inputs!$B$12</f>
        <v>60720000</v>
      </c>
    </row>
    <row r="109" spans="1:4" ht="13.5" customHeight="1" x14ac:dyDescent="0.3">
      <c r="A109" s="46">
        <v>105</v>
      </c>
      <c r="B109" s="47">
        <f t="shared" ca="1" si="1"/>
        <v>0.88951711192475202</v>
      </c>
      <c r="C109" s="48">
        <f t="array" aca="1" ref="C109" ca="1">MAX(0,ROUND(Inputs!$B$10*Inputs!$B$11+NORMSINV(B109)*SQRT(Inputs!$B$10*Inputs!$B$11),0))</f>
        <v>527</v>
      </c>
      <c r="D109" s="49">
        <f ca="1">C109*Inputs!$B$12</f>
        <v>63240000</v>
      </c>
    </row>
    <row r="110" spans="1:4" ht="13.5" customHeight="1" x14ac:dyDescent="0.3">
      <c r="A110" s="50">
        <v>106</v>
      </c>
      <c r="B110" s="51">
        <f t="shared" ca="1" si="1"/>
        <v>0.3656625010557184</v>
      </c>
      <c r="C110" s="48">
        <f t="array" aca="1" ref="C110" ca="1">MAX(0,ROUND(Inputs!$B$10*Inputs!$B$11+NORMSINV(B110)*SQRT(Inputs!$B$10*Inputs!$B$11),0))</f>
        <v>492</v>
      </c>
      <c r="D110" s="52">
        <f ca="1">C110*Inputs!$B$12</f>
        <v>59040000</v>
      </c>
    </row>
    <row r="111" spans="1:4" ht="13.5" customHeight="1" x14ac:dyDescent="0.3">
      <c r="A111" s="46">
        <v>107</v>
      </c>
      <c r="B111" s="47">
        <f t="shared" ca="1" si="1"/>
        <v>0.81654634066487985</v>
      </c>
      <c r="C111" s="48">
        <f t="array" aca="1" ref="C111" ca="1">MAX(0,ROUND(Inputs!$B$10*Inputs!$B$11+NORMSINV(B111)*SQRT(Inputs!$B$10*Inputs!$B$11),0))</f>
        <v>520</v>
      </c>
      <c r="D111" s="49">
        <f ca="1">C111*Inputs!$B$12</f>
        <v>62400000</v>
      </c>
    </row>
    <row r="112" spans="1:4" ht="13.5" customHeight="1" x14ac:dyDescent="0.3">
      <c r="A112" s="50">
        <v>108</v>
      </c>
      <c r="B112" s="51">
        <f t="shared" ca="1" si="1"/>
        <v>0.137910285233106</v>
      </c>
      <c r="C112" s="48">
        <f t="array" aca="1" ref="C112" ca="1">MAX(0,ROUND(Inputs!$B$10*Inputs!$B$11+NORMSINV(B112)*SQRT(Inputs!$B$10*Inputs!$B$11),0))</f>
        <v>476</v>
      </c>
      <c r="D112" s="52">
        <f ca="1">C112*Inputs!$B$12</f>
        <v>57120000</v>
      </c>
    </row>
    <row r="113" spans="1:4" ht="13.5" customHeight="1" x14ac:dyDescent="0.3">
      <c r="A113" s="46">
        <v>109</v>
      </c>
      <c r="B113" s="47">
        <f t="shared" ca="1" si="1"/>
        <v>0.61147508640431092</v>
      </c>
      <c r="C113" s="48">
        <f t="array" aca="1" ref="C113" ca="1">MAX(0,ROUND(Inputs!$B$10*Inputs!$B$11+NORMSINV(B113)*SQRT(Inputs!$B$10*Inputs!$B$11),0))</f>
        <v>506</v>
      </c>
      <c r="D113" s="49">
        <f ca="1">C113*Inputs!$B$12</f>
        <v>60720000</v>
      </c>
    </row>
    <row r="114" spans="1:4" ht="13.5" customHeight="1" x14ac:dyDescent="0.3">
      <c r="A114" s="50">
        <v>110</v>
      </c>
      <c r="B114" s="51">
        <f t="shared" ca="1" si="1"/>
        <v>0.99549667669242015</v>
      </c>
      <c r="C114" s="48">
        <f t="array" aca="1" ref="C114" ca="1">MAX(0,ROUND(Inputs!$B$10*Inputs!$B$11+NORMSINV(B114)*SQRT(Inputs!$B$10*Inputs!$B$11),0))</f>
        <v>558</v>
      </c>
      <c r="D114" s="52">
        <f ca="1">C114*Inputs!$B$12</f>
        <v>66960000</v>
      </c>
    </row>
    <row r="115" spans="1:4" ht="13.5" customHeight="1" x14ac:dyDescent="0.3">
      <c r="A115" s="46">
        <v>111</v>
      </c>
      <c r="B115" s="47">
        <f t="shared" ca="1" si="1"/>
        <v>0.22032820188970226</v>
      </c>
      <c r="C115" s="48">
        <f t="array" aca="1" ref="C115" ca="1">MAX(0,ROUND(Inputs!$B$10*Inputs!$B$11+NORMSINV(B115)*SQRT(Inputs!$B$10*Inputs!$B$11),0))</f>
        <v>483</v>
      </c>
      <c r="D115" s="49">
        <f ca="1">C115*Inputs!$B$12</f>
        <v>57960000</v>
      </c>
    </row>
    <row r="116" spans="1:4" ht="13.5" customHeight="1" x14ac:dyDescent="0.3">
      <c r="A116" s="50">
        <v>112</v>
      </c>
      <c r="B116" s="51">
        <f t="shared" ca="1" si="1"/>
        <v>0.89785389979629271</v>
      </c>
      <c r="C116" s="48">
        <f t="array" aca="1" ref="C116" ca="1">MAX(0,ROUND(Inputs!$B$10*Inputs!$B$11+NORMSINV(B116)*SQRT(Inputs!$B$10*Inputs!$B$11),0))</f>
        <v>528</v>
      </c>
      <c r="D116" s="52">
        <f ca="1">C116*Inputs!$B$12</f>
        <v>63360000</v>
      </c>
    </row>
    <row r="117" spans="1:4" ht="13.5" customHeight="1" x14ac:dyDescent="0.3">
      <c r="A117" s="46">
        <v>113</v>
      </c>
      <c r="B117" s="47">
        <f t="shared" ca="1" si="1"/>
        <v>0.87427051358398378</v>
      </c>
      <c r="C117" s="48">
        <f t="array" aca="1" ref="C117" ca="1">MAX(0,ROUND(Inputs!$B$10*Inputs!$B$11+NORMSINV(B117)*SQRT(Inputs!$B$10*Inputs!$B$11),0))</f>
        <v>526</v>
      </c>
      <c r="D117" s="49">
        <f ca="1">C117*Inputs!$B$12</f>
        <v>63120000</v>
      </c>
    </row>
    <row r="118" spans="1:4" ht="13.5" customHeight="1" x14ac:dyDescent="0.3">
      <c r="A118" s="50">
        <v>114</v>
      </c>
      <c r="B118" s="51">
        <f t="shared" ca="1" si="1"/>
        <v>0.67941087718962834</v>
      </c>
      <c r="C118" s="48">
        <f t="array" aca="1" ref="C118" ca="1">MAX(0,ROUND(Inputs!$B$10*Inputs!$B$11+NORMSINV(B118)*SQRT(Inputs!$B$10*Inputs!$B$11),0))</f>
        <v>510</v>
      </c>
      <c r="D118" s="52">
        <f ca="1">C118*Inputs!$B$12</f>
        <v>61200000</v>
      </c>
    </row>
    <row r="119" spans="1:4" ht="13.5" customHeight="1" x14ac:dyDescent="0.3">
      <c r="A119" s="46">
        <v>115</v>
      </c>
      <c r="B119" s="47">
        <f t="shared" ca="1" si="1"/>
        <v>0.52991200622980961</v>
      </c>
      <c r="C119" s="48">
        <f t="array" aca="1" ref="C119" ca="1">MAX(0,ROUND(Inputs!$B$10*Inputs!$B$11+NORMSINV(B119)*SQRT(Inputs!$B$10*Inputs!$B$11),0))</f>
        <v>502</v>
      </c>
      <c r="D119" s="49">
        <f ca="1">C119*Inputs!$B$12</f>
        <v>60240000</v>
      </c>
    </row>
    <row r="120" spans="1:4" ht="13.5" customHeight="1" x14ac:dyDescent="0.3">
      <c r="A120" s="50">
        <v>116</v>
      </c>
      <c r="B120" s="51">
        <f t="shared" ca="1" si="1"/>
        <v>0.44685829309651959</v>
      </c>
      <c r="C120" s="48">
        <f t="array" aca="1" ref="C120" ca="1">MAX(0,ROUND(Inputs!$B$10*Inputs!$B$11+NORMSINV(B120)*SQRT(Inputs!$B$10*Inputs!$B$11),0))</f>
        <v>497</v>
      </c>
      <c r="D120" s="52">
        <f ca="1">C120*Inputs!$B$12</f>
        <v>59640000</v>
      </c>
    </row>
    <row r="121" spans="1:4" ht="13.5" customHeight="1" x14ac:dyDescent="0.3">
      <c r="A121" s="46">
        <v>117</v>
      </c>
      <c r="B121" s="47">
        <f t="shared" ca="1" si="1"/>
        <v>0.99002852950657272</v>
      </c>
      <c r="C121" s="48">
        <f t="array" aca="1" ref="C121" ca="1">MAX(0,ROUND(Inputs!$B$10*Inputs!$B$11+NORMSINV(B121)*SQRT(Inputs!$B$10*Inputs!$B$11),0))</f>
        <v>552</v>
      </c>
      <c r="D121" s="49">
        <f ca="1">C121*Inputs!$B$12</f>
        <v>66240000</v>
      </c>
    </row>
    <row r="122" spans="1:4" ht="13.5" customHeight="1" x14ac:dyDescent="0.3">
      <c r="A122" s="50">
        <v>118</v>
      </c>
      <c r="B122" s="51">
        <f t="shared" ca="1" si="1"/>
        <v>0.48305537670296161</v>
      </c>
      <c r="C122" s="48">
        <f t="array" aca="1" ref="C122" ca="1">MAX(0,ROUND(Inputs!$B$10*Inputs!$B$11+NORMSINV(B122)*SQRT(Inputs!$B$10*Inputs!$B$11),0))</f>
        <v>499</v>
      </c>
      <c r="D122" s="52">
        <f ca="1">C122*Inputs!$B$12</f>
        <v>59880000</v>
      </c>
    </row>
    <row r="123" spans="1:4" ht="13.5" customHeight="1" x14ac:dyDescent="0.3">
      <c r="A123" s="46">
        <v>119</v>
      </c>
      <c r="B123" s="47">
        <f t="shared" ca="1" si="1"/>
        <v>0.72297271944419217</v>
      </c>
      <c r="C123" s="48">
        <f t="array" aca="1" ref="C123" ca="1">MAX(0,ROUND(Inputs!$B$10*Inputs!$B$11+NORMSINV(B123)*SQRT(Inputs!$B$10*Inputs!$B$11),0))</f>
        <v>513</v>
      </c>
      <c r="D123" s="49">
        <f ca="1">C123*Inputs!$B$12</f>
        <v>61560000</v>
      </c>
    </row>
    <row r="124" spans="1:4" ht="13.5" customHeight="1" x14ac:dyDescent="0.3">
      <c r="A124" s="50">
        <v>120</v>
      </c>
      <c r="B124" s="51">
        <f t="shared" ca="1" si="1"/>
        <v>0.76883416425998308</v>
      </c>
      <c r="C124" s="48">
        <f t="array" aca="1" ref="C124" ca="1">MAX(0,ROUND(Inputs!$B$10*Inputs!$B$11+NORMSINV(B124)*SQRT(Inputs!$B$10*Inputs!$B$11),0))</f>
        <v>516</v>
      </c>
      <c r="D124" s="52">
        <f ca="1">C124*Inputs!$B$12</f>
        <v>61920000</v>
      </c>
    </row>
    <row r="125" spans="1:4" ht="13.5" customHeight="1" x14ac:dyDescent="0.3">
      <c r="A125" s="46">
        <v>121</v>
      </c>
      <c r="B125" s="47">
        <f t="shared" ca="1" si="1"/>
        <v>0.31994622453975663</v>
      </c>
      <c r="C125" s="48">
        <f t="array" aca="1" ref="C125" ca="1">MAX(0,ROUND(Inputs!$B$10*Inputs!$B$11+NORMSINV(B125)*SQRT(Inputs!$B$10*Inputs!$B$11),0))</f>
        <v>490</v>
      </c>
      <c r="D125" s="49">
        <f ca="1">C125*Inputs!$B$12</f>
        <v>58800000</v>
      </c>
    </row>
    <row r="126" spans="1:4" ht="13.5" customHeight="1" x14ac:dyDescent="0.3">
      <c r="A126" s="50">
        <v>122</v>
      </c>
      <c r="B126" s="51">
        <f t="shared" ca="1" si="1"/>
        <v>0.7414483734668168</v>
      </c>
      <c r="C126" s="48">
        <f t="array" aca="1" ref="C126" ca="1">MAX(0,ROUND(Inputs!$B$10*Inputs!$B$11+NORMSINV(B126)*SQRT(Inputs!$B$10*Inputs!$B$11),0))</f>
        <v>514</v>
      </c>
      <c r="D126" s="52">
        <f ca="1">C126*Inputs!$B$12</f>
        <v>61680000</v>
      </c>
    </row>
    <row r="127" spans="1:4" ht="13.5" customHeight="1" x14ac:dyDescent="0.3">
      <c r="A127" s="46">
        <v>123</v>
      </c>
      <c r="B127" s="47">
        <f t="shared" ca="1" si="1"/>
        <v>0.7778940406503132</v>
      </c>
      <c r="C127" s="48">
        <f t="array" aca="1" ref="C127" ca="1">MAX(0,ROUND(Inputs!$B$10*Inputs!$B$11+NORMSINV(B127)*SQRT(Inputs!$B$10*Inputs!$B$11),0))</f>
        <v>517</v>
      </c>
      <c r="D127" s="49">
        <f ca="1">C127*Inputs!$B$12</f>
        <v>62040000</v>
      </c>
    </row>
    <row r="128" spans="1:4" ht="13.5" customHeight="1" x14ac:dyDescent="0.3">
      <c r="A128" s="50">
        <v>124</v>
      </c>
      <c r="B128" s="51">
        <f t="shared" ca="1" si="1"/>
        <v>3.1890243875963842E-3</v>
      </c>
      <c r="C128" s="48">
        <f t="array" aca="1" ref="C128" ca="1">MAX(0,ROUND(Inputs!$B$10*Inputs!$B$11+NORMSINV(B128)*SQRT(Inputs!$B$10*Inputs!$B$11),0))</f>
        <v>439</v>
      </c>
      <c r="D128" s="52">
        <f ca="1">C128*Inputs!$B$12</f>
        <v>52680000</v>
      </c>
    </row>
    <row r="129" spans="1:4" ht="13.5" customHeight="1" x14ac:dyDescent="0.3">
      <c r="A129" s="46">
        <v>125</v>
      </c>
      <c r="B129" s="47">
        <f t="shared" ca="1" si="1"/>
        <v>0.76778973462785272</v>
      </c>
      <c r="C129" s="48">
        <f t="array" aca="1" ref="C129" ca="1">MAX(0,ROUND(Inputs!$B$10*Inputs!$B$11+NORMSINV(B129)*SQRT(Inputs!$B$10*Inputs!$B$11),0))</f>
        <v>516</v>
      </c>
      <c r="D129" s="49">
        <f ca="1">C129*Inputs!$B$12</f>
        <v>61920000</v>
      </c>
    </row>
    <row r="130" spans="1:4" ht="13.5" customHeight="1" x14ac:dyDescent="0.3">
      <c r="A130" s="50">
        <v>126</v>
      </c>
      <c r="B130" s="51">
        <f t="shared" ca="1" si="1"/>
        <v>1.0146981655121401E-2</v>
      </c>
      <c r="C130" s="48">
        <f t="array" aca="1" ref="C130" ca="1">MAX(0,ROUND(Inputs!$B$10*Inputs!$B$11+NORMSINV(B130)*SQRT(Inputs!$B$10*Inputs!$B$11),0))</f>
        <v>448</v>
      </c>
      <c r="D130" s="52">
        <f ca="1">C130*Inputs!$B$12</f>
        <v>53760000</v>
      </c>
    </row>
    <row r="131" spans="1:4" ht="13.5" customHeight="1" x14ac:dyDescent="0.3">
      <c r="A131" s="46">
        <v>127</v>
      </c>
      <c r="B131" s="47">
        <f t="shared" ca="1" si="1"/>
        <v>0.37614764731112538</v>
      </c>
      <c r="C131" s="48">
        <f t="array" aca="1" ref="C131" ca="1">MAX(0,ROUND(Inputs!$B$10*Inputs!$B$11+NORMSINV(B131)*SQRT(Inputs!$B$10*Inputs!$B$11),0))</f>
        <v>493</v>
      </c>
      <c r="D131" s="49">
        <f ca="1">C131*Inputs!$B$12</f>
        <v>59160000</v>
      </c>
    </row>
    <row r="132" spans="1:4" ht="13.5" customHeight="1" x14ac:dyDescent="0.3">
      <c r="A132" s="50">
        <v>128</v>
      </c>
      <c r="B132" s="51">
        <f t="shared" ca="1" si="1"/>
        <v>0.97959537092581528</v>
      </c>
      <c r="C132" s="48">
        <f t="array" aca="1" ref="C132" ca="1">MAX(0,ROUND(Inputs!$B$10*Inputs!$B$11+NORMSINV(B132)*SQRT(Inputs!$B$10*Inputs!$B$11),0))</f>
        <v>546</v>
      </c>
      <c r="D132" s="52">
        <f ca="1">C132*Inputs!$B$12</f>
        <v>65520000</v>
      </c>
    </row>
    <row r="133" spans="1:4" ht="13.5" customHeight="1" x14ac:dyDescent="0.3">
      <c r="A133" s="46">
        <v>129</v>
      </c>
      <c r="B133" s="47">
        <f t="shared" ref="B133:B196" ca="1" si="2">RAND()</f>
        <v>0.72084668714279843</v>
      </c>
      <c r="C133" s="48">
        <f t="array" aca="1" ref="C133" ca="1">MAX(0,ROUND(Inputs!$B$10*Inputs!$B$11+NORMSINV(B133)*SQRT(Inputs!$B$10*Inputs!$B$11),0))</f>
        <v>513</v>
      </c>
      <c r="D133" s="49">
        <f ca="1">C133*Inputs!$B$12</f>
        <v>61560000</v>
      </c>
    </row>
    <row r="134" spans="1:4" ht="13.5" customHeight="1" x14ac:dyDescent="0.3">
      <c r="A134" s="50">
        <v>130</v>
      </c>
      <c r="B134" s="51">
        <f t="shared" ca="1" si="2"/>
        <v>0.42262573627384825</v>
      </c>
      <c r="C134" s="48">
        <f t="array" aca="1" ref="C134" ca="1">MAX(0,ROUND(Inputs!$B$10*Inputs!$B$11+NORMSINV(B134)*SQRT(Inputs!$B$10*Inputs!$B$11),0))</f>
        <v>496</v>
      </c>
      <c r="D134" s="52">
        <f ca="1">C134*Inputs!$B$12</f>
        <v>59520000</v>
      </c>
    </row>
    <row r="135" spans="1:4" ht="13.5" customHeight="1" x14ac:dyDescent="0.3">
      <c r="A135" s="46">
        <v>131</v>
      </c>
      <c r="B135" s="47">
        <f t="shared" ca="1" si="2"/>
        <v>0.40769189399113182</v>
      </c>
      <c r="C135" s="48">
        <f t="array" aca="1" ref="C135" ca="1">MAX(0,ROUND(Inputs!$B$10*Inputs!$B$11+NORMSINV(B135)*SQRT(Inputs!$B$10*Inputs!$B$11),0))</f>
        <v>495</v>
      </c>
      <c r="D135" s="49">
        <f ca="1">C135*Inputs!$B$12</f>
        <v>59400000</v>
      </c>
    </row>
    <row r="136" spans="1:4" ht="13.5" customHeight="1" x14ac:dyDescent="0.3">
      <c r="A136" s="50">
        <v>132</v>
      </c>
      <c r="B136" s="51">
        <f t="shared" ca="1" si="2"/>
        <v>0.78737099945250943</v>
      </c>
      <c r="C136" s="48">
        <f t="array" aca="1" ref="C136" ca="1">MAX(0,ROUND(Inputs!$B$10*Inputs!$B$11+NORMSINV(B136)*SQRT(Inputs!$B$10*Inputs!$B$11),0))</f>
        <v>518</v>
      </c>
      <c r="D136" s="52">
        <f ca="1">C136*Inputs!$B$12</f>
        <v>62160000</v>
      </c>
    </row>
    <row r="137" spans="1:4" ht="13.5" customHeight="1" x14ac:dyDescent="0.3">
      <c r="A137" s="46">
        <v>133</v>
      </c>
      <c r="B137" s="47">
        <f t="shared" ca="1" si="2"/>
        <v>0.51274281313330217</v>
      </c>
      <c r="C137" s="48">
        <f t="array" aca="1" ref="C137" ca="1">MAX(0,ROUND(Inputs!$B$10*Inputs!$B$11+NORMSINV(B137)*SQRT(Inputs!$B$10*Inputs!$B$11),0))</f>
        <v>501</v>
      </c>
      <c r="D137" s="49">
        <f ca="1">C137*Inputs!$B$12</f>
        <v>60120000</v>
      </c>
    </row>
    <row r="138" spans="1:4" ht="13.5" customHeight="1" x14ac:dyDescent="0.3">
      <c r="A138" s="50">
        <v>134</v>
      </c>
      <c r="B138" s="51">
        <f t="shared" ca="1" si="2"/>
        <v>0.61268220416184416</v>
      </c>
      <c r="C138" s="48">
        <f t="array" aca="1" ref="C138" ca="1">MAX(0,ROUND(Inputs!$B$10*Inputs!$B$11+NORMSINV(B138)*SQRT(Inputs!$B$10*Inputs!$B$11),0))</f>
        <v>506</v>
      </c>
      <c r="D138" s="52">
        <f ca="1">C138*Inputs!$B$12</f>
        <v>60720000</v>
      </c>
    </row>
    <row r="139" spans="1:4" ht="13.5" customHeight="1" x14ac:dyDescent="0.3">
      <c r="A139" s="46">
        <v>135</v>
      </c>
      <c r="B139" s="47">
        <f t="shared" ca="1" si="2"/>
        <v>0.927089860078671</v>
      </c>
      <c r="C139" s="48">
        <f t="array" aca="1" ref="C139" ca="1">MAX(0,ROUND(Inputs!$B$10*Inputs!$B$11+NORMSINV(B139)*SQRT(Inputs!$B$10*Inputs!$B$11),0))</f>
        <v>533</v>
      </c>
      <c r="D139" s="49">
        <f ca="1">C139*Inputs!$B$12</f>
        <v>63960000</v>
      </c>
    </row>
    <row r="140" spans="1:4" ht="13.5" customHeight="1" x14ac:dyDescent="0.3">
      <c r="A140" s="50">
        <v>136</v>
      </c>
      <c r="B140" s="51">
        <f t="shared" ca="1" si="2"/>
        <v>0.60405618051946641</v>
      </c>
      <c r="C140" s="48">
        <f t="array" aca="1" ref="C140" ca="1">MAX(0,ROUND(Inputs!$B$10*Inputs!$B$11+NORMSINV(B140)*SQRT(Inputs!$B$10*Inputs!$B$11),0))</f>
        <v>506</v>
      </c>
      <c r="D140" s="52">
        <f ca="1">C140*Inputs!$B$12</f>
        <v>60720000</v>
      </c>
    </row>
    <row r="141" spans="1:4" ht="13.5" customHeight="1" x14ac:dyDescent="0.3">
      <c r="A141" s="46">
        <v>137</v>
      </c>
      <c r="B141" s="47">
        <f t="shared" ca="1" si="2"/>
        <v>0.22942063231795362</v>
      </c>
      <c r="C141" s="48">
        <f t="array" aca="1" ref="C141" ca="1">MAX(0,ROUND(Inputs!$B$10*Inputs!$B$11+NORMSINV(B141)*SQRT(Inputs!$B$10*Inputs!$B$11),0))</f>
        <v>483</v>
      </c>
      <c r="D141" s="49">
        <f ca="1">C141*Inputs!$B$12</f>
        <v>57960000</v>
      </c>
    </row>
    <row r="142" spans="1:4" ht="13.5" customHeight="1" x14ac:dyDescent="0.3">
      <c r="A142" s="50">
        <v>138</v>
      </c>
      <c r="B142" s="51">
        <f t="shared" ca="1" si="2"/>
        <v>0.39842162614303533</v>
      </c>
      <c r="C142" s="48">
        <f t="array" aca="1" ref="C142" ca="1">MAX(0,ROUND(Inputs!$B$10*Inputs!$B$11+NORMSINV(B142)*SQRT(Inputs!$B$10*Inputs!$B$11),0))</f>
        <v>494</v>
      </c>
      <c r="D142" s="52">
        <f ca="1">C142*Inputs!$B$12</f>
        <v>59280000</v>
      </c>
    </row>
    <row r="143" spans="1:4" ht="13.5" customHeight="1" x14ac:dyDescent="0.3">
      <c r="A143" s="46">
        <v>139</v>
      </c>
      <c r="B143" s="47">
        <f t="shared" ca="1" si="2"/>
        <v>3.3243988371360667E-2</v>
      </c>
      <c r="C143" s="48">
        <f t="array" aca="1" ref="C143" ca="1">MAX(0,ROUND(Inputs!$B$10*Inputs!$B$11+NORMSINV(B143)*SQRT(Inputs!$B$10*Inputs!$B$11),0))</f>
        <v>459</v>
      </c>
      <c r="D143" s="49">
        <f ca="1">C143*Inputs!$B$12</f>
        <v>55080000</v>
      </c>
    </row>
    <row r="144" spans="1:4" ht="13.5" customHeight="1" x14ac:dyDescent="0.3">
      <c r="A144" s="50">
        <v>140</v>
      </c>
      <c r="B144" s="51">
        <f t="shared" ca="1" si="2"/>
        <v>0.72785769017158097</v>
      </c>
      <c r="C144" s="48">
        <f t="array" aca="1" ref="C144" ca="1">MAX(0,ROUND(Inputs!$B$10*Inputs!$B$11+NORMSINV(B144)*SQRT(Inputs!$B$10*Inputs!$B$11),0))</f>
        <v>514</v>
      </c>
      <c r="D144" s="52">
        <f ca="1">C144*Inputs!$B$12</f>
        <v>61680000</v>
      </c>
    </row>
    <row r="145" spans="1:4" ht="13.5" customHeight="1" x14ac:dyDescent="0.3">
      <c r="A145" s="46">
        <v>141</v>
      </c>
      <c r="B145" s="47">
        <f t="shared" ca="1" si="2"/>
        <v>0.99339913647355105</v>
      </c>
      <c r="C145" s="48">
        <f t="array" aca="1" ref="C145" ca="1">MAX(0,ROUND(Inputs!$B$10*Inputs!$B$11+NORMSINV(B145)*SQRT(Inputs!$B$10*Inputs!$B$11),0))</f>
        <v>555</v>
      </c>
      <c r="D145" s="49">
        <f ca="1">C145*Inputs!$B$12</f>
        <v>66600000</v>
      </c>
    </row>
    <row r="146" spans="1:4" ht="13.5" customHeight="1" x14ac:dyDescent="0.3">
      <c r="A146" s="50">
        <v>142</v>
      </c>
      <c r="B146" s="51">
        <f t="shared" ca="1" si="2"/>
        <v>0.1221598301834298</v>
      </c>
      <c r="C146" s="48">
        <f t="array" aca="1" ref="C146" ca="1">MAX(0,ROUND(Inputs!$B$10*Inputs!$B$11+NORMSINV(B146)*SQRT(Inputs!$B$10*Inputs!$B$11),0))</f>
        <v>474</v>
      </c>
      <c r="D146" s="52">
        <f ca="1">C146*Inputs!$B$12</f>
        <v>56880000</v>
      </c>
    </row>
    <row r="147" spans="1:4" ht="13.5" customHeight="1" x14ac:dyDescent="0.3">
      <c r="A147" s="46">
        <v>143</v>
      </c>
      <c r="B147" s="47">
        <f t="shared" ca="1" si="2"/>
        <v>0.67418931681541672</v>
      </c>
      <c r="C147" s="48">
        <f t="array" aca="1" ref="C147" ca="1">MAX(0,ROUND(Inputs!$B$10*Inputs!$B$11+NORMSINV(B147)*SQRT(Inputs!$B$10*Inputs!$B$11),0))</f>
        <v>510</v>
      </c>
      <c r="D147" s="49">
        <f ca="1">C147*Inputs!$B$12</f>
        <v>61200000</v>
      </c>
    </row>
    <row r="148" spans="1:4" ht="13.5" customHeight="1" x14ac:dyDescent="0.3">
      <c r="A148" s="50">
        <v>144</v>
      </c>
      <c r="B148" s="51">
        <f t="shared" ca="1" si="2"/>
        <v>2.0300976091449541E-2</v>
      </c>
      <c r="C148" s="48">
        <f t="array" aca="1" ref="C148" ca="1">MAX(0,ROUND(Inputs!$B$10*Inputs!$B$11+NORMSINV(B148)*SQRT(Inputs!$B$10*Inputs!$B$11),0))</f>
        <v>454</v>
      </c>
      <c r="D148" s="52">
        <f ca="1">C148*Inputs!$B$12</f>
        <v>54480000</v>
      </c>
    </row>
    <row r="149" spans="1:4" ht="13.5" customHeight="1" x14ac:dyDescent="0.3">
      <c r="A149" s="46">
        <v>145</v>
      </c>
      <c r="B149" s="47">
        <f t="shared" ca="1" si="2"/>
        <v>0.82527787575334799</v>
      </c>
      <c r="C149" s="48">
        <f t="array" aca="1" ref="C149" ca="1">MAX(0,ROUND(Inputs!$B$10*Inputs!$B$11+NORMSINV(B149)*SQRT(Inputs!$B$10*Inputs!$B$11),0))</f>
        <v>521</v>
      </c>
      <c r="D149" s="49">
        <f ca="1">C149*Inputs!$B$12</f>
        <v>62520000</v>
      </c>
    </row>
    <row r="150" spans="1:4" ht="13.5" customHeight="1" x14ac:dyDescent="0.3">
      <c r="A150" s="50">
        <v>146</v>
      </c>
      <c r="B150" s="51">
        <f t="shared" ca="1" si="2"/>
        <v>0.95827713802349179</v>
      </c>
      <c r="C150" s="48">
        <f t="array" aca="1" ref="C150" ca="1">MAX(0,ROUND(Inputs!$B$10*Inputs!$B$11+NORMSINV(B150)*SQRT(Inputs!$B$10*Inputs!$B$11),0))</f>
        <v>539</v>
      </c>
      <c r="D150" s="52">
        <f ca="1">C150*Inputs!$B$12</f>
        <v>64680000</v>
      </c>
    </row>
    <row r="151" spans="1:4" ht="13.5" customHeight="1" x14ac:dyDescent="0.3">
      <c r="A151" s="46">
        <v>147</v>
      </c>
      <c r="B151" s="47">
        <f t="shared" ca="1" si="2"/>
        <v>0.64635350017774118</v>
      </c>
      <c r="C151" s="48">
        <f t="array" aca="1" ref="C151" ca="1">MAX(0,ROUND(Inputs!$B$10*Inputs!$B$11+NORMSINV(B151)*SQRT(Inputs!$B$10*Inputs!$B$11),0))</f>
        <v>508</v>
      </c>
      <c r="D151" s="49">
        <f ca="1">C151*Inputs!$B$12</f>
        <v>60960000</v>
      </c>
    </row>
    <row r="152" spans="1:4" ht="13.5" customHeight="1" x14ac:dyDescent="0.3">
      <c r="A152" s="50">
        <v>148</v>
      </c>
      <c r="B152" s="51">
        <f t="shared" ca="1" si="2"/>
        <v>0.18535116646446548</v>
      </c>
      <c r="C152" s="48">
        <f t="array" aca="1" ref="C152" ca="1">MAX(0,ROUND(Inputs!$B$10*Inputs!$B$11+NORMSINV(B152)*SQRT(Inputs!$B$10*Inputs!$B$11),0))</f>
        <v>480</v>
      </c>
      <c r="D152" s="52">
        <f ca="1">C152*Inputs!$B$12</f>
        <v>57600000</v>
      </c>
    </row>
    <row r="153" spans="1:4" ht="13.5" customHeight="1" x14ac:dyDescent="0.3">
      <c r="A153" s="46">
        <v>149</v>
      </c>
      <c r="B153" s="47">
        <f t="shared" ca="1" si="2"/>
        <v>0.32142131478196412</v>
      </c>
      <c r="C153" s="48">
        <f t="array" aca="1" ref="C153" ca="1">MAX(0,ROUND(Inputs!$B$10*Inputs!$B$11+NORMSINV(B153)*SQRT(Inputs!$B$10*Inputs!$B$11),0))</f>
        <v>490</v>
      </c>
      <c r="D153" s="49">
        <f ca="1">C153*Inputs!$B$12</f>
        <v>58800000</v>
      </c>
    </row>
    <row r="154" spans="1:4" ht="13.5" customHeight="1" x14ac:dyDescent="0.3">
      <c r="A154" s="50">
        <v>150</v>
      </c>
      <c r="B154" s="51">
        <f t="shared" ca="1" si="2"/>
        <v>0.1970209996218053</v>
      </c>
      <c r="C154" s="48">
        <f t="array" aca="1" ref="C154" ca="1">MAX(0,ROUND(Inputs!$B$10*Inputs!$B$11+NORMSINV(B154)*SQRT(Inputs!$B$10*Inputs!$B$11),0))</f>
        <v>481</v>
      </c>
      <c r="D154" s="52">
        <f ca="1">C154*Inputs!$B$12</f>
        <v>57720000</v>
      </c>
    </row>
    <row r="155" spans="1:4" ht="13.5" customHeight="1" x14ac:dyDescent="0.3">
      <c r="A155" s="46">
        <v>151</v>
      </c>
      <c r="B155" s="47">
        <f t="shared" ca="1" si="2"/>
        <v>0.18552472654656049</v>
      </c>
      <c r="C155" s="48">
        <f t="array" aca="1" ref="C155" ca="1">MAX(0,ROUND(Inputs!$B$10*Inputs!$B$11+NORMSINV(B155)*SQRT(Inputs!$B$10*Inputs!$B$11),0))</f>
        <v>480</v>
      </c>
      <c r="D155" s="49">
        <f ca="1">C155*Inputs!$B$12</f>
        <v>57600000</v>
      </c>
    </row>
    <row r="156" spans="1:4" ht="13.5" customHeight="1" x14ac:dyDescent="0.3">
      <c r="A156" s="50">
        <v>152</v>
      </c>
      <c r="B156" s="51">
        <f t="shared" ca="1" si="2"/>
        <v>0.38656190102939469</v>
      </c>
      <c r="C156" s="48">
        <f t="array" aca="1" ref="C156" ca="1">MAX(0,ROUND(Inputs!$B$10*Inputs!$B$11+NORMSINV(B156)*SQRT(Inputs!$B$10*Inputs!$B$11),0))</f>
        <v>494</v>
      </c>
      <c r="D156" s="52">
        <f ca="1">C156*Inputs!$B$12</f>
        <v>59280000</v>
      </c>
    </row>
    <row r="157" spans="1:4" ht="13.5" customHeight="1" x14ac:dyDescent="0.3">
      <c r="A157" s="46">
        <v>153</v>
      </c>
      <c r="B157" s="47">
        <f t="shared" ca="1" si="2"/>
        <v>0.90734589794580178</v>
      </c>
      <c r="C157" s="48">
        <f t="array" aca="1" ref="C157" ca="1">MAX(0,ROUND(Inputs!$B$10*Inputs!$B$11+NORMSINV(B157)*SQRT(Inputs!$B$10*Inputs!$B$11),0))</f>
        <v>530</v>
      </c>
      <c r="D157" s="49">
        <f ca="1">C157*Inputs!$B$12</f>
        <v>63600000</v>
      </c>
    </row>
    <row r="158" spans="1:4" ht="13.5" customHeight="1" x14ac:dyDescent="0.3">
      <c r="A158" s="50">
        <v>154</v>
      </c>
      <c r="B158" s="51">
        <f t="shared" ca="1" si="2"/>
        <v>0.21252120888333303</v>
      </c>
      <c r="C158" s="48">
        <f t="array" aca="1" ref="C158" ca="1">MAX(0,ROUND(Inputs!$B$10*Inputs!$B$11+NORMSINV(B158)*SQRT(Inputs!$B$10*Inputs!$B$11),0))</f>
        <v>482</v>
      </c>
      <c r="D158" s="52">
        <f ca="1">C158*Inputs!$B$12</f>
        <v>57840000</v>
      </c>
    </row>
    <row r="159" spans="1:4" ht="13.5" customHeight="1" x14ac:dyDescent="0.3">
      <c r="A159" s="46">
        <v>155</v>
      </c>
      <c r="B159" s="47">
        <f t="shared" ca="1" si="2"/>
        <v>0.80575645303867316</v>
      </c>
      <c r="C159" s="48">
        <f t="array" aca="1" ref="C159" ca="1">MAX(0,ROUND(Inputs!$B$10*Inputs!$B$11+NORMSINV(B159)*SQRT(Inputs!$B$10*Inputs!$B$11),0))</f>
        <v>519</v>
      </c>
      <c r="D159" s="49">
        <f ca="1">C159*Inputs!$B$12</f>
        <v>62280000</v>
      </c>
    </row>
    <row r="160" spans="1:4" ht="13.5" customHeight="1" x14ac:dyDescent="0.3">
      <c r="A160" s="50">
        <v>156</v>
      </c>
      <c r="B160" s="51">
        <f t="shared" ca="1" si="2"/>
        <v>0.6291884954424638</v>
      </c>
      <c r="C160" s="48">
        <f t="array" aca="1" ref="C160" ca="1">MAX(0,ROUND(Inputs!$B$10*Inputs!$B$11+NORMSINV(B160)*SQRT(Inputs!$B$10*Inputs!$B$11),0))</f>
        <v>507</v>
      </c>
      <c r="D160" s="52">
        <f ca="1">C160*Inputs!$B$12</f>
        <v>60840000</v>
      </c>
    </row>
    <row r="161" spans="1:4" ht="13.5" customHeight="1" x14ac:dyDescent="0.3">
      <c r="A161" s="46">
        <v>157</v>
      </c>
      <c r="B161" s="47">
        <f t="shared" ca="1" si="2"/>
        <v>0.70621210771364762</v>
      </c>
      <c r="C161" s="48">
        <f t="array" aca="1" ref="C161" ca="1">MAX(0,ROUND(Inputs!$B$10*Inputs!$B$11+NORMSINV(B161)*SQRT(Inputs!$B$10*Inputs!$B$11),0))</f>
        <v>512</v>
      </c>
      <c r="D161" s="49">
        <f ca="1">C161*Inputs!$B$12</f>
        <v>61440000</v>
      </c>
    </row>
    <row r="162" spans="1:4" ht="13.5" customHeight="1" x14ac:dyDescent="0.3">
      <c r="A162" s="50">
        <v>158</v>
      </c>
      <c r="B162" s="51">
        <f t="shared" ca="1" si="2"/>
        <v>0.35713875058243483</v>
      </c>
      <c r="C162" s="48">
        <f t="array" aca="1" ref="C162" ca="1">MAX(0,ROUND(Inputs!$B$10*Inputs!$B$11+NORMSINV(B162)*SQRT(Inputs!$B$10*Inputs!$B$11),0))</f>
        <v>492</v>
      </c>
      <c r="D162" s="52">
        <f ca="1">C162*Inputs!$B$12</f>
        <v>59040000</v>
      </c>
    </row>
    <row r="163" spans="1:4" ht="13.5" customHeight="1" x14ac:dyDescent="0.3">
      <c r="A163" s="46">
        <v>159</v>
      </c>
      <c r="B163" s="47">
        <f t="shared" ca="1" si="2"/>
        <v>0.44577876747456113</v>
      </c>
      <c r="C163" s="48">
        <f t="array" aca="1" ref="C163" ca="1">MAX(0,ROUND(Inputs!$B$10*Inputs!$B$11+NORMSINV(B163)*SQRT(Inputs!$B$10*Inputs!$B$11),0))</f>
        <v>497</v>
      </c>
      <c r="D163" s="49">
        <f ca="1">C163*Inputs!$B$12</f>
        <v>59640000</v>
      </c>
    </row>
    <row r="164" spans="1:4" ht="13.5" customHeight="1" x14ac:dyDescent="0.3">
      <c r="A164" s="50">
        <v>160</v>
      </c>
      <c r="B164" s="51">
        <f t="shared" ca="1" si="2"/>
        <v>0.61445654574465569</v>
      </c>
      <c r="C164" s="48">
        <f t="array" aca="1" ref="C164" ca="1">MAX(0,ROUND(Inputs!$B$10*Inputs!$B$11+NORMSINV(B164)*SQRT(Inputs!$B$10*Inputs!$B$11),0))</f>
        <v>507</v>
      </c>
      <c r="D164" s="52">
        <f ca="1">C164*Inputs!$B$12</f>
        <v>60840000</v>
      </c>
    </row>
    <row r="165" spans="1:4" ht="13.5" customHeight="1" x14ac:dyDescent="0.3">
      <c r="A165" s="46">
        <v>161</v>
      </c>
      <c r="B165" s="47">
        <f t="shared" ca="1" si="2"/>
        <v>0.49862169441902959</v>
      </c>
      <c r="C165" s="48">
        <f t="array" aca="1" ref="C165" ca="1">MAX(0,ROUND(Inputs!$B$10*Inputs!$B$11+NORMSINV(B165)*SQRT(Inputs!$B$10*Inputs!$B$11),0))</f>
        <v>500</v>
      </c>
      <c r="D165" s="49">
        <f ca="1">C165*Inputs!$B$12</f>
        <v>60000000</v>
      </c>
    </row>
    <row r="166" spans="1:4" ht="13.5" customHeight="1" x14ac:dyDescent="0.3">
      <c r="A166" s="50">
        <v>162</v>
      </c>
      <c r="B166" s="51">
        <f t="shared" ca="1" si="2"/>
        <v>0.46488106102493676</v>
      </c>
      <c r="C166" s="48">
        <f t="array" aca="1" ref="C166" ca="1">MAX(0,ROUND(Inputs!$B$10*Inputs!$B$11+NORMSINV(B166)*SQRT(Inputs!$B$10*Inputs!$B$11),0))</f>
        <v>498</v>
      </c>
      <c r="D166" s="52">
        <f ca="1">C166*Inputs!$B$12</f>
        <v>59760000</v>
      </c>
    </row>
    <row r="167" spans="1:4" ht="13.5" customHeight="1" x14ac:dyDescent="0.3">
      <c r="A167" s="46">
        <v>163</v>
      </c>
      <c r="B167" s="47">
        <f t="shared" ca="1" si="2"/>
        <v>1.1635155660919549E-3</v>
      </c>
      <c r="C167" s="48">
        <f t="array" aca="1" ref="C167" ca="1">MAX(0,ROUND(Inputs!$B$10*Inputs!$B$11+NORMSINV(B167)*SQRT(Inputs!$B$10*Inputs!$B$11),0))</f>
        <v>432</v>
      </c>
      <c r="D167" s="49">
        <f ca="1">C167*Inputs!$B$12</f>
        <v>51840000</v>
      </c>
    </row>
    <row r="168" spans="1:4" ht="13.5" customHeight="1" x14ac:dyDescent="0.3">
      <c r="A168" s="50">
        <v>164</v>
      </c>
      <c r="B168" s="51">
        <f t="shared" ca="1" si="2"/>
        <v>0.89207093902835388</v>
      </c>
      <c r="C168" s="48">
        <f t="array" aca="1" ref="C168" ca="1">MAX(0,ROUND(Inputs!$B$10*Inputs!$B$11+NORMSINV(B168)*SQRT(Inputs!$B$10*Inputs!$B$11),0))</f>
        <v>528</v>
      </c>
      <c r="D168" s="52">
        <f ca="1">C168*Inputs!$B$12</f>
        <v>63360000</v>
      </c>
    </row>
    <row r="169" spans="1:4" ht="13.5" customHeight="1" x14ac:dyDescent="0.3">
      <c r="A169" s="46">
        <v>165</v>
      </c>
      <c r="B169" s="47">
        <f t="shared" ca="1" si="2"/>
        <v>0.16562648403929447</v>
      </c>
      <c r="C169" s="48">
        <f t="array" aca="1" ref="C169" ca="1">MAX(0,ROUND(Inputs!$B$10*Inputs!$B$11+NORMSINV(B169)*SQRT(Inputs!$B$10*Inputs!$B$11),0))</f>
        <v>478</v>
      </c>
      <c r="D169" s="49">
        <f ca="1">C169*Inputs!$B$12</f>
        <v>57360000</v>
      </c>
    </row>
    <row r="170" spans="1:4" ht="13.5" customHeight="1" x14ac:dyDescent="0.3">
      <c r="A170" s="50">
        <v>166</v>
      </c>
      <c r="B170" s="51">
        <f t="shared" ca="1" si="2"/>
        <v>0.90703299930606596</v>
      </c>
      <c r="C170" s="48">
        <f t="array" aca="1" ref="C170" ca="1">MAX(0,ROUND(Inputs!$B$10*Inputs!$B$11+NORMSINV(B170)*SQRT(Inputs!$B$10*Inputs!$B$11),0))</f>
        <v>530</v>
      </c>
      <c r="D170" s="52">
        <f ca="1">C170*Inputs!$B$12</f>
        <v>63600000</v>
      </c>
    </row>
    <row r="171" spans="1:4" ht="13.5" customHeight="1" x14ac:dyDescent="0.3">
      <c r="A171" s="46">
        <v>167</v>
      </c>
      <c r="B171" s="47">
        <f t="shared" ca="1" si="2"/>
        <v>0.69302155257675524</v>
      </c>
      <c r="C171" s="48">
        <f t="array" aca="1" ref="C171" ca="1">MAX(0,ROUND(Inputs!$B$10*Inputs!$B$11+NORMSINV(B171)*SQRT(Inputs!$B$10*Inputs!$B$11),0))</f>
        <v>511</v>
      </c>
      <c r="D171" s="49">
        <f ca="1">C171*Inputs!$B$12</f>
        <v>61320000</v>
      </c>
    </row>
    <row r="172" spans="1:4" ht="13.5" customHeight="1" x14ac:dyDescent="0.3">
      <c r="A172" s="50">
        <v>168</v>
      </c>
      <c r="B172" s="51">
        <f t="shared" ca="1" si="2"/>
        <v>7.6820858841275319E-2</v>
      </c>
      <c r="C172" s="48">
        <f t="array" aca="1" ref="C172" ca="1">MAX(0,ROUND(Inputs!$B$10*Inputs!$B$11+NORMSINV(B172)*SQRT(Inputs!$B$10*Inputs!$B$11),0))</f>
        <v>468</v>
      </c>
      <c r="D172" s="52">
        <f ca="1">C172*Inputs!$B$12</f>
        <v>56160000</v>
      </c>
    </row>
    <row r="173" spans="1:4" ht="13.5" customHeight="1" x14ac:dyDescent="0.3">
      <c r="A173" s="46">
        <v>169</v>
      </c>
      <c r="B173" s="47">
        <f t="shared" ca="1" si="2"/>
        <v>0.10239586442734738</v>
      </c>
      <c r="C173" s="48">
        <f t="array" aca="1" ref="C173" ca="1">MAX(0,ROUND(Inputs!$B$10*Inputs!$B$11+NORMSINV(B173)*SQRT(Inputs!$B$10*Inputs!$B$11),0))</f>
        <v>472</v>
      </c>
      <c r="D173" s="49">
        <f ca="1">C173*Inputs!$B$12</f>
        <v>56640000</v>
      </c>
    </row>
    <row r="174" spans="1:4" ht="13.5" customHeight="1" x14ac:dyDescent="0.3">
      <c r="A174" s="50">
        <v>170</v>
      </c>
      <c r="B174" s="51">
        <f t="shared" ca="1" si="2"/>
        <v>0.87661324819185737</v>
      </c>
      <c r="C174" s="48">
        <f t="array" aca="1" ref="C174" ca="1">MAX(0,ROUND(Inputs!$B$10*Inputs!$B$11+NORMSINV(B174)*SQRT(Inputs!$B$10*Inputs!$B$11),0))</f>
        <v>526</v>
      </c>
      <c r="D174" s="52">
        <f ca="1">C174*Inputs!$B$12</f>
        <v>63120000</v>
      </c>
    </row>
    <row r="175" spans="1:4" ht="13.5" customHeight="1" x14ac:dyDescent="0.3">
      <c r="A175" s="46">
        <v>171</v>
      </c>
      <c r="B175" s="47">
        <f t="shared" ca="1" si="2"/>
        <v>0.32504082277923219</v>
      </c>
      <c r="C175" s="48">
        <f t="array" aca="1" ref="C175" ca="1">MAX(0,ROUND(Inputs!$B$10*Inputs!$B$11+NORMSINV(B175)*SQRT(Inputs!$B$10*Inputs!$B$11),0))</f>
        <v>490</v>
      </c>
      <c r="D175" s="49">
        <f ca="1">C175*Inputs!$B$12</f>
        <v>58800000</v>
      </c>
    </row>
    <row r="176" spans="1:4" ht="13.5" customHeight="1" x14ac:dyDescent="0.3">
      <c r="A176" s="50">
        <v>172</v>
      </c>
      <c r="B176" s="51">
        <f t="shared" ca="1" si="2"/>
        <v>9.7745617879079316E-2</v>
      </c>
      <c r="C176" s="48">
        <f t="array" aca="1" ref="C176" ca="1">MAX(0,ROUND(Inputs!$B$10*Inputs!$B$11+NORMSINV(B176)*SQRT(Inputs!$B$10*Inputs!$B$11),0))</f>
        <v>471</v>
      </c>
      <c r="D176" s="52">
        <f ca="1">C176*Inputs!$B$12</f>
        <v>56520000</v>
      </c>
    </row>
    <row r="177" spans="1:4" ht="13.5" customHeight="1" x14ac:dyDescent="0.3">
      <c r="A177" s="46">
        <v>173</v>
      </c>
      <c r="B177" s="47">
        <f t="shared" ca="1" si="2"/>
        <v>0.55632970062207465</v>
      </c>
      <c r="C177" s="48">
        <f t="array" aca="1" ref="C177" ca="1">MAX(0,ROUND(Inputs!$B$10*Inputs!$B$11+NORMSINV(B177)*SQRT(Inputs!$B$10*Inputs!$B$11),0))</f>
        <v>503</v>
      </c>
      <c r="D177" s="49">
        <f ca="1">C177*Inputs!$B$12</f>
        <v>60360000</v>
      </c>
    </row>
    <row r="178" spans="1:4" ht="13.5" customHeight="1" x14ac:dyDescent="0.3">
      <c r="A178" s="50">
        <v>174</v>
      </c>
      <c r="B178" s="51">
        <f t="shared" ca="1" si="2"/>
        <v>0.37737991965647988</v>
      </c>
      <c r="C178" s="48">
        <f t="array" aca="1" ref="C178" ca="1">MAX(0,ROUND(Inputs!$B$10*Inputs!$B$11+NORMSINV(B178)*SQRT(Inputs!$B$10*Inputs!$B$11),0))</f>
        <v>493</v>
      </c>
      <c r="D178" s="52">
        <f ca="1">C178*Inputs!$B$12</f>
        <v>59160000</v>
      </c>
    </row>
    <row r="179" spans="1:4" ht="13.5" customHeight="1" x14ac:dyDescent="0.3">
      <c r="A179" s="46">
        <v>175</v>
      </c>
      <c r="B179" s="47">
        <f t="shared" ca="1" si="2"/>
        <v>0.62964241481441419</v>
      </c>
      <c r="C179" s="48">
        <f t="array" aca="1" ref="C179" ca="1">MAX(0,ROUND(Inputs!$B$10*Inputs!$B$11+NORMSINV(B179)*SQRT(Inputs!$B$10*Inputs!$B$11),0))</f>
        <v>507</v>
      </c>
      <c r="D179" s="49">
        <f ca="1">C179*Inputs!$B$12</f>
        <v>60840000</v>
      </c>
    </row>
    <row r="180" spans="1:4" ht="13.5" customHeight="1" x14ac:dyDescent="0.3">
      <c r="A180" s="50">
        <v>176</v>
      </c>
      <c r="B180" s="51">
        <f t="shared" ca="1" si="2"/>
        <v>0.47206700844307714</v>
      </c>
      <c r="C180" s="48">
        <f t="array" aca="1" ref="C180" ca="1">MAX(0,ROUND(Inputs!$B$10*Inputs!$B$11+NORMSINV(B180)*SQRT(Inputs!$B$10*Inputs!$B$11),0))</f>
        <v>498</v>
      </c>
      <c r="D180" s="52">
        <f ca="1">C180*Inputs!$B$12</f>
        <v>59760000</v>
      </c>
    </row>
    <row r="181" spans="1:4" ht="13.5" customHeight="1" x14ac:dyDescent="0.3">
      <c r="A181" s="46">
        <v>177</v>
      </c>
      <c r="B181" s="47">
        <f t="shared" ca="1" si="2"/>
        <v>0.88027571202363775</v>
      </c>
      <c r="C181" s="48">
        <f t="array" aca="1" ref="C181" ca="1">MAX(0,ROUND(Inputs!$B$10*Inputs!$B$11+NORMSINV(B181)*SQRT(Inputs!$B$10*Inputs!$B$11),0))</f>
        <v>526</v>
      </c>
      <c r="D181" s="49">
        <f ca="1">C181*Inputs!$B$12</f>
        <v>63120000</v>
      </c>
    </row>
    <row r="182" spans="1:4" ht="13.5" customHeight="1" x14ac:dyDescent="0.3">
      <c r="A182" s="50">
        <v>178</v>
      </c>
      <c r="B182" s="51">
        <f t="shared" ca="1" si="2"/>
        <v>0.81796878440502652</v>
      </c>
      <c r="C182" s="48">
        <f t="array" aca="1" ref="C182" ca="1">MAX(0,ROUND(Inputs!$B$10*Inputs!$B$11+NORMSINV(B182)*SQRT(Inputs!$B$10*Inputs!$B$11),0))</f>
        <v>520</v>
      </c>
      <c r="D182" s="52">
        <f ca="1">C182*Inputs!$B$12</f>
        <v>62400000</v>
      </c>
    </row>
    <row r="183" spans="1:4" ht="13.5" customHeight="1" x14ac:dyDescent="0.3">
      <c r="A183" s="46">
        <v>179</v>
      </c>
      <c r="B183" s="47">
        <f t="shared" ca="1" si="2"/>
        <v>0.58008962401158326</v>
      </c>
      <c r="C183" s="48">
        <f t="array" aca="1" ref="C183" ca="1">MAX(0,ROUND(Inputs!$B$10*Inputs!$B$11+NORMSINV(B183)*SQRT(Inputs!$B$10*Inputs!$B$11),0))</f>
        <v>505</v>
      </c>
      <c r="D183" s="49">
        <f ca="1">C183*Inputs!$B$12</f>
        <v>60600000</v>
      </c>
    </row>
    <row r="184" spans="1:4" ht="13.5" customHeight="1" x14ac:dyDescent="0.3">
      <c r="A184" s="50">
        <v>180</v>
      </c>
      <c r="B184" s="51">
        <f t="shared" ca="1" si="2"/>
        <v>0.2856687106809167</v>
      </c>
      <c r="C184" s="48">
        <f t="array" aca="1" ref="C184" ca="1">MAX(0,ROUND(Inputs!$B$10*Inputs!$B$11+NORMSINV(B184)*SQRT(Inputs!$B$10*Inputs!$B$11),0))</f>
        <v>487</v>
      </c>
      <c r="D184" s="52">
        <f ca="1">C184*Inputs!$B$12</f>
        <v>58440000</v>
      </c>
    </row>
    <row r="185" spans="1:4" ht="13.5" customHeight="1" x14ac:dyDescent="0.3">
      <c r="A185" s="46">
        <v>181</v>
      </c>
      <c r="B185" s="47">
        <f t="shared" ca="1" si="2"/>
        <v>0.16681478787926096</v>
      </c>
      <c r="C185" s="48">
        <f t="array" aca="1" ref="C185" ca="1">MAX(0,ROUND(Inputs!$B$10*Inputs!$B$11+NORMSINV(B185)*SQRT(Inputs!$B$10*Inputs!$B$11),0))</f>
        <v>478</v>
      </c>
      <c r="D185" s="49">
        <f ca="1">C185*Inputs!$B$12</f>
        <v>57360000</v>
      </c>
    </row>
    <row r="186" spans="1:4" ht="13.5" customHeight="1" x14ac:dyDescent="0.3">
      <c r="A186" s="50">
        <v>182</v>
      </c>
      <c r="B186" s="51">
        <f t="shared" ca="1" si="2"/>
        <v>0.38812122730503018</v>
      </c>
      <c r="C186" s="48">
        <f t="array" aca="1" ref="C186" ca="1">MAX(0,ROUND(Inputs!$B$10*Inputs!$B$11+NORMSINV(B186)*SQRT(Inputs!$B$10*Inputs!$B$11),0))</f>
        <v>494</v>
      </c>
      <c r="D186" s="52">
        <f ca="1">C186*Inputs!$B$12</f>
        <v>59280000</v>
      </c>
    </row>
    <row r="187" spans="1:4" ht="13.5" customHeight="1" x14ac:dyDescent="0.3">
      <c r="A187" s="46">
        <v>183</v>
      </c>
      <c r="B187" s="47">
        <f t="shared" ca="1" si="2"/>
        <v>0.40127084464434559</v>
      </c>
      <c r="C187" s="48">
        <f t="array" aca="1" ref="C187" ca="1">MAX(0,ROUND(Inputs!$B$10*Inputs!$B$11+NORMSINV(B187)*SQRT(Inputs!$B$10*Inputs!$B$11),0))</f>
        <v>494</v>
      </c>
      <c r="D187" s="49">
        <f ca="1">C187*Inputs!$B$12</f>
        <v>59280000</v>
      </c>
    </row>
    <row r="188" spans="1:4" ht="13.5" customHeight="1" x14ac:dyDescent="0.3">
      <c r="A188" s="50">
        <v>184</v>
      </c>
      <c r="B188" s="51">
        <f t="shared" ca="1" si="2"/>
        <v>0.55460167401923943</v>
      </c>
      <c r="C188" s="48">
        <f t="array" aca="1" ref="C188" ca="1">MAX(0,ROUND(Inputs!$B$10*Inputs!$B$11+NORMSINV(B188)*SQRT(Inputs!$B$10*Inputs!$B$11),0))</f>
        <v>503</v>
      </c>
      <c r="D188" s="52">
        <f ca="1">C188*Inputs!$B$12</f>
        <v>60360000</v>
      </c>
    </row>
    <row r="189" spans="1:4" ht="13.5" customHeight="1" x14ac:dyDescent="0.3">
      <c r="A189" s="46">
        <v>185</v>
      </c>
      <c r="B189" s="47">
        <f t="shared" ca="1" si="2"/>
        <v>0.49931330050614597</v>
      </c>
      <c r="C189" s="48">
        <f t="array" aca="1" ref="C189" ca="1">MAX(0,ROUND(Inputs!$B$10*Inputs!$B$11+NORMSINV(B189)*SQRT(Inputs!$B$10*Inputs!$B$11),0))</f>
        <v>500</v>
      </c>
      <c r="D189" s="49">
        <f ca="1">C189*Inputs!$B$12</f>
        <v>60000000</v>
      </c>
    </row>
    <row r="190" spans="1:4" ht="13.5" customHeight="1" x14ac:dyDescent="0.3">
      <c r="A190" s="50">
        <v>186</v>
      </c>
      <c r="B190" s="51">
        <f t="shared" ca="1" si="2"/>
        <v>0.59013034479893789</v>
      </c>
      <c r="C190" s="48">
        <f t="array" aca="1" ref="C190" ca="1">MAX(0,ROUND(Inputs!$B$10*Inputs!$B$11+NORMSINV(B190)*SQRT(Inputs!$B$10*Inputs!$B$11),0))</f>
        <v>505</v>
      </c>
      <c r="D190" s="52">
        <f ca="1">C190*Inputs!$B$12</f>
        <v>60600000</v>
      </c>
    </row>
    <row r="191" spans="1:4" ht="13.5" customHeight="1" x14ac:dyDescent="0.3">
      <c r="A191" s="46">
        <v>187</v>
      </c>
      <c r="B191" s="47">
        <f t="shared" ca="1" si="2"/>
        <v>0.10004111954048112</v>
      </c>
      <c r="C191" s="48">
        <f t="array" aca="1" ref="C191" ca="1">MAX(0,ROUND(Inputs!$B$10*Inputs!$B$11+NORMSINV(B191)*SQRT(Inputs!$B$10*Inputs!$B$11),0))</f>
        <v>471</v>
      </c>
      <c r="D191" s="49">
        <f ca="1">C191*Inputs!$B$12</f>
        <v>56520000</v>
      </c>
    </row>
    <row r="192" spans="1:4" ht="13.5" customHeight="1" x14ac:dyDescent="0.3">
      <c r="A192" s="50">
        <v>188</v>
      </c>
      <c r="B192" s="51">
        <f t="shared" ca="1" si="2"/>
        <v>0.21005940218404728</v>
      </c>
      <c r="C192" s="48">
        <f t="array" aca="1" ref="C192" ca="1">MAX(0,ROUND(Inputs!$B$10*Inputs!$B$11+NORMSINV(B192)*SQRT(Inputs!$B$10*Inputs!$B$11),0))</f>
        <v>482</v>
      </c>
      <c r="D192" s="52">
        <f ca="1">C192*Inputs!$B$12</f>
        <v>57840000</v>
      </c>
    </row>
    <row r="193" spans="1:4" ht="13.5" customHeight="1" x14ac:dyDescent="0.3">
      <c r="A193" s="46">
        <v>189</v>
      </c>
      <c r="B193" s="47">
        <f t="shared" ca="1" si="2"/>
        <v>0.4423102500826338</v>
      </c>
      <c r="C193" s="48">
        <f t="array" aca="1" ref="C193" ca="1">MAX(0,ROUND(Inputs!$B$10*Inputs!$B$11+NORMSINV(B193)*SQRT(Inputs!$B$10*Inputs!$B$11),0))</f>
        <v>497</v>
      </c>
      <c r="D193" s="49">
        <f ca="1">C193*Inputs!$B$12</f>
        <v>59640000</v>
      </c>
    </row>
    <row r="194" spans="1:4" ht="13.5" customHeight="1" x14ac:dyDescent="0.3">
      <c r="A194" s="50">
        <v>190</v>
      </c>
      <c r="B194" s="51">
        <f t="shared" ca="1" si="2"/>
        <v>0.82291981098884726</v>
      </c>
      <c r="C194" s="48">
        <f t="array" aca="1" ref="C194" ca="1">MAX(0,ROUND(Inputs!$B$10*Inputs!$B$11+NORMSINV(B194)*SQRT(Inputs!$B$10*Inputs!$B$11),0))</f>
        <v>521</v>
      </c>
      <c r="D194" s="52">
        <f ca="1">C194*Inputs!$B$12</f>
        <v>62520000</v>
      </c>
    </row>
    <row r="195" spans="1:4" ht="13.5" customHeight="1" x14ac:dyDescent="0.3">
      <c r="A195" s="46">
        <v>191</v>
      </c>
      <c r="B195" s="47">
        <f t="shared" ca="1" si="2"/>
        <v>0.63662511876912442</v>
      </c>
      <c r="C195" s="48">
        <f t="array" aca="1" ref="C195" ca="1">MAX(0,ROUND(Inputs!$B$10*Inputs!$B$11+NORMSINV(B195)*SQRT(Inputs!$B$10*Inputs!$B$11),0))</f>
        <v>508</v>
      </c>
      <c r="D195" s="49">
        <f ca="1">C195*Inputs!$B$12</f>
        <v>60960000</v>
      </c>
    </row>
    <row r="196" spans="1:4" ht="13.5" customHeight="1" x14ac:dyDescent="0.3">
      <c r="A196" s="50">
        <v>192</v>
      </c>
      <c r="B196" s="51">
        <f t="shared" ca="1" si="2"/>
        <v>0.96256434684195302</v>
      </c>
      <c r="C196" s="48">
        <f t="array" aca="1" ref="C196" ca="1">MAX(0,ROUND(Inputs!$B$10*Inputs!$B$11+NORMSINV(B196)*SQRT(Inputs!$B$10*Inputs!$B$11),0))</f>
        <v>540</v>
      </c>
      <c r="D196" s="52">
        <f ca="1">C196*Inputs!$B$12</f>
        <v>64800000</v>
      </c>
    </row>
    <row r="197" spans="1:4" ht="13.5" customHeight="1" x14ac:dyDescent="0.3">
      <c r="A197" s="46">
        <v>193</v>
      </c>
      <c r="B197" s="47">
        <f t="shared" ref="B197:B260" ca="1" si="3">RAND()</f>
        <v>8.3517967299682749E-2</v>
      </c>
      <c r="C197" s="48">
        <f t="array" aca="1" ref="C197" ca="1">MAX(0,ROUND(Inputs!$B$10*Inputs!$B$11+NORMSINV(B197)*SQRT(Inputs!$B$10*Inputs!$B$11),0))</f>
        <v>469</v>
      </c>
      <c r="D197" s="49">
        <f ca="1">C197*Inputs!$B$12</f>
        <v>56280000</v>
      </c>
    </row>
    <row r="198" spans="1:4" ht="13.5" customHeight="1" x14ac:dyDescent="0.3">
      <c r="A198" s="50">
        <v>194</v>
      </c>
      <c r="B198" s="51">
        <f t="shared" ca="1" si="3"/>
        <v>0.97473948551309664</v>
      </c>
      <c r="C198" s="48">
        <f t="array" aca="1" ref="C198" ca="1">MAX(0,ROUND(Inputs!$B$10*Inputs!$B$11+NORMSINV(B198)*SQRT(Inputs!$B$10*Inputs!$B$11),0))</f>
        <v>544</v>
      </c>
      <c r="D198" s="52">
        <f ca="1">C198*Inputs!$B$12</f>
        <v>65280000</v>
      </c>
    </row>
    <row r="199" spans="1:4" ht="13.5" customHeight="1" x14ac:dyDescent="0.3">
      <c r="A199" s="46">
        <v>195</v>
      </c>
      <c r="B199" s="47">
        <f t="shared" ca="1" si="3"/>
        <v>0.63072133738024561</v>
      </c>
      <c r="C199" s="48">
        <f t="array" aca="1" ref="C199" ca="1">MAX(0,ROUND(Inputs!$B$10*Inputs!$B$11+NORMSINV(B199)*SQRT(Inputs!$B$10*Inputs!$B$11),0))</f>
        <v>507</v>
      </c>
      <c r="D199" s="49">
        <f ca="1">C199*Inputs!$B$12</f>
        <v>60840000</v>
      </c>
    </row>
    <row r="200" spans="1:4" ht="13.5" customHeight="1" x14ac:dyDescent="0.3">
      <c r="A200" s="50">
        <v>196</v>
      </c>
      <c r="B200" s="51">
        <f t="shared" ca="1" si="3"/>
        <v>0.94030081900885021</v>
      </c>
      <c r="C200" s="48">
        <f t="array" aca="1" ref="C200" ca="1">MAX(0,ROUND(Inputs!$B$10*Inputs!$B$11+NORMSINV(B200)*SQRT(Inputs!$B$10*Inputs!$B$11),0))</f>
        <v>535</v>
      </c>
      <c r="D200" s="52">
        <f ca="1">C200*Inputs!$B$12</f>
        <v>64200000</v>
      </c>
    </row>
    <row r="201" spans="1:4" ht="13.5" customHeight="1" x14ac:dyDescent="0.3">
      <c r="A201" s="46">
        <v>197</v>
      </c>
      <c r="B201" s="47">
        <f t="shared" ca="1" si="3"/>
        <v>0.84079947163367486</v>
      </c>
      <c r="C201" s="48">
        <f t="array" aca="1" ref="C201" ca="1">MAX(0,ROUND(Inputs!$B$10*Inputs!$B$11+NORMSINV(B201)*SQRT(Inputs!$B$10*Inputs!$B$11),0))</f>
        <v>522</v>
      </c>
      <c r="D201" s="49">
        <f ca="1">C201*Inputs!$B$12</f>
        <v>62640000</v>
      </c>
    </row>
    <row r="202" spans="1:4" ht="13.5" customHeight="1" x14ac:dyDescent="0.3">
      <c r="A202" s="50">
        <v>198</v>
      </c>
      <c r="B202" s="51">
        <f t="shared" ca="1" si="3"/>
        <v>0.42870024499398818</v>
      </c>
      <c r="C202" s="48">
        <f t="array" aca="1" ref="C202" ca="1">MAX(0,ROUND(Inputs!$B$10*Inputs!$B$11+NORMSINV(B202)*SQRT(Inputs!$B$10*Inputs!$B$11),0))</f>
        <v>496</v>
      </c>
      <c r="D202" s="52">
        <f ca="1">C202*Inputs!$B$12</f>
        <v>59520000</v>
      </c>
    </row>
    <row r="203" spans="1:4" ht="13.5" customHeight="1" x14ac:dyDescent="0.3">
      <c r="A203" s="46">
        <v>199</v>
      </c>
      <c r="B203" s="47">
        <f t="shared" ca="1" si="3"/>
        <v>0.98426962618995828</v>
      </c>
      <c r="C203" s="48">
        <f t="array" aca="1" ref="C203" ca="1">MAX(0,ROUND(Inputs!$B$10*Inputs!$B$11+NORMSINV(B203)*SQRT(Inputs!$B$10*Inputs!$B$11),0))</f>
        <v>548</v>
      </c>
      <c r="D203" s="49">
        <f ca="1">C203*Inputs!$B$12</f>
        <v>65760000</v>
      </c>
    </row>
    <row r="204" spans="1:4" ht="13.5" customHeight="1" x14ac:dyDescent="0.3">
      <c r="A204" s="50">
        <v>200</v>
      </c>
      <c r="B204" s="51">
        <f t="shared" ca="1" si="3"/>
        <v>0.78994192208379599</v>
      </c>
      <c r="C204" s="48">
        <f t="array" aca="1" ref="C204" ca="1">MAX(0,ROUND(Inputs!$B$10*Inputs!$B$11+NORMSINV(B204)*SQRT(Inputs!$B$10*Inputs!$B$11),0))</f>
        <v>518</v>
      </c>
      <c r="D204" s="52">
        <f ca="1">C204*Inputs!$B$12</f>
        <v>62160000</v>
      </c>
    </row>
    <row r="205" spans="1:4" ht="13.5" customHeight="1" x14ac:dyDescent="0.3">
      <c r="A205" s="46">
        <v>201</v>
      </c>
      <c r="B205" s="47">
        <f t="shared" ca="1" si="3"/>
        <v>0.81678052738017182</v>
      </c>
      <c r="C205" s="48">
        <f t="array" aca="1" ref="C205" ca="1">MAX(0,ROUND(Inputs!$B$10*Inputs!$B$11+NORMSINV(B205)*SQRT(Inputs!$B$10*Inputs!$B$11),0))</f>
        <v>520</v>
      </c>
      <c r="D205" s="49">
        <f ca="1">C205*Inputs!$B$12</f>
        <v>62400000</v>
      </c>
    </row>
    <row r="206" spans="1:4" ht="13.5" customHeight="1" x14ac:dyDescent="0.3">
      <c r="A206" s="50">
        <v>202</v>
      </c>
      <c r="B206" s="51">
        <f t="shared" ca="1" si="3"/>
        <v>0.89558663999748633</v>
      </c>
      <c r="C206" s="48">
        <f t="array" aca="1" ref="C206" ca="1">MAX(0,ROUND(Inputs!$B$10*Inputs!$B$11+NORMSINV(B206)*SQRT(Inputs!$B$10*Inputs!$B$11),0))</f>
        <v>528</v>
      </c>
      <c r="D206" s="52">
        <f ca="1">C206*Inputs!$B$12</f>
        <v>63360000</v>
      </c>
    </row>
    <row r="207" spans="1:4" ht="13.5" customHeight="1" x14ac:dyDescent="0.3">
      <c r="A207" s="46">
        <v>203</v>
      </c>
      <c r="B207" s="47">
        <f t="shared" ca="1" si="3"/>
        <v>0.9103518094448495</v>
      </c>
      <c r="C207" s="48">
        <f t="array" aca="1" ref="C207" ca="1">MAX(0,ROUND(Inputs!$B$10*Inputs!$B$11+NORMSINV(B207)*SQRT(Inputs!$B$10*Inputs!$B$11),0))</f>
        <v>530</v>
      </c>
      <c r="D207" s="49">
        <f ca="1">C207*Inputs!$B$12</f>
        <v>63600000</v>
      </c>
    </row>
    <row r="208" spans="1:4" ht="13.5" customHeight="1" x14ac:dyDescent="0.3">
      <c r="A208" s="50">
        <v>204</v>
      </c>
      <c r="B208" s="51">
        <f t="shared" ca="1" si="3"/>
        <v>2.5327353677820463E-2</v>
      </c>
      <c r="C208" s="48">
        <f t="array" aca="1" ref="C208" ca="1">MAX(0,ROUND(Inputs!$B$10*Inputs!$B$11+NORMSINV(B208)*SQRT(Inputs!$B$10*Inputs!$B$11),0))</f>
        <v>456</v>
      </c>
      <c r="D208" s="52">
        <f ca="1">C208*Inputs!$B$12</f>
        <v>54720000</v>
      </c>
    </row>
    <row r="209" spans="1:4" ht="13.5" customHeight="1" x14ac:dyDescent="0.3">
      <c r="A209" s="46">
        <v>205</v>
      </c>
      <c r="B209" s="47">
        <f t="shared" ca="1" si="3"/>
        <v>0.73848468561218761</v>
      </c>
      <c r="C209" s="48">
        <f t="array" aca="1" ref="C209" ca="1">MAX(0,ROUND(Inputs!$B$10*Inputs!$B$11+NORMSINV(B209)*SQRT(Inputs!$B$10*Inputs!$B$11),0))</f>
        <v>514</v>
      </c>
      <c r="D209" s="49">
        <f ca="1">C209*Inputs!$B$12</f>
        <v>61680000</v>
      </c>
    </row>
    <row r="210" spans="1:4" ht="13.5" customHeight="1" x14ac:dyDescent="0.3">
      <c r="A210" s="50">
        <v>206</v>
      </c>
      <c r="B210" s="51">
        <f t="shared" ca="1" si="3"/>
        <v>0.61080739490465974</v>
      </c>
      <c r="C210" s="48">
        <f t="array" aca="1" ref="C210" ca="1">MAX(0,ROUND(Inputs!$B$10*Inputs!$B$11+NORMSINV(B210)*SQRT(Inputs!$B$10*Inputs!$B$11),0))</f>
        <v>506</v>
      </c>
      <c r="D210" s="52">
        <f ca="1">C210*Inputs!$B$12</f>
        <v>60720000</v>
      </c>
    </row>
    <row r="211" spans="1:4" ht="13.5" customHeight="1" x14ac:dyDescent="0.3">
      <c r="A211" s="46">
        <v>207</v>
      </c>
      <c r="B211" s="47">
        <f t="shared" ca="1" si="3"/>
        <v>0.27658487533178855</v>
      </c>
      <c r="C211" s="48">
        <f t="array" aca="1" ref="C211" ca="1">MAX(0,ROUND(Inputs!$B$10*Inputs!$B$11+NORMSINV(B211)*SQRT(Inputs!$B$10*Inputs!$B$11),0))</f>
        <v>487</v>
      </c>
      <c r="D211" s="49">
        <f ca="1">C211*Inputs!$B$12</f>
        <v>58440000</v>
      </c>
    </row>
    <row r="212" spans="1:4" ht="13.5" customHeight="1" x14ac:dyDescent="0.3">
      <c r="A212" s="50">
        <v>208</v>
      </c>
      <c r="B212" s="51">
        <f t="shared" ca="1" si="3"/>
        <v>0.53551310000958319</v>
      </c>
      <c r="C212" s="48">
        <f t="array" aca="1" ref="C212" ca="1">MAX(0,ROUND(Inputs!$B$10*Inputs!$B$11+NORMSINV(B212)*SQRT(Inputs!$B$10*Inputs!$B$11),0))</f>
        <v>502</v>
      </c>
      <c r="D212" s="52">
        <f ca="1">C212*Inputs!$B$12</f>
        <v>60240000</v>
      </c>
    </row>
    <row r="213" spans="1:4" ht="13.5" customHeight="1" x14ac:dyDescent="0.3">
      <c r="A213" s="46">
        <v>209</v>
      </c>
      <c r="B213" s="47">
        <f t="shared" ca="1" si="3"/>
        <v>0.73348395745596517</v>
      </c>
      <c r="C213" s="48">
        <f t="array" aca="1" ref="C213" ca="1">MAX(0,ROUND(Inputs!$B$10*Inputs!$B$11+NORMSINV(B213)*SQRT(Inputs!$B$10*Inputs!$B$11),0))</f>
        <v>514</v>
      </c>
      <c r="D213" s="49">
        <f ca="1">C213*Inputs!$B$12</f>
        <v>61680000</v>
      </c>
    </row>
    <row r="214" spans="1:4" ht="13.5" customHeight="1" x14ac:dyDescent="0.3">
      <c r="A214" s="50">
        <v>210</v>
      </c>
      <c r="B214" s="51">
        <f t="shared" ca="1" si="3"/>
        <v>0.73101257997410118</v>
      </c>
      <c r="C214" s="48">
        <f t="array" aca="1" ref="C214" ca="1">MAX(0,ROUND(Inputs!$B$10*Inputs!$B$11+NORMSINV(B214)*SQRT(Inputs!$B$10*Inputs!$B$11),0))</f>
        <v>514</v>
      </c>
      <c r="D214" s="52">
        <f ca="1">C214*Inputs!$B$12</f>
        <v>61680000</v>
      </c>
    </row>
    <row r="215" spans="1:4" ht="13.5" customHeight="1" x14ac:dyDescent="0.3">
      <c r="A215" s="46">
        <v>211</v>
      </c>
      <c r="B215" s="47">
        <f t="shared" ca="1" si="3"/>
        <v>0.71064131480342463</v>
      </c>
      <c r="C215" s="48">
        <f t="array" aca="1" ref="C215" ca="1">MAX(0,ROUND(Inputs!$B$10*Inputs!$B$11+NORMSINV(B215)*SQRT(Inputs!$B$10*Inputs!$B$11),0))</f>
        <v>512</v>
      </c>
      <c r="D215" s="49">
        <f ca="1">C215*Inputs!$B$12</f>
        <v>61440000</v>
      </c>
    </row>
    <row r="216" spans="1:4" ht="13.5" customHeight="1" x14ac:dyDescent="0.3">
      <c r="A216" s="50">
        <v>212</v>
      </c>
      <c r="B216" s="51">
        <f t="shared" ca="1" si="3"/>
        <v>0.26007988833460383</v>
      </c>
      <c r="C216" s="48">
        <f t="array" aca="1" ref="C216" ca="1">MAX(0,ROUND(Inputs!$B$10*Inputs!$B$11+NORMSINV(B216)*SQRT(Inputs!$B$10*Inputs!$B$11),0))</f>
        <v>486</v>
      </c>
      <c r="D216" s="52">
        <f ca="1">C216*Inputs!$B$12</f>
        <v>58320000</v>
      </c>
    </row>
    <row r="217" spans="1:4" ht="13.5" customHeight="1" x14ac:dyDescent="0.3">
      <c r="A217" s="46">
        <v>213</v>
      </c>
      <c r="B217" s="47">
        <f t="shared" ca="1" si="3"/>
        <v>3.3724506187658543E-2</v>
      </c>
      <c r="C217" s="48">
        <f t="array" aca="1" ref="C217" ca="1">MAX(0,ROUND(Inputs!$B$10*Inputs!$B$11+NORMSINV(B217)*SQRT(Inputs!$B$10*Inputs!$B$11),0))</f>
        <v>459</v>
      </c>
      <c r="D217" s="49">
        <f ca="1">C217*Inputs!$B$12</f>
        <v>55080000</v>
      </c>
    </row>
    <row r="218" spans="1:4" ht="13.5" customHeight="1" x14ac:dyDescent="0.3">
      <c r="A218" s="50">
        <v>214</v>
      </c>
      <c r="B218" s="51">
        <f t="shared" ca="1" si="3"/>
        <v>0.71046560684523374</v>
      </c>
      <c r="C218" s="48">
        <f t="array" aca="1" ref="C218" ca="1">MAX(0,ROUND(Inputs!$B$10*Inputs!$B$11+NORMSINV(B218)*SQRT(Inputs!$B$10*Inputs!$B$11),0))</f>
        <v>512</v>
      </c>
      <c r="D218" s="52">
        <f ca="1">C218*Inputs!$B$12</f>
        <v>61440000</v>
      </c>
    </row>
    <row r="219" spans="1:4" ht="13.5" customHeight="1" x14ac:dyDescent="0.3">
      <c r="A219" s="46">
        <v>215</v>
      </c>
      <c r="B219" s="47">
        <f t="shared" ca="1" si="3"/>
        <v>0.58782314987843753</v>
      </c>
      <c r="C219" s="48">
        <f t="array" aca="1" ref="C219" ca="1">MAX(0,ROUND(Inputs!$B$10*Inputs!$B$11+NORMSINV(B219)*SQRT(Inputs!$B$10*Inputs!$B$11),0))</f>
        <v>505</v>
      </c>
      <c r="D219" s="49">
        <f ca="1">C219*Inputs!$B$12</f>
        <v>60600000</v>
      </c>
    </row>
    <row r="220" spans="1:4" ht="13.5" customHeight="1" x14ac:dyDescent="0.3">
      <c r="A220" s="50">
        <v>216</v>
      </c>
      <c r="B220" s="51">
        <f t="shared" ca="1" si="3"/>
        <v>0.99542497358629001</v>
      </c>
      <c r="C220" s="48">
        <f t="array" aca="1" ref="C220" ca="1">MAX(0,ROUND(Inputs!$B$10*Inputs!$B$11+NORMSINV(B220)*SQRT(Inputs!$B$10*Inputs!$B$11),0))</f>
        <v>558</v>
      </c>
      <c r="D220" s="52">
        <f ca="1">C220*Inputs!$B$12</f>
        <v>66960000</v>
      </c>
    </row>
    <row r="221" spans="1:4" ht="13.5" customHeight="1" x14ac:dyDescent="0.3">
      <c r="A221" s="46">
        <v>217</v>
      </c>
      <c r="B221" s="47">
        <f t="shared" ca="1" si="3"/>
        <v>0.88137362919966311</v>
      </c>
      <c r="C221" s="48">
        <f t="array" aca="1" ref="C221" ca="1">MAX(0,ROUND(Inputs!$B$10*Inputs!$B$11+NORMSINV(B221)*SQRT(Inputs!$B$10*Inputs!$B$11),0))</f>
        <v>526</v>
      </c>
      <c r="D221" s="49">
        <f ca="1">C221*Inputs!$B$12</f>
        <v>63120000</v>
      </c>
    </row>
    <row r="222" spans="1:4" ht="13.5" customHeight="1" x14ac:dyDescent="0.3">
      <c r="A222" s="50">
        <v>218</v>
      </c>
      <c r="B222" s="51">
        <f t="shared" ca="1" si="3"/>
        <v>0.78174188888289353</v>
      </c>
      <c r="C222" s="48">
        <f t="array" aca="1" ref="C222" ca="1">MAX(0,ROUND(Inputs!$B$10*Inputs!$B$11+NORMSINV(B222)*SQRT(Inputs!$B$10*Inputs!$B$11),0))</f>
        <v>517</v>
      </c>
      <c r="D222" s="52">
        <f ca="1">C222*Inputs!$B$12</f>
        <v>62040000</v>
      </c>
    </row>
    <row r="223" spans="1:4" ht="13.5" customHeight="1" x14ac:dyDescent="0.3">
      <c r="A223" s="46">
        <v>219</v>
      </c>
      <c r="B223" s="47">
        <f t="shared" ca="1" si="3"/>
        <v>0.17053978602637976</v>
      </c>
      <c r="C223" s="48">
        <f t="array" aca="1" ref="C223" ca="1">MAX(0,ROUND(Inputs!$B$10*Inputs!$B$11+NORMSINV(B223)*SQRT(Inputs!$B$10*Inputs!$B$11),0))</f>
        <v>479</v>
      </c>
      <c r="D223" s="49">
        <f ca="1">C223*Inputs!$B$12</f>
        <v>57480000</v>
      </c>
    </row>
    <row r="224" spans="1:4" ht="13.5" customHeight="1" x14ac:dyDescent="0.3">
      <c r="A224" s="50">
        <v>220</v>
      </c>
      <c r="B224" s="51">
        <f t="shared" ca="1" si="3"/>
        <v>0.6702834742492354</v>
      </c>
      <c r="C224" s="48">
        <f t="array" aca="1" ref="C224" ca="1">MAX(0,ROUND(Inputs!$B$10*Inputs!$B$11+NORMSINV(B224)*SQRT(Inputs!$B$10*Inputs!$B$11),0))</f>
        <v>510</v>
      </c>
      <c r="D224" s="52">
        <f ca="1">C224*Inputs!$B$12</f>
        <v>61200000</v>
      </c>
    </row>
    <row r="225" spans="1:4" ht="13.5" customHeight="1" x14ac:dyDescent="0.3">
      <c r="A225" s="46">
        <v>221</v>
      </c>
      <c r="B225" s="47">
        <f t="shared" ca="1" si="3"/>
        <v>0.37962099768274327</v>
      </c>
      <c r="C225" s="48">
        <f t="array" aca="1" ref="C225" ca="1">MAX(0,ROUND(Inputs!$B$10*Inputs!$B$11+NORMSINV(B225)*SQRT(Inputs!$B$10*Inputs!$B$11),0))</f>
        <v>493</v>
      </c>
      <c r="D225" s="49">
        <f ca="1">C225*Inputs!$B$12</f>
        <v>59160000</v>
      </c>
    </row>
    <row r="226" spans="1:4" ht="13.5" customHeight="1" x14ac:dyDescent="0.3">
      <c r="A226" s="50">
        <v>222</v>
      </c>
      <c r="B226" s="51">
        <f t="shared" ca="1" si="3"/>
        <v>0.84609115205170959</v>
      </c>
      <c r="C226" s="48">
        <f t="array" aca="1" ref="C226" ca="1">MAX(0,ROUND(Inputs!$B$10*Inputs!$B$11+NORMSINV(B226)*SQRT(Inputs!$B$10*Inputs!$B$11),0))</f>
        <v>523</v>
      </c>
      <c r="D226" s="52">
        <f ca="1">C226*Inputs!$B$12</f>
        <v>62760000</v>
      </c>
    </row>
    <row r="227" spans="1:4" ht="13.5" customHeight="1" x14ac:dyDescent="0.3">
      <c r="A227" s="46">
        <v>223</v>
      </c>
      <c r="B227" s="47">
        <f t="shared" ca="1" si="3"/>
        <v>0.52474526258280774</v>
      </c>
      <c r="C227" s="48">
        <f t="array" aca="1" ref="C227" ca="1">MAX(0,ROUND(Inputs!$B$10*Inputs!$B$11+NORMSINV(B227)*SQRT(Inputs!$B$10*Inputs!$B$11),0))</f>
        <v>501</v>
      </c>
      <c r="D227" s="49">
        <f ca="1">C227*Inputs!$B$12</f>
        <v>60120000</v>
      </c>
    </row>
    <row r="228" spans="1:4" ht="13.5" customHeight="1" x14ac:dyDescent="0.3">
      <c r="A228" s="50">
        <v>224</v>
      </c>
      <c r="B228" s="51">
        <f t="shared" ca="1" si="3"/>
        <v>0.40996045952525562</v>
      </c>
      <c r="C228" s="48">
        <f t="array" aca="1" ref="C228" ca="1">MAX(0,ROUND(Inputs!$B$10*Inputs!$B$11+NORMSINV(B228)*SQRT(Inputs!$B$10*Inputs!$B$11),0))</f>
        <v>495</v>
      </c>
      <c r="D228" s="52">
        <f ca="1">C228*Inputs!$B$12</f>
        <v>59400000</v>
      </c>
    </row>
    <row r="229" spans="1:4" ht="13.5" customHeight="1" x14ac:dyDescent="0.3">
      <c r="A229" s="46">
        <v>225</v>
      </c>
      <c r="B229" s="47">
        <f t="shared" ca="1" si="3"/>
        <v>0.12732545958547992</v>
      </c>
      <c r="C229" s="48">
        <f t="array" aca="1" ref="C229" ca="1">MAX(0,ROUND(Inputs!$B$10*Inputs!$B$11+NORMSINV(B229)*SQRT(Inputs!$B$10*Inputs!$B$11),0))</f>
        <v>475</v>
      </c>
      <c r="D229" s="49">
        <f ca="1">C229*Inputs!$B$12</f>
        <v>57000000</v>
      </c>
    </row>
    <row r="230" spans="1:4" ht="13.5" customHeight="1" x14ac:dyDescent="0.3">
      <c r="A230" s="50">
        <v>226</v>
      </c>
      <c r="B230" s="51">
        <f t="shared" ca="1" si="3"/>
        <v>0.53441712163684041</v>
      </c>
      <c r="C230" s="48">
        <f t="array" aca="1" ref="C230" ca="1">MAX(0,ROUND(Inputs!$B$10*Inputs!$B$11+NORMSINV(B230)*SQRT(Inputs!$B$10*Inputs!$B$11),0))</f>
        <v>502</v>
      </c>
      <c r="D230" s="52">
        <f ca="1">C230*Inputs!$B$12</f>
        <v>60240000</v>
      </c>
    </row>
    <row r="231" spans="1:4" ht="13.5" customHeight="1" x14ac:dyDescent="0.3">
      <c r="A231" s="46">
        <v>227</v>
      </c>
      <c r="B231" s="47">
        <f t="shared" ca="1" si="3"/>
        <v>0.46860649353563388</v>
      </c>
      <c r="C231" s="48">
        <f t="array" aca="1" ref="C231" ca="1">MAX(0,ROUND(Inputs!$B$10*Inputs!$B$11+NORMSINV(B231)*SQRT(Inputs!$B$10*Inputs!$B$11),0))</f>
        <v>498</v>
      </c>
      <c r="D231" s="49">
        <f ca="1">C231*Inputs!$B$12</f>
        <v>59760000</v>
      </c>
    </row>
    <row r="232" spans="1:4" ht="13.5" customHeight="1" x14ac:dyDescent="0.3">
      <c r="A232" s="50">
        <v>228</v>
      </c>
      <c r="B232" s="51">
        <f t="shared" ca="1" si="3"/>
        <v>0.52688879262420607</v>
      </c>
      <c r="C232" s="48">
        <f t="array" aca="1" ref="C232" ca="1">MAX(0,ROUND(Inputs!$B$10*Inputs!$B$11+NORMSINV(B232)*SQRT(Inputs!$B$10*Inputs!$B$11),0))</f>
        <v>502</v>
      </c>
      <c r="D232" s="52">
        <f ca="1">C232*Inputs!$B$12</f>
        <v>60240000</v>
      </c>
    </row>
    <row r="233" spans="1:4" ht="13.5" customHeight="1" x14ac:dyDescent="0.3">
      <c r="A233" s="46">
        <v>229</v>
      </c>
      <c r="B233" s="47">
        <f t="shared" ca="1" si="3"/>
        <v>0.21646592241247209</v>
      </c>
      <c r="C233" s="48">
        <f t="array" aca="1" ref="C233" ca="1">MAX(0,ROUND(Inputs!$B$10*Inputs!$B$11+NORMSINV(B233)*SQRT(Inputs!$B$10*Inputs!$B$11),0))</f>
        <v>482</v>
      </c>
      <c r="D233" s="49">
        <f ca="1">C233*Inputs!$B$12</f>
        <v>57840000</v>
      </c>
    </row>
    <row r="234" spans="1:4" ht="13.5" customHeight="1" x14ac:dyDescent="0.3">
      <c r="A234" s="50">
        <v>230</v>
      </c>
      <c r="B234" s="51">
        <f t="shared" ca="1" si="3"/>
        <v>0.19169870723681293</v>
      </c>
      <c r="C234" s="48">
        <f t="array" aca="1" ref="C234" ca="1">MAX(0,ROUND(Inputs!$B$10*Inputs!$B$11+NORMSINV(B234)*SQRT(Inputs!$B$10*Inputs!$B$11),0))</f>
        <v>481</v>
      </c>
      <c r="D234" s="52">
        <f ca="1">C234*Inputs!$B$12</f>
        <v>57720000</v>
      </c>
    </row>
    <row r="235" spans="1:4" ht="13.5" customHeight="1" x14ac:dyDescent="0.3">
      <c r="A235" s="46">
        <v>231</v>
      </c>
      <c r="B235" s="47">
        <f t="shared" ca="1" si="3"/>
        <v>0.60384182534856701</v>
      </c>
      <c r="C235" s="48">
        <f t="array" aca="1" ref="C235" ca="1">MAX(0,ROUND(Inputs!$B$10*Inputs!$B$11+NORMSINV(B235)*SQRT(Inputs!$B$10*Inputs!$B$11),0))</f>
        <v>506</v>
      </c>
      <c r="D235" s="49">
        <f ca="1">C235*Inputs!$B$12</f>
        <v>60720000</v>
      </c>
    </row>
    <row r="236" spans="1:4" ht="13.5" customHeight="1" x14ac:dyDescent="0.3">
      <c r="A236" s="50">
        <v>232</v>
      </c>
      <c r="B236" s="51">
        <f t="shared" ca="1" si="3"/>
        <v>0.69791735367920116</v>
      </c>
      <c r="C236" s="48">
        <f t="array" aca="1" ref="C236" ca="1">MAX(0,ROUND(Inputs!$B$10*Inputs!$B$11+NORMSINV(B236)*SQRT(Inputs!$B$10*Inputs!$B$11),0))</f>
        <v>512</v>
      </c>
      <c r="D236" s="52">
        <f ca="1">C236*Inputs!$B$12</f>
        <v>61440000</v>
      </c>
    </row>
    <row r="237" spans="1:4" ht="13.5" customHeight="1" x14ac:dyDescent="0.3">
      <c r="A237" s="46">
        <v>233</v>
      </c>
      <c r="B237" s="47">
        <f t="shared" ca="1" si="3"/>
        <v>0.10664739158808167</v>
      </c>
      <c r="C237" s="48">
        <f t="array" aca="1" ref="C237" ca="1">MAX(0,ROUND(Inputs!$B$10*Inputs!$B$11+NORMSINV(B237)*SQRT(Inputs!$B$10*Inputs!$B$11),0))</f>
        <v>472</v>
      </c>
      <c r="D237" s="49">
        <f ca="1">C237*Inputs!$B$12</f>
        <v>56640000</v>
      </c>
    </row>
    <row r="238" spans="1:4" ht="13.5" customHeight="1" x14ac:dyDescent="0.3">
      <c r="A238" s="50">
        <v>234</v>
      </c>
      <c r="B238" s="51">
        <f t="shared" ca="1" si="3"/>
        <v>0.72567860444531374</v>
      </c>
      <c r="C238" s="48">
        <f t="array" aca="1" ref="C238" ca="1">MAX(0,ROUND(Inputs!$B$10*Inputs!$B$11+NORMSINV(B238)*SQRT(Inputs!$B$10*Inputs!$B$11),0))</f>
        <v>513</v>
      </c>
      <c r="D238" s="52">
        <f ca="1">C238*Inputs!$B$12</f>
        <v>61560000</v>
      </c>
    </row>
    <row r="239" spans="1:4" ht="13.5" customHeight="1" x14ac:dyDescent="0.3">
      <c r="A239" s="46">
        <v>235</v>
      </c>
      <c r="B239" s="47">
        <f t="shared" ca="1" si="3"/>
        <v>0.67260035995471434</v>
      </c>
      <c r="C239" s="48">
        <f t="array" aca="1" ref="C239" ca="1">MAX(0,ROUND(Inputs!$B$10*Inputs!$B$11+NORMSINV(B239)*SQRT(Inputs!$B$10*Inputs!$B$11),0))</f>
        <v>510</v>
      </c>
      <c r="D239" s="49">
        <f ca="1">C239*Inputs!$B$12</f>
        <v>61200000</v>
      </c>
    </row>
    <row r="240" spans="1:4" ht="13.5" customHeight="1" x14ac:dyDescent="0.3">
      <c r="A240" s="50">
        <v>236</v>
      </c>
      <c r="B240" s="51">
        <f t="shared" ca="1" si="3"/>
        <v>0.59894184212532697</v>
      </c>
      <c r="C240" s="48">
        <f t="array" aca="1" ref="C240" ca="1">MAX(0,ROUND(Inputs!$B$10*Inputs!$B$11+NORMSINV(B240)*SQRT(Inputs!$B$10*Inputs!$B$11),0))</f>
        <v>506</v>
      </c>
      <c r="D240" s="52">
        <f ca="1">C240*Inputs!$B$12</f>
        <v>60720000</v>
      </c>
    </row>
    <row r="241" spans="1:4" ht="13.5" customHeight="1" x14ac:dyDescent="0.3">
      <c r="A241" s="46">
        <v>237</v>
      </c>
      <c r="B241" s="47">
        <f t="shared" ca="1" si="3"/>
        <v>0.37223282097772692</v>
      </c>
      <c r="C241" s="48">
        <f t="array" aca="1" ref="C241" ca="1">MAX(0,ROUND(Inputs!$B$10*Inputs!$B$11+NORMSINV(B241)*SQRT(Inputs!$B$10*Inputs!$B$11),0))</f>
        <v>493</v>
      </c>
      <c r="D241" s="49">
        <f ca="1">C241*Inputs!$B$12</f>
        <v>59160000</v>
      </c>
    </row>
    <row r="242" spans="1:4" ht="13.5" customHeight="1" x14ac:dyDescent="0.3">
      <c r="A242" s="50">
        <v>238</v>
      </c>
      <c r="B242" s="51">
        <f t="shared" ca="1" si="3"/>
        <v>0.71414272433431092</v>
      </c>
      <c r="C242" s="48">
        <f t="array" aca="1" ref="C242" ca="1">MAX(0,ROUND(Inputs!$B$10*Inputs!$B$11+NORMSINV(B242)*SQRT(Inputs!$B$10*Inputs!$B$11),0))</f>
        <v>513</v>
      </c>
      <c r="D242" s="52">
        <f ca="1">C242*Inputs!$B$12</f>
        <v>61560000</v>
      </c>
    </row>
    <row r="243" spans="1:4" ht="13.5" customHeight="1" x14ac:dyDescent="0.3">
      <c r="A243" s="46">
        <v>239</v>
      </c>
      <c r="B243" s="47">
        <f t="shared" ca="1" si="3"/>
        <v>2.138945406860604E-2</v>
      </c>
      <c r="C243" s="48">
        <f t="array" aca="1" ref="C243" ca="1">MAX(0,ROUND(Inputs!$B$10*Inputs!$B$11+NORMSINV(B243)*SQRT(Inputs!$B$10*Inputs!$B$11),0))</f>
        <v>455</v>
      </c>
      <c r="D243" s="49">
        <f ca="1">C243*Inputs!$B$12</f>
        <v>54600000</v>
      </c>
    </row>
    <row r="244" spans="1:4" ht="13.5" customHeight="1" x14ac:dyDescent="0.3">
      <c r="A244" s="50">
        <v>240</v>
      </c>
      <c r="B244" s="51">
        <f t="shared" ca="1" si="3"/>
        <v>0.87638255609228066</v>
      </c>
      <c r="C244" s="48">
        <f t="array" aca="1" ref="C244" ca="1">MAX(0,ROUND(Inputs!$B$10*Inputs!$B$11+NORMSINV(B244)*SQRT(Inputs!$B$10*Inputs!$B$11),0))</f>
        <v>526</v>
      </c>
      <c r="D244" s="52">
        <f ca="1">C244*Inputs!$B$12</f>
        <v>63120000</v>
      </c>
    </row>
    <row r="245" spans="1:4" ht="13.5" customHeight="1" x14ac:dyDescent="0.3">
      <c r="A245" s="46">
        <v>241</v>
      </c>
      <c r="B245" s="47">
        <f t="shared" ca="1" si="3"/>
        <v>0.10069588655672113</v>
      </c>
      <c r="C245" s="48">
        <f t="array" aca="1" ref="C245" ca="1">MAX(0,ROUND(Inputs!$B$10*Inputs!$B$11+NORMSINV(B245)*SQRT(Inputs!$B$10*Inputs!$B$11),0))</f>
        <v>471</v>
      </c>
      <c r="D245" s="49">
        <f ca="1">C245*Inputs!$B$12</f>
        <v>56520000</v>
      </c>
    </row>
    <row r="246" spans="1:4" ht="13.5" customHeight="1" x14ac:dyDescent="0.3">
      <c r="A246" s="50">
        <v>242</v>
      </c>
      <c r="B246" s="51">
        <f t="shared" ca="1" si="3"/>
        <v>0.1768992324747678</v>
      </c>
      <c r="C246" s="48">
        <f t="array" aca="1" ref="C246" ca="1">MAX(0,ROUND(Inputs!$B$10*Inputs!$B$11+NORMSINV(B246)*SQRT(Inputs!$B$10*Inputs!$B$11),0))</f>
        <v>479</v>
      </c>
      <c r="D246" s="52">
        <f ca="1">C246*Inputs!$B$12</f>
        <v>57480000</v>
      </c>
    </row>
    <row r="247" spans="1:4" ht="13.5" customHeight="1" x14ac:dyDescent="0.3">
      <c r="A247" s="46">
        <v>243</v>
      </c>
      <c r="B247" s="47">
        <f t="shared" ca="1" si="3"/>
        <v>0.47994829646844983</v>
      </c>
      <c r="C247" s="48">
        <f t="array" aca="1" ref="C247" ca="1">MAX(0,ROUND(Inputs!$B$10*Inputs!$B$11+NORMSINV(B247)*SQRT(Inputs!$B$10*Inputs!$B$11),0))</f>
        <v>499</v>
      </c>
      <c r="D247" s="49">
        <f ca="1">C247*Inputs!$B$12</f>
        <v>59880000</v>
      </c>
    </row>
    <row r="248" spans="1:4" ht="13.5" customHeight="1" x14ac:dyDescent="0.3">
      <c r="A248" s="50">
        <v>244</v>
      </c>
      <c r="B248" s="51">
        <f t="shared" ca="1" si="3"/>
        <v>0.4809815857513956</v>
      </c>
      <c r="C248" s="48">
        <f t="array" aca="1" ref="C248" ca="1">MAX(0,ROUND(Inputs!$B$10*Inputs!$B$11+NORMSINV(B248)*SQRT(Inputs!$B$10*Inputs!$B$11),0))</f>
        <v>499</v>
      </c>
      <c r="D248" s="52">
        <f ca="1">C248*Inputs!$B$12</f>
        <v>59880000</v>
      </c>
    </row>
    <row r="249" spans="1:4" ht="13.5" customHeight="1" x14ac:dyDescent="0.3">
      <c r="A249" s="46">
        <v>245</v>
      </c>
      <c r="B249" s="47">
        <f t="shared" ca="1" si="3"/>
        <v>0.79826099224042479</v>
      </c>
      <c r="C249" s="48">
        <f t="array" aca="1" ref="C249" ca="1">MAX(0,ROUND(Inputs!$B$10*Inputs!$B$11+NORMSINV(B249)*SQRT(Inputs!$B$10*Inputs!$B$11),0))</f>
        <v>519</v>
      </c>
      <c r="D249" s="49">
        <f ca="1">C249*Inputs!$B$12</f>
        <v>62280000</v>
      </c>
    </row>
    <row r="250" spans="1:4" ht="13.5" customHeight="1" x14ac:dyDescent="0.3">
      <c r="A250" s="50">
        <v>246</v>
      </c>
      <c r="B250" s="51">
        <f t="shared" ca="1" si="3"/>
        <v>0.39763379798349741</v>
      </c>
      <c r="C250" s="48">
        <f t="array" aca="1" ref="C250" ca="1">MAX(0,ROUND(Inputs!$B$10*Inputs!$B$11+NORMSINV(B250)*SQRT(Inputs!$B$10*Inputs!$B$11),0))</f>
        <v>494</v>
      </c>
      <c r="D250" s="52">
        <f ca="1">C250*Inputs!$B$12</f>
        <v>59280000</v>
      </c>
    </row>
    <row r="251" spans="1:4" ht="13.5" customHeight="1" x14ac:dyDescent="0.3">
      <c r="A251" s="46">
        <v>247</v>
      </c>
      <c r="B251" s="47">
        <f t="shared" ca="1" si="3"/>
        <v>0.25032468521558371</v>
      </c>
      <c r="C251" s="48">
        <f t="array" aca="1" ref="C251" ca="1">MAX(0,ROUND(Inputs!$B$10*Inputs!$B$11+NORMSINV(B251)*SQRT(Inputs!$B$10*Inputs!$B$11),0))</f>
        <v>485</v>
      </c>
      <c r="D251" s="49">
        <f ca="1">C251*Inputs!$B$12</f>
        <v>58200000</v>
      </c>
    </row>
    <row r="252" spans="1:4" ht="13.5" customHeight="1" x14ac:dyDescent="0.3">
      <c r="A252" s="50">
        <v>248</v>
      </c>
      <c r="B252" s="51">
        <f t="shared" ca="1" si="3"/>
        <v>0.33298732387453789</v>
      </c>
      <c r="C252" s="48">
        <f t="array" aca="1" ref="C252" ca="1">MAX(0,ROUND(Inputs!$B$10*Inputs!$B$11+NORMSINV(B252)*SQRT(Inputs!$B$10*Inputs!$B$11),0))</f>
        <v>490</v>
      </c>
      <c r="D252" s="52">
        <f ca="1">C252*Inputs!$B$12</f>
        <v>58800000</v>
      </c>
    </row>
    <row r="253" spans="1:4" ht="13.5" customHeight="1" x14ac:dyDescent="0.3">
      <c r="A253" s="46">
        <v>249</v>
      </c>
      <c r="B253" s="47">
        <f t="shared" ca="1" si="3"/>
        <v>0.3033271361691382</v>
      </c>
      <c r="C253" s="48">
        <f t="array" aca="1" ref="C253" ca="1">MAX(0,ROUND(Inputs!$B$10*Inputs!$B$11+NORMSINV(B253)*SQRT(Inputs!$B$10*Inputs!$B$11),0))</f>
        <v>488</v>
      </c>
      <c r="D253" s="49">
        <f ca="1">C253*Inputs!$B$12</f>
        <v>58560000</v>
      </c>
    </row>
    <row r="254" spans="1:4" ht="13.5" customHeight="1" x14ac:dyDescent="0.3">
      <c r="A254" s="50">
        <v>250</v>
      </c>
      <c r="B254" s="51">
        <f t="shared" ca="1" si="3"/>
        <v>0.46093972713312148</v>
      </c>
      <c r="C254" s="48">
        <f t="array" aca="1" ref="C254" ca="1">MAX(0,ROUND(Inputs!$B$10*Inputs!$B$11+NORMSINV(B254)*SQRT(Inputs!$B$10*Inputs!$B$11),0))</f>
        <v>498</v>
      </c>
      <c r="D254" s="52">
        <f ca="1">C254*Inputs!$B$12</f>
        <v>59760000</v>
      </c>
    </row>
    <row r="255" spans="1:4" ht="13.5" customHeight="1" x14ac:dyDescent="0.3">
      <c r="A255" s="46">
        <v>251</v>
      </c>
      <c r="B255" s="47">
        <f t="shared" ca="1" si="3"/>
        <v>0.77164820037312354</v>
      </c>
      <c r="C255" s="48">
        <f t="array" aca="1" ref="C255" ca="1">MAX(0,ROUND(Inputs!$B$10*Inputs!$B$11+NORMSINV(B255)*SQRT(Inputs!$B$10*Inputs!$B$11),0))</f>
        <v>517</v>
      </c>
      <c r="D255" s="49">
        <f ca="1">C255*Inputs!$B$12</f>
        <v>62040000</v>
      </c>
    </row>
    <row r="256" spans="1:4" ht="13.5" customHeight="1" x14ac:dyDescent="0.3">
      <c r="A256" s="50">
        <v>252</v>
      </c>
      <c r="B256" s="51">
        <f t="shared" ca="1" si="3"/>
        <v>0.78906933434471704</v>
      </c>
      <c r="C256" s="48">
        <f t="array" aca="1" ref="C256" ca="1">MAX(0,ROUND(Inputs!$B$10*Inputs!$B$11+NORMSINV(B256)*SQRT(Inputs!$B$10*Inputs!$B$11),0))</f>
        <v>518</v>
      </c>
      <c r="D256" s="52">
        <f ca="1">C256*Inputs!$B$12</f>
        <v>62160000</v>
      </c>
    </row>
    <row r="257" spans="1:4" ht="13.5" customHeight="1" x14ac:dyDescent="0.3">
      <c r="A257" s="46">
        <v>253</v>
      </c>
      <c r="B257" s="47">
        <f t="shared" ca="1" si="3"/>
        <v>5.4600967535518796E-2</v>
      </c>
      <c r="C257" s="48">
        <f t="array" aca="1" ref="C257" ca="1">MAX(0,ROUND(Inputs!$B$10*Inputs!$B$11+NORMSINV(B257)*SQRT(Inputs!$B$10*Inputs!$B$11),0))</f>
        <v>464</v>
      </c>
      <c r="D257" s="49">
        <f ca="1">C257*Inputs!$B$12</f>
        <v>55680000</v>
      </c>
    </row>
    <row r="258" spans="1:4" ht="13.5" customHeight="1" x14ac:dyDescent="0.3">
      <c r="A258" s="50">
        <v>254</v>
      </c>
      <c r="B258" s="51">
        <f t="shared" ca="1" si="3"/>
        <v>0.76619042013796157</v>
      </c>
      <c r="C258" s="48">
        <f t="array" aca="1" ref="C258" ca="1">MAX(0,ROUND(Inputs!$B$10*Inputs!$B$11+NORMSINV(B258)*SQRT(Inputs!$B$10*Inputs!$B$11),0))</f>
        <v>516</v>
      </c>
      <c r="D258" s="52">
        <f ca="1">C258*Inputs!$B$12</f>
        <v>61920000</v>
      </c>
    </row>
    <row r="259" spans="1:4" ht="13.5" customHeight="1" x14ac:dyDescent="0.3">
      <c r="A259" s="46">
        <v>255</v>
      </c>
      <c r="B259" s="47">
        <f t="shared" ca="1" si="3"/>
        <v>0.83594484547634251</v>
      </c>
      <c r="C259" s="48">
        <f t="array" aca="1" ref="C259" ca="1">MAX(0,ROUND(Inputs!$B$10*Inputs!$B$11+NORMSINV(B259)*SQRT(Inputs!$B$10*Inputs!$B$11),0))</f>
        <v>522</v>
      </c>
      <c r="D259" s="49">
        <f ca="1">C259*Inputs!$B$12</f>
        <v>62640000</v>
      </c>
    </row>
    <row r="260" spans="1:4" ht="13.5" customHeight="1" x14ac:dyDescent="0.3">
      <c r="A260" s="50">
        <v>256</v>
      </c>
      <c r="B260" s="51">
        <f t="shared" ca="1" si="3"/>
        <v>1.4584277798831757E-2</v>
      </c>
      <c r="C260" s="48">
        <f t="array" aca="1" ref="C260" ca="1">MAX(0,ROUND(Inputs!$B$10*Inputs!$B$11+NORMSINV(B260)*SQRT(Inputs!$B$10*Inputs!$B$11),0))</f>
        <v>451</v>
      </c>
      <c r="D260" s="52">
        <f ca="1">C260*Inputs!$B$12</f>
        <v>54120000</v>
      </c>
    </row>
    <row r="261" spans="1:4" ht="13.5" customHeight="1" x14ac:dyDescent="0.3">
      <c r="A261" s="46">
        <v>257</v>
      </c>
      <c r="B261" s="47">
        <f t="shared" ref="B261:B324" ca="1" si="4">RAND()</f>
        <v>0.17750683000243306</v>
      </c>
      <c r="C261" s="48">
        <f t="array" aca="1" ref="C261" ca="1">MAX(0,ROUND(Inputs!$B$10*Inputs!$B$11+NORMSINV(B261)*SQRT(Inputs!$B$10*Inputs!$B$11),0))</f>
        <v>479</v>
      </c>
      <c r="D261" s="49">
        <f ca="1">C261*Inputs!$B$12</f>
        <v>57480000</v>
      </c>
    </row>
    <row r="262" spans="1:4" ht="13.5" customHeight="1" x14ac:dyDescent="0.3">
      <c r="A262" s="50">
        <v>258</v>
      </c>
      <c r="B262" s="51">
        <f t="shared" ca="1" si="4"/>
        <v>0.87230654496976701</v>
      </c>
      <c r="C262" s="48">
        <f t="array" aca="1" ref="C262" ca="1">MAX(0,ROUND(Inputs!$B$10*Inputs!$B$11+NORMSINV(B262)*SQRT(Inputs!$B$10*Inputs!$B$11),0))</f>
        <v>525</v>
      </c>
      <c r="D262" s="52">
        <f ca="1">C262*Inputs!$B$12</f>
        <v>63000000</v>
      </c>
    </row>
    <row r="263" spans="1:4" ht="13.5" customHeight="1" x14ac:dyDescent="0.3">
      <c r="A263" s="46">
        <v>259</v>
      </c>
      <c r="B263" s="47">
        <f t="shared" ca="1" si="4"/>
        <v>0.7611627075206544</v>
      </c>
      <c r="C263" s="48">
        <f t="array" aca="1" ref="C263" ca="1">MAX(0,ROUND(Inputs!$B$10*Inputs!$B$11+NORMSINV(B263)*SQRT(Inputs!$B$10*Inputs!$B$11),0))</f>
        <v>516</v>
      </c>
      <c r="D263" s="49">
        <f ca="1">C263*Inputs!$B$12</f>
        <v>61920000</v>
      </c>
    </row>
    <row r="264" spans="1:4" ht="13.5" customHeight="1" x14ac:dyDescent="0.3">
      <c r="A264" s="50">
        <v>260</v>
      </c>
      <c r="B264" s="51">
        <f t="shared" ca="1" si="4"/>
        <v>0.16695750097155515</v>
      </c>
      <c r="C264" s="48">
        <f t="array" aca="1" ref="C264" ca="1">MAX(0,ROUND(Inputs!$B$10*Inputs!$B$11+NORMSINV(B264)*SQRT(Inputs!$B$10*Inputs!$B$11),0))</f>
        <v>478</v>
      </c>
      <c r="D264" s="52">
        <f ca="1">C264*Inputs!$B$12</f>
        <v>57360000</v>
      </c>
    </row>
    <row r="265" spans="1:4" ht="13.5" customHeight="1" x14ac:dyDescent="0.3">
      <c r="A265" s="46">
        <v>261</v>
      </c>
      <c r="B265" s="47">
        <f t="shared" ca="1" si="4"/>
        <v>0.56798018894308477</v>
      </c>
      <c r="C265" s="48">
        <f t="array" aca="1" ref="C265" ca="1">MAX(0,ROUND(Inputs!$B$10*Inputs!$B$11+NORMSINV(B265)*SQRT(Inputs!$B$10*Inputs!$B$11),0))</f>
        <v>504</v>
      </c>
      <c r="D265" s="49">
        <f ca="1">C265*Inputs!$B$12</f>
        <v>60480000</v>
      </c>
    </row>
    <row r="266" spans="1:4" ht="13.5" customHeight="1" x14ac:dyDescent="0.3">
      <c r="A266" s="50">
        <v>262</v>
      </c>
      <c r="B266" s="51">
        <f t="shared" ca="1" si="4"/>
        <v>0.99947928692026378</v>
      </c>
      <c r="C266" s="48">
        <f t="array" aca="1" ref="C266" ca="1">MAX(0,ROUND(Inputs!$B$10*Inputs!$B$11+NORMSINV(B266)*SQRT(Inputs!$B$10*Inputs!$B$11),0))</f>
        <v>573</v>
      </c>
      <c r="D266" s="52">
        <f ca="1">C266*Inputs!$B$12</f>
        <v>68760000</v>
      </c>
    </row>
    <row r="267" spans="1:4" ht="13.5" customHeight="1" x14ac:dyDescent="0.3">
      <c r="A267" s="46">
        <v>263</v>
      </c>
      <c r="B267" s="47">
        <f t="shared" ca="1" si="4"/>
        <v>0.97634887813220161</v>
      </c>
      <c r="C267" s="48">
        <f t="array" aca="1" ref="C267" ca="1">MAX(0,ROUND(Inputs!$B$10*Inputs!$B$11+NORMSINV(B267)*SQRT(Inputs!$B$10*Inputs!$B$11),0))</f>
        <v>544</v>
      </c>
      <c r="D267" s="49">
        <f ca="1">C267*Inputs!$B$12</f>
        <v>65280000</v>
      </c>
    </row>
    <row r="268" spans="1:4" ht="13.5" customHeight="1" x14ac:dyDescent="0.3">
      <c r="A268" s="50">
        <v>264</v>
      </c>
      <c r="B268" s="51">
        <f t="shared" ca="1" si="4"/>
        <v>4.488662370879859E-2</v>
      </c>
      <c r="C268" s="48">
        <f t="array" aca="1" ref="C268" ca="1">MAX(0,ROUND(Inputs!$B$10*Inputs!$B$11+NORMSINV(B268)*SQRT(Inputs!$B$10*Inputs!$B$11),0))</f>
        <v>462</v>
      </c>
      <c r="D268" s="52">
        <f ca="1">C268*Inputs!$B$12</f>
        <v>55440000</v>
      </c>
    </row>
    <row r="269" spans="1:4" ht="13.5" customHeight="1" x14ac:dyDescent="0.3">
      <c r="A269" s="46">
        <v>265</v>
      </c>
      <c r="B269" s="47">
        <f t="shared" ca="1" si="4"/>
        <v>0.45397533015699454</v>
      </c>
      <c r="C269" s="48">
        <f t="array" aca="1" ref="C269" ca="1">MAX(0,ROUND(Inputs!$B$10*Inputs!$B$11+NORMSINV(B269)*SQRT(Inputs!$B$10*Inputs!$B$11),0))</f>
        <v>497</v>
      </c>
      <c r="D269" s="49">
        <f ca="1">C269*Inputs!$B$12</f>
        <v>59640000</v>
      </c>
    </row>
    <row r="270" spans="1:4" ht="13.5" customHeight="1" x14ac:dyDescent="0.3">
      <c r="A270" s="50">
        <v>266</v>
      </c>
      <c r="B270" s="51">
        <f t="shared" ca="1" si="4"/>
        <v>0.72152845573850055</v>
      </c>
      <c r="C270" s="48">
        <f t="array" aca="1" ref="C270" ca="1">MAX(0,ROUND(Inputs!$B$10*Inputs!$B$11+NORMSINV(B270)*SQRT(Inputs!$B$10*Inputs!$B$11),0))</f>
        <v>513</v>
      </c>
      <c r="D270" s="52">
        <f ca="1">C270*Inputs!$B$12</f>
        <v>61560000</v>
      </c>
    </row>
    <row r="271" spans="1:4" ht="13.5" customHeight="1" x14ac:dyDescent="0.3">
      <c r="A271" s="46">
        <v>267</v>
      </c>
      <c r="B271" s="47">
        <f t="shared" ca="1" si="4"/>
        <v>0.981988093931767</v>
      </c>
      <c r="C271" s="48">
        <f t="array" aca="1" ref="C271" ca="1">MAX(0,ROUND(Inputs!$B$10*Inputs!$B$11+NORMSINV(B271)*SQRT(Inputs!$B$10*Inputs!$B$11),0))</f>
        <v>547</v>
      </c>
      <c r="D271" s="49">
        <f ca="1">C271*Inputs!$B$12</f>
        <v>65640000</v>
      </c>
    </row>
    <row r="272" spans="1:4" ht="13.5" customHeight="1" x14ac:dyDescent="0.3">
      <c r="A272" s="50">
        <v>268</v>
      </c>
      <c r="B272" s="51">
        <f t="shared" ca="1" si="4"/>
        <v>0.8729516723820625</v>
      </c>
      <c r="C272" s="48">
        <f t="array" aca="1" ref="C272" ca="1">MAX(0,ROUND(Inputs!$B$10*Inputs!$B$11+NORMSINV(B272)*SQRT(Inputs!$B$10*Inputs!$B$11),0))</f>
        <v>526</v>
      </c>
      <c r="D272" s="52">
        <f ca="1">C272*Inputs!$B$12</f>
        <v>63120000</v>
      </c>
    </row>
    <row r="273" spans="1:4" ht="13.5" customHeight="1" x14ac:dyDescent="0.3">
      <c r="A273" s="46">
        <v>269</v>
      </c>
      <c r="B273" s="47">
        <f t="shared" ca="1" si="4"/>
        <v>0.12144995643795498</v>
      </c>
      <c r="C273" s="48">
        <f t="array" aca="1" ref="C273" ca="1">MAX(0,ROUND(Inputs!$B$10*Inputs!$B$11+NORMSINV(B273)*SQRT(Inputs!$B$10*Inputs!$B$11),0))</f>
        <v>474</v>
      </c>
      <c r="D273" s="49">
        <f ca="1">C273*Inputs!$B$12</f>
        <v>56880000</v>
      </c>
    </row>
    <row r="274" spans="1:4" ht="13.5" customHeight="1" x14ac:dyDescent="0.3">
      <c r="A274" s="50">
        <v>270</v>
      </c>
      <c r="B274" s="51">
        <f t="shared" ca="1" si="4"/>
        <v>0.31845765537661364</v>
      </c>
      <c r="C274" s="48">
        <f t="array" aca="1" ref="C274" ca="1">MAX(0,ROUND(Inputs!$B$10*Inputs!$B$11+NORMSINV(B274)*SQRT(Inputs!$B$10*Inputs!$B$11),0))</f>
        <v>489</v>
      </c>
      <c r="D274" s="52">
        <f ca="1">C274*Inputs!$B$12</f>
        <v>58680000</v>
      </c>
    </row>
    <row r="275" spans="1:4" ht="13.5" customHeight="1" x14ac:dyDescent="0.3">
      <c r="A275" s="46">
        <v>271</v>
      </c>
      <c r="B275" s="47">
        <f t="shared" ca="1" si="4"/>
        <v>0.93031367644482121</v>
      </c>
      <c r="C275" s="48">
        <f t="array" aca="1" ref="C275" ca="1">MAX(0,ROUND(Inputs!$B$10*Inputs!$B$11+NORMSINV(B275)*SQRT(Inputs!$B$10*Inputs!$B$11),0))</f>
        <v>533</v>
      </c>
      <c r="D275" s="49">
        <f ca="1">C275*Inputs!$B$12</f>
        <v>63960000</v>
      </c>
    </row>
    <row r="276" spans="1:4" ht="13.5" customHeight="1" x14ac:dyDescent="0.3">
      <c r="A276" s="50">
        <v>272</v>
      </c>
      <c r="B276" s="51">
        <f t="shared" ca="1" si="4"/>
        <v>0.97205121457631583</v>
      </c>
      <c r="C276" s="48">
        <f t="array" aca="1" ref="C276" ca="1">MAX(0,ROUND(Inputs!$B$10*Inputs!$B$11+NORMSINV(B276)*SQRT(Inputs!$B$10*Inputs!$B$11),0))</f>
        <v>543</v>
      </c>
      <c r="D276" s="52">
        <f ca="1">C276*Inputs!$B$12</f>
        <v>65160000</v>
      </c>
    </row>
    <row r="277" spans="1:4" ht="13.5" customHeight="1" x14ac:dyDescent="0.3">
      <c r="A277" s="46">
        <v>273</v>
      </c>
      <c r="B277" s="47">
        <f t="shared" ca="1" si="4"/>
        <v>0.69801709387170685</v>
      </c>
      <c r="C277" s="48">
        <f t="array" aca="1" ref="C277" ca="1">MAX(0,ROUND(Inputs!$B$10*Inputs!$B$11+NORMSINV(B277)*SQRT(Inputs!$B$10*Inputs!$B$11),0))</f>
        <v>512</v>
      </c>
      <c r="D277" s="49">
        <f ca="1">C277*Inputs!$B$12</f>
        <v>61440000</v>
      </c>
    </row>
    <row r="278" spans="1:4" ht="13.5" customHeight="1" x14ac:dyDescent="0.3">
      <c r="A278" s="50">
        <v>274</v>
      </c>
      <c r="B278" s="51">
        <f t="shared" ca="1" si="4"/>
        <v>0.24150194836863659</v>
      </c>
      <c r="C278" s="48">
        <f t="array" aca="1" ref="C278" ca="1">MAX(0,ROUND(Inputs!$B$10*Inputs!$B$11+NORMSINV(B278)*SQRT(Inputs!$B$10*Inputs!$B$11),0))</f>
        <v>484</v>
      </c>
      <c r="D278" s="52">
        <f ca="1">C278*Inputs!$B$12</f>
        <v>58080000</v>
      </c>
    </row>
    <row r="279" spans="1:4" ht="13.5" customHeight="1" x14ac:dyDescent="0.3">
      <c r="A279" s="46">
        <v>275</v>
      </c>
      <c r="B279" s="47">
        <f t="shared" ca="1" si="4"/>
        <v>0.35717416794581436</v>
      </c>
      <c r="C279" s="48">
        <f t="array" aca="1" ref="C279" ca="1">MAX(0,ROUND(Inputs!$B$10*Inputs!$B$11+NORMSINV(B279)*SQRT(Inputs!$B$10*Inputs!$B$11),0))</f>
        <v>492</v>
      </c>
      <c r="D279" s="49">
        <f ca="1">C279*Inputs!$B$12</f>
        <v>59040000</v>
      </c>
    </row>
    <row r="280" spans="1:4" ht="13.5" customHeight="1" x14ac:dyDescent="0.3">
      <c r="A280" s="50">
        <v>276</v>
      </c>
      <c r="B280" s="51">
        <f t="shared" ca="1" si="4"/>
        <v>0.26864098459460117</v>
      </c>
      <c r="C280" s="48">
        <f t="array" aca="1" ref="C280" ca="1">MAX(0,ROUND(Inputs!$B$10*Inputs!$B$11+NORMSINV(B280)*SQRT(Inputs!$B$10*Inputs!$B$11),0))</f>
        <v>486</v>
      </c>
      <c r="D280" s="52">
        <f ca="1">C280*Inputs!$B$12</f>
        <v>58320000</v>
      </c>
    </row>
    <row r="281" spans="1:4" ht="13.5" customHeight="1" x14ac:dyDescent="0.3">
      <c r="A281" s="46">
        <v>277</v>
      </c>
      <c r="B281" s="47">
        <f t="shared" ca="1" si="4"/>
        <v>0.18271836054012014</v>
      </c>
      <c r="C281" s="48">
        <f t="array" aca="1" ref="C281" ca="1">MAX(0,ROUND(Inputs!$B$10*Inputs!$B$11+NORMSINV(B281)*SQRT(Inputs!$B$10*Inputs!$B$11),0))</f>
        <v>480</v>
      </c>
      <c r="D281" s="49">
        <f ca="1">C281*Inputs!$B$12</f>
        <v>57600000</v>
      </c>
    </row>
    <row r="282" spans="1:4" ht="13.5" customHeight="1" x14ac:dyDescent="0.3">
      <c r="A282" s="50">
        <v>278</v>
      </c>
      <c r="B282" s="51">
        <f t="shared" ca="1" si="4"/>
        <v>0.62724809394174452</v>
      </c>
      <c r="C282" s="48">
        <f t="array" aca="1" ref="C282" ca="1">MAX(0,ROUND(Inputs!$B$10*Inputs!$B$11+NORMSINV(B282)*SQRT(Inputs!$B$10*Inputs!$B$11),0))</f>
        <v>507</v>
      </c>
      <c r="D282" s="52">
        <f ca="1">C282*Inputs!$B$12</f>
        <v>60840000</v>
      </c>
    </row>
    <row r="283" spans="1:4" ht="13.5" customHeight="1" x14ac:dyDescent="0.3">
      <c r="A283" s="46">
        <v>279</v>
      </c>
      <c r="B283" s="47">
        <f t="shared" ca="1" si="4"/>
        <v>0.84476197593522784</v>
      </c>
      <c r="C283" s="48">
        <f t="array" aca="1" ref="C283" ca="1">MAX(0,ROUND(Inputs!$B$10*Inputs!$B$11+NORMSINV(B283)*SQRT(Inputs!$B$10*Inputs!$B$11),0))</f>
        <v>523</v>
      </c>
      <c r="D283" s="49">
        <f ca="1">C283*Inputs!$B$12</f>
        <v>62760000</v>
      </c>
    </row>
    <row r="284" spans="1:4" ht="13.5" customHeight="1" x14ac:dyDescent="0.3">
      <c r="A284" s="50">
        <v>280</v>
      </c>
      <c r="B284" s="51">
        <f t="shared" ca="1" si="4"/>
        <v>0.90173933222491953</v>
      </c>
      <c r="C284" s="48">
        <f t="array" aca="1" ref="C284" ca="1">MAX(0,ROUND(Inputs!$B$10*Inputs!$B$11+NORMSINV(B284)*SQRT(Inputs!$B$10*Inputs!$B$11),0))</f>
        <v>529</v>
      </c>
      <c r="D284" s="52">
        <f ca="1">C284*Inputs!$B$12</f>
        <v>63480000</v>
      </c>
    </row>
    <row r="285" spans="1:4" ht="13.5" customHeight="1" x14ac:dyDescent="0.3">
      <c r="A285" s="46">
        <v>281</v>
      </c>
      <c r="B285" s="47">
        <f t="shared" ca="1" si="4"/>
        <v>6.6406525784303949E-2</v>
      </c>
      <c r="C285" s="48">
        <f t="array" aca="1" ref="C285" ca="1">MAX(0,ROUND(Inputs!$B$10*Inputs!$B$11+NORMSINV(B285)*SQRT(Inputs!$B$10*Inputs!$B$11),0))</f>
        <v>466</v>
      </c>
      <c r="D285" s="49">
        <f ca="1">C285*Inputs!$B$12</f>
        <v>55920000</v>
      </c>
    </row>
    <row r="286" spans="1:4" ht="13.5" customHeight="1" x14ac:dyDescent="0.3">
      <c r="A286" s="50">
        <v>282</v>
      </c>
      <c r="B286" s="51">
        <f t="shared" ca="1" si="4"/>
        <v>0.90748143943057913</v>
      </c>
      <c r="C286" s="48">
        <f t="array" aca="1" ref="C286" ca="1">MAX(0,ROUND(Inputs!$B$10*Inputs!$B$11+NORMSINV(B286)*SQRT(Inputs!$B$10*Inputs!$B$11),0))</f>
        <v>530</v>
      </c>
      <c r="D286" s="52">
        <f ca="1">C286*Inputs!$B$12</f>
        <v>63600000</v>
      </c>
    </row>
    <row r="287" spans="1:4" ht="13.5" customHeight="1" x14ac:dyDescent="0.3">
      <c r="A287" s="46">
        <v>283</v>
      </c>
      <c r="B287" s="47">
        <f t="shared" ca="1" si="4"/>
        <v>0.69062096887293256</v>
      </c>
      <c r="C287" s="48">
        <f t="array" aca="1" ref="C287" ca="1">MAX(0,ROUND(Inputs!$B$10*Inputs!$B$11+NORMSINV(B287)*SQRT(Inputs!$B$10*Inputs!$B$11),0))</f>
        <v>511</v>
      </c>
      <c r="D287" s="49">
        <f ca="1">C287*Inputs!$B$12</f>
        <v>61320000</v>
      </c>
    </row>
    <row r="288" spans="1:4" ht="13.5" customHeight="1" x14ac:dyDescent="0.3">
      <c r="A288" s="50">
        <v>284</v>
      </c>
      <c r="B288" s="51">
        <f t="shared" ca="1" si="4"/>
        <v>0.49817453334337281</v>
      </c>
      <c r="C288" s="48">
        <f t="array" aca="1" ref="C288" ca="1">MAX(0,ROUND(Inputs!$B$10*Inputs!$B$11+NORMSINV(B288)*SQRT(Inputs!$B$10*Inputs!$B$11),0))</f>
        <v>500</v>
      </c>
      <c r="D288" s="52">
        <f ca="1">C288*Inputs!$B$12</f>
        <v>60000000</v>
      </c>
    </row>
    <row r="289" spans="1:4" ht="13.5" customHeight="1" x14ac:dyDescent="0.3">
      <c r="A289" s="46">
        <v>285</v>
      </c>
      <c r="B289" s="47">
        <f t="shared" ca="1" si="4"/>
        <v>0.7854570157298586</v>
      </c>
      <c r="C289" s="48">
        <f t="array" aca="1" ref="C289" ca="1">MAX(0,ROUND(Inputs!$B$10*Inputs!$B$11+NORMSINV(B289)*SQRT(Inputs!$B$10*Inputs!$B$11),0))</f>
        <v>518</v>
      </c>
      <c r="D289" s="49">
        <f ca="1">C289*Inputs!$B$12</f>
        <v>62160000</v>
      </c>
    </row>
    <row r="290" spans="1:4" ht="13.5" customHeight="1" x14ac:dyDescent="0.3">
      <c r="A290" s="50">
        <v>286</v>
      </c>
      <c r="B290" s="51">
        <f t="shared" ca="1" si="4"/>
        <v>0.46752983111224355</v>
      </c>
      <c r="C290" s="48">
        <f t="array" aca="1" ref="C290" ca="1">MAX(0,ROUND(Inputs!$B$10*Inputs!$B$11+NORMSINV(B290)*SQRT(Inputs!$B$10*Inputs!$B$11),0))</f>
        <v>498</v>
      </c>
      <c r="D290" s="52">
        <f ca="1">C290*Inputs!$B$12</f>
        <v>59760000</v>
      </c>
    </row>
    <row r="291" spans="1:4" ht="13.5" customHeight="1" x14ac:dyDescent="0.3">
      <c r="A291" s="46">
        <v>287</v>
      </c>
      <c r="B291" s="47">
        <f t="shared" ca="1" si="4"/>
        <v>0.41834734810175567</v>
      </c>
      <c r="C291" s="48">
        <f t="array" aca="1" ref="C291" ca="1">MAX(0,ROUND(Inputs!$B$10*Inputs!$B$11+NORMSINV(B291)*SQRT(Inputs!$B$10*Inputs!$B$11),0))</f>
        <v>495</v>
      </c>
      <c r="D291" s="49">
        <f ca="1">C291*Inputs!$B$12</f>
        <v>59400000</v>
      </c>
    </row>
    <row r="292" spans="1:4" ht="13.5" customHeight="1" x14ac:dyDescent="0.3">
      <c r="A292" s="50">
        <v>288</v>
      </c>
      <c r="B292" s="51">
        <f t="shared" ca="1" si="4"/>
        <v>0.77735337181184894</v>
      </c>
      <c r="C292" s="48">
        <f t="array" aca="1" ref="C292" ca="1">MAX(0,ROUND(Inputs!$B$10*Inputs!$B$11+NORMSINV(B292)*SQRT(Inputs!$B$10*Inputs!$B$11),0))</f>
        <v>517</v>
      </c>
      <c r="D292" s="52">
        <f ca="1">C292*Inputs!$B$12</f>
        <v>62040000</v>
      </c>
    </row>
    <row r="293" spans="1:4" ht="13.5" customHeight="1" x14ac:dyDescent="0.3">
      <c r="A293" s="46">
        <v>289</v>
      </c>
      <c r="B293" s="47">
        <f t="shared" ca="1" si="4"/>
        <v>0.38175874750988326</v>
      </c>
      <c r="C293" s="48">
        <f t="array" aca="1" ref="C293" ca="1">MAX(0,ROUND(Inputs!$B$10*Inputs!$B$11+NORMSINV(B293)*SQRT(Inputs!$B$10*Inputs!$B$11),0))</f>
        <v>493</v>
      </c>
      <c r="D293" s="49">
        <f ca="1">C293*Inputs!$B$12</f>
        <v>59160000</v>
      </c>
    </row>
    <row r="294" spans="1:4" ht="13.5" customHeight="1" x14ac:dyDescent="0.3">
      <c r="A294" s="50">
        <v>290</v>
      </c>
      <c r="B294" s="51">
        <f t="shared" ca="1" si="4"/>
        <v>0.97073571342436971</v>
      </c>
      <c r="C294" s="48">
        <f t="array" aca="1" ref="C294" ca="1">MAX(0,ROUND(Inputs!$B$10*Inputs!$B$11+NORMSINV(B294)*SQRT(Inputs!$B$10*Inputs!$B$11),0))</f>
        <v>542</v>
      </c>
      <c r="D294" s="52">
        <f ca="1">C294*Inputs!$B$12</f>
        <v>65040000</v>
      </c>
    </row>
    <row r="295" spans="1:4" ht="13.5" customHeight="1" x14ac:dyDescent="0.3">
      <c r="A295" s="46">
        <v>291</v>
      </c>
      <c r="B295" s="47">
        <f t="shared" ca="1" si="4"/>
        <v>0.16075954550234983</v>
      </c>
      <c r="C295" s="48">
        <f t="array" aca="1" ref="C295" ca="1">MAX(0,ROUND(Inputs!$B$10*Inputs!$B$11+NORMSINV(B295)*SQRT(Inputs!$B$10*Inputs!$B$11),0))</f>
        <v>478</v>
      </c>
      <c r="D295" s="49">
        <f ca="1">C295*Inputs!$B$12</f>
        <v>57360000</v>
      </c>
    </row>
    <row r="296" spans="1:4" ht="13.5" customHeight="1" x14ac:dyDescent="0.3">
      <c r="A296" s="50">
        <v>292</v>
      </c>
      <c r="B296" s="51">
        <f t="shared" ca="1" si="4"/>
        <v>0.17010269242834586</v>
      </c>
      <c r="C296" s="48">
        <f t="array" aca="1" ref="C296" ca="1">MAX(0,ROUND(Inputs!$B$10*Inputs!$B$11+NORMSINV(B296)*SQRT(Inputs!$B$10*Inputs!$B$11),0))</f>
        <v>479</v>
      </c>
      <c r="D296" s="52">
        <f ca="1">C296*Inputs!$B$12</f>
        <v>57480000</v>
      </c>
    </row>
    <row r="297" spans="1:4" ht="13.5" customHeight="1" x14ac:dyDescent="0.3">
      <c r="A297" s="46">
        <v>293</v>
      </c>
      <c r="B297" s="47">
        <f t="shared" ca="1" si="4"/>
        <v>0.64461174303138524</v>
      </c>
      <c r="C297" s="48">
        <f t="array" aca="1" ref="C297" ca="1">MAX(0,ROUND(Inputs!$B$10*Inputs!$B$11+NORMSINV(B297)*SQRT(Inputs!$B$10*Inputs!$B$11),0))</f>
        <v>508</v>
      </c>
      <c r="D297" s="49">
        <f ca="1">C297*Inputs!$B$12</f>
        <v>60960000</v>
      </c>
    </row>
    <row r="298" spans="1:4" ht="13.5" customHeight="1" x14ac:dyDescent="0.3">
      <c r="A298" s="50">
        <v>294</v>
      </c>
      <c r="B298" s="51">
        <f t="shared" ca="1" si="4"/>
        <v>0.9743555794564408</v>
      </c>
      <c r="C298" s="48">
        <f t="array" aca="1" ref="C298" ca="1">MAX(0,ROUND(Inputs!$B$10*Inputs!$B$11+NORMSINV(B298)*SQRT(Inputs!$B$10*Inputs!$B$11),0))</f>
        <v>544</v>
      </c>
      <c r="D298" s="52">
        <f ca="1">C298*Inputs!$B$12</f>
        <v>65280000</v>
      </c>
    </row>
    <row r="299" spans="1:4" ht="13.5" customHeight="1" x14ac:dyDescent="0.3">
      <c r="A299" s="46">
        <v>295</v>
      </c>
      <c r="B299" s="47">
        <f t="shared" ca="1" si="4"/>
        <v>0.34976661866241665</v>
      </c>
      <c r="C299" s="48">
        <f t="array" aca="1" ref="C299" ca="1">MAX(0,ROUND(Inputs!$B$10*Inputs!$B$11+NORMSINV(B299)*SQRT(Inputs!$B$10*Inputs!$B$11),0))</f>
        <v>491</v>
      </c>
      <c r="D299" s="49">
        <f ca="1">C299*Inputs!$B$12</f>
        <v>58920000</v>
      </c>
    </row>
    <row r="300" spans="1:4" ht="13.5" customHeight="1" x14ac:dyDescent="0.3">
      <c r="A300" s="50">
        <v>296</v>
      </c>
      <c r="B300" s="51">
        <f t="shared" ca="1" si="4"/>
        <v>0.21896997478392111</v>
      </c>
      <c r="C300" s="48">
        <f t="array" aca="1" ref="C300" ca="1">MAX(0,ROUND(Inputs!$B$10*Inputs!$B$11+NORMSINV(B300)*SQRT(Inputs!$B$10*Inputs!$B$11),0))</f>
        <v>483</v>
      </c>
      <c r="D300" s="52">
        <f ca="1">C300*Inputs!$B$12</f>
        <v>57960000</v>
      </c>
    </row>
    <row r="301" spans="1:4" ht="13.5" customHeight="1" x14ac:dyDescent="0.3">
      <c r="A301" s="46">
        <v>297</v>
      </c>
      <c r="B301" s="47">
        <f t="shared" ca="1" si="4"/>
        <v>0.34103724404944658</v>
      </c>
      <c r="C301" s="48">
        <f t="array" aca="1" ref="C301" ca="1">MAX(0,ROUND(Inputs!$B$10*Inputs!$B$11+NORMSINV(B301)*SQRT(Inputs!$B$10*Inputs!$B$11),0))</f>
        <v>491</v>
      </c>
      <c r="D301" s="49">
        <f ca="1">C301*Inputs!$B$12</f>
        <v>58920000</v>
      </c>
    </row>
    <row r="302" spans="1:4" ht="13.5" customHeight="1" x14ac:dyDescent="0.3">
      <c r="A302" s="50">
        <v>298</v>
      </c>
      <c r="B302" s="51">
        <f t="shared" ca="1" si="4"/>
        <v>0.86276747490992767</v>
      </c>
      <c r="C302" s="48">
        <f t="array" aca="1" ref="C302" ca="1">MAX(0,ROUND(Inputs!$B$10*Inputs!$B$11+NORMSINV(B302)*SQRT(Inputs!$B$10*Inputs!$B$11),0))</f>
        <v>524</v>
      </c>
      <c r="D302" s="52">
        <f ca="1">C302*Inputs!$B$12</f>
        <v>62880000</v>
      </c>
    </row>
    <row r="303" spans="1:4" ht="13.5" customHeight="1" x14ac:dyDescent="0.3">
      <c r="A303" s="46">
        <v>299</v>
      </c>
      <c r="B303" s="47">
        <f t="shared" ca="1" si="4"/>
        <v>0.96644227193357291</v>
      </c>
      <c r="C303" s="48">
        <f t="array" aca="1" ref="C303" ca="1">MAX(0,ROUND(Inputs!$B$10*Inputs!$B$11+NORMSINV(B303)*SQRT(Inputs!$B$10*Inputs!$B$11),0))</f>
        <v>541</v>
      </c>
      <c r="D303" s="49">
        <f ca="1">C303*Inputs!$B$12</f>
        <v>64920000</v>
      </c>
    </row>
    <row r="304" spans="1:4" ht="13.5" customHeight="1" x14ac:dyDescent="0.3">
      <c r="A304" s="50">
        <v>300</v>
      </c>
      <c r="B304" s="51">
        <f t="shared" ca="1" si="4"/>
        <v>0.95282950479036033</v>
      </c>
      <c r="C304" s="48">
        <f t="array" aca="1" ref="C304" ca="1">MAX(0,ROUND(Inputs!$B$10*Inputs!$B$11+NORMSINV(B304)*SQRT(Inputs!$B$10*Inputs!$B$11),0))</f>
        <v>537</v>
      </c>
      <c r="D304" s="52">
        <f ca="1">C304*Inputs!$B$12</f>
        <v>64440000</v>
      </c>
    </row>
    <row r="305" spans="1:4" ht="13.5" customHeight="1" x14ac:dyDescent="0.3">
      <c r="A305" s="46">
        <v>301</v>
      </c>
      <c r="B305" s="47">
        <f t="shared" ca="1" si="4"/>
        <v>0.92763919288864982</v>
      </c>
      <c r="C305" s="48">
        <f t="array" aca="1" ref="C305" ca="1">MAX(0,ROUND(Inputs!$B$10*Inputs!$B$11+NORMSINV(B305)*SQRT(Inputs!$B$10*Inputs!$B$11),0))</f>
        <v>533</v>
      </c>
      <c r="D305" s="49">
        <f ca="1">C305*Inputs!$B$12</f>
        <v>63960000</v>
      </c>
    </row>
    <row r="306" spans="1:4" ht="13.5" customHeight="1" x14ac:dyDescent="0.3">
      <c r="A306" s="50">
        <v>302</v>
      </c>
      <c r="B306" s="51">
        <f t="shared" ca="1" si="4"/>
        <v>0.32052145047592029</v>
      </c>
      <c r="C306" s="48">
        <f t="array" aca="1" ref="C306" ca="1">MAX(0,ROUND(Inputs!$B$10*Inputs!$B$11+NORMSINV(B306)*SQRT(Inputs!$B$10*Inputs!$B$11),0))</f>
        <v>490</v>
      </c>
      <c r="D306" s="52">
        <f ca="1">C306*Inputs!$B$12</f>
        <v>58800000</v>
      </c>
    </row>
    <row r="307" spans="1:4" ht="13.5" customHeight="1" x14ac:dyDescent="0.3">
      <c r="A307" s="46">
        <v>303</v>
      </c>
      <c r="B307" s="47">
        <f t="shared" ca="1" si="4"/>
        <v>0.2040773674461196</v>
      </c>
      <c r="C307" s="48">
        <f t="array" aca="1" ref="C307" ca="1">MAX(0,ROUND(Inputs!$B$10*Inputs!$B$11+NORMSINV(B307)*SQRT(Inputs!$B$10*Inputs!$B$11),0))</f>
        <v>482</v>
      </c>
      <c r="D307" s="49">
        <f ca="1">C307*Inputs!$B$12</f>
        <v>57840000</v>
      </c>
    </row>
    <row r="308" spans="1:4" ht="13.5" customHeight="1" x14ac:dyDescent="0.3">
      <c r="A308" s="50">
        <v>304</v>
      </c>
      <c r="B308" s="51">
        <f t="shared" ca="1" si="4"/>
        <v>0.52167012180899897</v>
      </c>
      <c r="C308" s="48">
        <f t="array" aca="1" ref="C308" ca="1">MAX(0,ROUND(Inputs!$B$10*Inputs!$B$11+NORMSINV(B308)*SQRT(Inputs!$B$10*Inputs!$B$11),0))</f>
        <v>501</v>
      </c>
      <c r="D308" s="52">
        <f ca="1">C308*Inputs!$B$12</f>
        <v>60120000</v>
      </c>
    </row>
    <row r="309" spans="1:4" ht="13.5" customHeight="1" x14ac:dyDescent="0.3">
      <c r="A309" s="46">
        <v>305</v>
      </c>
      <c r="B309" s="47">
        <f t="shared" ca="1" si="4"/>
        <v>0.76893412462433675</v>
      </c>
      <c r="C309" s="48">
        <f t="array" aca="1" ref="C309" ca="1">MAX(0,ROUND(Inputs!$B$10*Inputs!$B$11+NORMSINV(B309)*SQRT(Inputs!$B$10*Inputs!$B$11),0))</f>
        <v>516</v>
      </c>
      <c r="D309" s="49">
        <f ca="1">C309*Inputs!$B$12</f>
        <v>61920000</v>
      </c>
    </row>
    <row r="310" spans="1:4" ht="13.5" customHeight="1" x14ac:dyDescent="0.3">
      <c r="A310" s="50">
        <v>306</v>
      </c>
      <c r="B310" s="51">
        <f t="shared" ca="1" si="4"/>
        <v>0.57375261678860867</v>
      </c>
      <c r="C310" s="48">
        <f t="array" aca="1" ref="C310" ca="1">MAX(0,ROUND(Inputs!$B$10*Inputs!$B$11+NORMSINV(B310)*SQRT(Inputs!$B$10*Inputs!$B$11),0))</f>
        <v>504</v>
      </c>
      <c r="D310" s="52">
        <f ca="1">C310*Inputs!$B$12</f>
        <v>60480000</v>
      </c>
    </row>
    <row r="311" spans="1:4" ht="13.5" customHeight="1" x14ac:dyDescent="0.3">
      <c r="A311" s="46">
        <v>307</v>
      </c>
      <c r="B311" s="47">
        <f t="shared" ca="1" si="4"/>
        <v>1.8852596576670599E-2</v>
      </c>
      <c r="C311" s="48">
        <f t="array" aca="1" ref="C311" ca="1">MAX(0,ROUND(Inputs!$B$10*Inputs!$B$11+NORMSINV(B311)*SQRT(Inputs!$B$10*Inputs!$B$11),0))</f>
        <v>454</v>
      </c>
      <c r="D311" s="49">
        <f ca="1">C311*Inputs!$B$12</f>
        <v>54480000</v>
      </c>
    </row>
    <row r="312" spans="1:4" ht="13.5" customHeight="1" x14ac:dyDescent="0.3">
      <c r="A312" s="50">
        <v>308</v>
      </c>
      <c r="B312" s="51">
        <f t="shared" ca="1" si="4"/>
        <v>0.22304946511328405</v>
      </c>
      <c r="C312" s="48">
        <f t="array" aca="1" ref="C312" ca="1">MAX(0,ROUND(Inputs!$B$10*Inputs!$B$11+NORMSINV(B312)*SQRT(Inputs!$B$10*Inputs!$B$11),0))</f>
        <v>483</v>
      </c>
      <c r="D312" s="52">
        <f ca="1">C312*Inputs!$B$12</f>
        <v>57960000</v>
      </c>
    </row>
    <row r="313" spans="1:4" ht="13.5" customHeight="1" x14ac:dyDescent="0.3">
      <c r="A313" s="46">
        <v>309</v>
      </c>
      <c r="B313" s="47">
        <f t="shared" ca="1" si="4"/>
        <v>0.13485091669915827</v>
      </c>
      <c r="C313" s="48">
        <f t="array" aca="1" ref="C313" ca="1">MAX(0,ROUND(Inputs!$B$10*Inputs!$B$11+NORMSINV(B313)*SQRT(Inputs!$B$10*Inputs!$B$11),0))</f>
        <v>475</v>
      </c>
      <c r="D313" s="49">
        <f ca="1">C313*Inputs!$B$12</f>
        <v>57000000</v>
      </c>
    </row>
    <row r="314" spans="1:4" ht="13.5" customHeight="1" x14ac:dyDescent="0.3">
      <c r="A314" s="50">
        <v>310</v>
      </c>
      <c r="B314" s="51">
        <f t="shared" ca="1" si="4"/>
        <v>0.73132012516042988</v>
      </c>
      <c r="C314" s="48">
        <f t="array" aca="1" ref="C314" ca="1">MAX(0,ROUND(Inputs!$B$10*Inputs!$B$11+NORMSINV(B314)*SQRT(Inputs!$B$10*Inputs!$B$11),0))</f>
        <v>514</v>
      </c>
      <c r="D314" s="52">
        <f ca="1">C314*Inputs!$B$12</f>
        <v>61680000</v>
      </c>
    </row>
    <row r="315" spans="1:4" ht="13.5" customHeight="1" x14ac:dyDescent="0.3">
      <c r="A315" s="46">
        <v>311</v>
      </c>
      <c r="B315" s="47">
        <f t="shared" ca="1" si="4"/>
        <v>0.81389449256831581</v>
      </c>
      <c r="C315" s="48">
        <f t="array" aca="1" ref="C315" ca="1">MAX(0,ROUND(Inputs!$B$10*Inputs!$B$11+NORMSINV(B315)*SQRT(Inputs!$B$10*Inputs!$B$11),0))</f>
        <v>520</v>
      </c>
      <c r="D315" s="49">
        <f ca="1">C315*Inputs!$B$12</f>
        <v>62400000</v>
      </c>
    </row>
    <row r="316" spans="1:4" ht="13.5" customHeight="1" x14ac:dyDescent="0.3">
      <c r="A316" s="50">
        <v>312</v>
      </c>
      <c r="B316" s="51">
        <f t="shared" ca="1" si="4"/>
        <v>0.23035455769139312</v>
      </c>
      <c r="C316" s="48">
        <f t="array" aca="1" ref="C316" ca="1">MAX(0,ROUND(Inputs!$B$10*Inputs!$B$11+NORMSINV(B316)*SQRT(Inputs!$B$10*Inputs!$B$11),0))</f>
        <v>484</v>
      </c>
      <c r="D316" s="52">
        <f ca="1">C316*Inputs!$B$12</f>
        <v>58080000</v>
      </c>
    </row>
    <row r="317" spans="1:4" ht="13.5" customHeight="1" x14ac:dyDescent="0.3">
      <c r="A317" s="46">
        <v>313</v>
      </c>
      <c r="B317" s="47">
        <f t="shared" ca="1" si="4"/>
        <v>0.94129040223163973</v>
      </c>
      <c r="C317" s="48">
        <f t="array" aca="1" ref="C317" ca="1">MAX(0,ROUND(Inputs!$B$10*Inputs!$B$11+NORMSINV(B317)*SQRT(Inputs!$B$10*Inputs!$B$11),0))</f>
        <v>535</v>
      </c>
      <c r="D317" s="49">
        <f ca="1">C317*Inputs!$B$12</f>
        <v>64200000</v>
      </c>
    </row>
    <row r="318" spans="1:4" ht="13.5" customHeight="1" x14ac:dyDescent="0.3">
      <c r="A318" s="50">
        <v>314</v>
      </c>
      <c r="B318" s="51">
        <f t="shared" ca="1" si="4"/>
        <v>0.59479473196383437</v>
      </c>
      <c r="C318" s="48">
        <f t="array" aca="1" ref="C318" ca="1">MAX(0,ROUND(Inputs!$B$10*Inputs!$B$11+NORMSINV(B318)*SQRT(Inputs!$B$10*Inputs!$B$11),0))</f>
        <v>505</v>
      </c>
      <c r="D318" s="52">
        <f ca="1">C318*Inputs!$B$12</f>
        <v>60600000</v>
      </c>
    </row>
    <row r="319" spans="1:4" ht="13.5" customHeight="1" x14ac:dyDescent="0.3">
      <c r="A319" s="46">
        <v>315</v>
      </c>
      <c r="B319" s="47">
        <f t="shared" ca="1" si="4"/>
        <v>0.86099070586923121</v>
      </c>
      <c r="C319" s="48">
        <f t="array" aca="1" ref="C319" ca="1">MAX(0,ROUND(Inputs!$B$10*Inputs!$B$11+NORMSINV(B319)*SQRT(Inputs!$B$10*Inputs!$B$11),0))</f>
        <v>524</v>
      </c>
      <c r="D319" s="49">
        <f ca="1">C319*Inputs!$B$12</f>
        <v>62880000</v>
      </c>
    </row>
    <row r="320" spans="1:4" ht="13.5" customHeight="1" x14ac:dyDescent="0.3">
      <c r="A320" s="50">
        <v>316</v>
      </c>
      <c r="B320" s="51">
        <f t="shared" ca="1" si="4"/>
        <v>8.798474443497506E-2</v>
      </c>
      <c r="C320" s="48">
        <f t="array" aca="1" ref="C320" ca="1">MAX(0,ROUND(Inputs!$B$10*Inputs!$B$11+NORMSINV(B320)*SQRT(Inputs!$B$10*Inputs!$B$11),0))</f>
        <v>470</v>
      </c>
      <c r="D320" s="52">
        <f ca="1">C320*Inputs!$B$12</f>
        <v>56400000</v>
      </c>
    </row>
    <row r="321" spans="1:4" ht="13.5" customHeight="1" x14ac:dyDescent="0.3">
      <c r="A321" s="46">
        <v>317</v>
      </c>
      <c r="B321" s="47">
        <f t="shared" ca="1" si="4"/>
        <v>0.97823609065298367</v>
      </c>
      <c r="C321" s="48">
        <f t="array" aca="1" ref="C321" ca="1">MAX(0,ROUND(Inputs!$B$10*Inputs!$B$11+NORMSINV(B321)*SQRT(Inputs!$B$10*Inputs!$B$11),0))</f>
        <v>545</v>
      </c>
      <c r="D321" s="49">
        <f ca="1">C321*Inputs!$B$12</f>
        <v>65400000</v>
      </c>
    </row>
    <row r="322" spans="1:4" ht="13.5" customHeight="1" x14ac:dyDescent="0.3">
      <c r="A322" s="50">
        <v>318</v>
      </c>
      <c r="B322" s="51">
        <f t="shared" ca="1" si="4"/>
        <v>2.9105938664885866E-2</v>
      </c>
      <c r="C322" s="48">
        <f t="array" aca="1" ref="C322" ca="1">MAX(0,ROUND(Inputs!$B$10*Inputs!$B$11+NORMSINV(B322)*SQRT(Inputs!$B$10*Inputs!$B$11),0))</f>
        <v>458</v>
      </c>
      <c r="D322" s="52">
        <f ca="1">C322*Inputs!$B$12</f>
        <v>54960000</v>
      </c>
    </row>
    <row r="323" spans="1:4" ht="13.5" customHeight="1" x14ac:dyDescent="0.3">
      <c r="A323" s="46">
        <v>319</v>
      </c>
      <c r="B323" s="47">
        <f t="shared" ca="1" si="4"/>
        <v>0.72895608008555179</v>
      </c>
      <c r="C323" s="48">
        <f t="array" aca="1" ref="C323" ca="1">MAX(0,ROUND(Inputs!$B$10*Inputs!$B$11+NORMSINV(B323)*SQRT(Inputs!$B$10*Inputs!$B$11),0))</f>
        <v>514</v>
      </c>
      <c r="D323" s="49">
        <f ca="1">C323*Inputs!$B$12</f>
        <v>61680000</v>
      </c>
    </row>
    <row r="324" spans="1:4" ht="13.5" customHeight="1" x14ac:dyDescent="0.3">
      <c r="A324" s="50">
        <v>320</v>
      </c>
      <c r="B324" s="51">
        <f t="shared" ca="1" si="4"/>
        <v>1.9401369933642942E-2</v>
      </c>
      <c r="C324" s="48">
        <f t="array" aca="1" ref="C324" ca="1">MAX(0,ROUND(Inputs!$B$10*Inputs!$B$11+NORMSINV(B324)*SQRT(Inputs!$B$10*Inputs!$B$11),0))</f>
        <v>454</v>
      </c>
      <c r="D324" s="52">
        <f ca="1">C324*Inputs!$B$12</f>
        <v>54480000</v>
      </c>
    </row>
    <row r="325" spans="1:4" ht="13.5" customHeight="1" x14ac:dyDescent="0.3">
      <c r="A325" s="46">
        <v>321</v>
      </c>
      <c r="B325" s="47">
        <f t="shared" ref="B325:B388" ca="1" si="5">RAND()</f>
        <v>7.2185830167632026E-2</v>
      </c>
      <c r="C325" s="48">
        <f t="array" aca="1" ref="C325" ca="1">MAX(0,ROUND(Inputs!$B$10*Inputs!$B$11+NORMSINV(B325)*SQRT(Inputs!$B$10*Inputs!$B$11),0))</f>
        <v>467</v>
      </c>
      <c r="D325" s="49">
        <f ca="1">C325*Inputs!$B$12</f>
        <v>56040000</v>
      </c>
    </row>
    <row r="326" spans="1:4" ht="13.5" customHeight="1" x14ac:dyDescent="0.3">
      <c r="A326" s="50">
        <v>322</v>
      </c>
      <c r="B326" s="51">
        <f t="shared" ca="1" si="5"/>
        <v>0.43003103803264631</v>
      </c>
      <c r="C326" s="48">
        <f t="array" aca="1" ref="C326" ca="1">MAX(0,ROUND(Inputs!$B$10*Inputs!$B$11+NORMSINV(B326)*SQRT(Inputs!$B$10*Inputs!$B$11),0))</f>
        <v>496</v>
      </c>
      <c r="D326" s="52">
        <f ca="1">C326*Inputs!$B$12</f>
        <v>59520000</v>
      </c>
    </row>
    <row r="327" spans="1:4" ht="13.5" customHeight="1" x14ac:dyDescent="0.3">
      <c r="A327" s="46">
        <v>323</v>
      </c>
      <c r="B327" s="47">
        <f t="shared" ca="1" si="5"/>
        <v>0.54521606176855075</v>
      </c>
      <c r="C327" s="48">
        <f t="array" aca="1" ref="C327" ca="1">MAX(0,ROUND(Inputs!$B$10*Inputs!$B$11+NORMSINV(B327)*SQRT(Inputs!$B$10*Inputs!$B$11),0))</f>
        <v>503</v>
      </c>
      <c r="D327" s="49">
        <f ca="1">C327*Inputs!$B$12</f>
        <v>60360000</v>
      </c>
    </row>
    <row r="328" spans="1:4" ht="13.5" customHeight="1" x14ac:dyDescent="0.3">
      <c r="A328" s="50">
        <v>324</v>
      </c>
      <c r="B328" s="51">
        <f t="shared" ca="1" si="5"/>
        <v>0.24113601885789626</v>
      </c>
      <c r="C328" s="48">
        <f t="array" aca="1" ref="C328" ca="1">MAX(0,ROUND(Inputs!$B$10*Inputs!$B$11+NORMSINV(B328)*SQRT(Inputs!$B$10*Inputs!$B$11),0))</f>
        <v>484</v>
      </c>
      <c r="D328" s="52">
        <f ca="1">C328*Inputs!$B$12</f>
        <v>58080000</v>
      </c>
    </row>
    <row r="329" spans="1:4" ht="13.5" customHeight="1" x14ac:dyDescent="0.3">
      <c r="A329" s="46">
        <v>325</v>
      </c>
      <c r="B329" s="47">
        <f t="shared" ca="1" si="5"/>
        <v>0.49914221019983207</v>
      </c>
      <c r="C329" s="48">
        <f t="array" aca="1" ref="C329" ca="1">MAX(0,ROUND(Inputs!$B$10*Inputs!$B$11+NORMSINV(B329)*SQRT(Inputs!$B$10*Inputs!$B$11),0))</f>
        <v>500</v>
      </c>
      <c r="D329" s="49">
        <f ca="1">C329*Inputs!$B$12</f>
        <v>60000000</v>
      </c>
    </row>
    <row r="330" spans="1:4" ht="13.5" customHeight="1" x14ac:dyDescent="0.3">
      <c r="A330" s="50">
        <v>326</v>
      </c>
      <c r="B330" s="51">
        <f t="shared" ca="1" si="5"/>
        <v>0.25152975904195241</v>
      </c>
      <c r="C330" s="48">
        <f t="array" aca="1" ref="C330" ca="1">MAX(0,ROUND(Inputs!$B$10*Inputs!$B$11+NORMSINV(B330)*SQRT(Inputs!$B$10*Inputs!$B$11),0))</f>
        <v>485</v>
      </c>
      <c r="D330" s="52">
        <f ca="1">C330*Inputs!$B$12</f>
        <v>58200000</v>
      </c>
    </row>
    <row r="331" spans="1:4" ht="13.5" customHeight="1" x14ac:dyDescent="0.3">
      <c r="A331" s="46">
        <v>327</v>
      </c>
      <c r="B331" s="47">
        <f t="shared" ca="1" si="5"/>
        <v>0.128439079658484</v>
      </c>
      <c r="C331" s="48">
        <f t="array" aca="1" ref="C331" ca="1">MAX(0,ROUND(Inputs!$B$10*Inputs!$B$11+NORMSINV(B331)*SQRT(Inputs!$B$10*Inputs!$B$11),0))</f>
        <v>475</v>
      </c>
      <c r="D331" s="49">
        <f ca="1">C331*Inputs!$B$12</f>
        <v>57000000</v>
      </c>
    </row>
    <row r="332" spans="1:4" ht="13.5" customHeight="1" x14ac:dyDescent="0.3">
      <c r="A332" s="50">
        <v>328</v>
      </c>
      <c r="B332" s="51">
        <f t="shared" ca="1" si="5"/>
        <v>0.19976477969659368</v>
      </c>
      <c r="C332" s="48">
        <f t="array" aca="1" ref="C332" ca="1">MAX(0,ROUND(Inputs!$B$10*Inputs!$B$11+NORMSINV(B332)*SQRT(Inputs!$B$10*Inputs!$B$11),0))</f>
        <v>481</v>
      </c>
      <c r="D332" s="52">
        <f ca="1">C332*Inputs!$B$12</f>
        <v>57720000</v>
      </c>
    </row>
    <row r="333" spans="1:4" ht="13.5" customHeight="1" x14ac:dyDescent="0.3">
      <c r="A333" s="46">
        <v>329</v>
      </c>
      <c r="B333" s="47">
        <f t="shared" ca="1" si="5"/>
        <v>0.72341201490430607</v>
      </c>
      <c r="C333" s="48">
        <f t="array" aca="1" ref="C333" ca="1">MAX(0,ROUND(Inputs!$B$10*Inputs!$B$11+NORMSINV(B333)*SQRT(Inputs!$B$10*Inputs!$B$11),0))</f>
        <v>513</v>
      </c>
      <c r="D333" s="49">
        <f ca="1">C333*Inputs!$B$12</f>
        <v>61560000</v>
      </c>
    </row>
    <row r="334" spans="1:4" ht="13.5" customHeight="1" x14ac:dyDescent="0.3">
      <c r="A334" s="50">
        <v>330</v>
      </c>
      <c r="B334" s="51">
        <f t="shared" ca="1" si="5"/>
        <v>8.9693449151591054E-3</v>
      </c>
      <c r="C334" s="48">
        <f t="array" aca="1" ref="C334" ca="1">MAX(0,ROUND(Inputs!$B$10*Inputs!$B$11+NORMSINV(B334)*SQRT(Inputs!$B$10*Inputs!$B$11),0))</f>
        <v>447</v>
      </c>
      <c r="D334" s="52">
        <f ca="1">C334*Inputs!$B$12</f>
        <v>53640000</v>
      </c>
    </row>
    <row r="335" spans="1:4" ht="13.5" customHeight="1" x14ac:dyDescent="0.3">
      <c r="A335" s="46">
        <v>331</v>
      </c>
      <c r="B335" s="47">
        <f t="shared" ca="1" si="5"/>
        <v>0.52051519095421872</v>
      </c>
      <c r="C335" s="48">
        <f t="array" aca="1" ref="C335" ca="1">MAX(0,ROUND(Inputs!$B$10*Inputs!$B$11+NORMSINV(B335)*SQRT(Inputs!$B$10*Inputs!$B$11),0))</f>
        <v>501</v>
      </c>
      <c r="D335" s="49">
        <f ca="1">C335*Inputs!$B$12</f>
        <v>60120000</v>
      </c>
    </row>
    <row r="336" spans="1:4" ht="13.5" customHeight="1" x14ac:dyDescent="0.3">
      <c r="A336" s="50">
        <v>332</v>
      </c>
      <c r="B336" s="51">
        <f t="shared" ca="1" si="5"/>
        <v>0.95961418313522895</v>
      </c>
      <c r="C336" s="48">
        <f t="array" aca="1" ref="C336" ca="1">MAX(0,ROUND(Inputs!$B$10*Inputs!$B$11+NORMSINV(B336)*SQRT(Inputs!$B$10*Inputs!$B$11),0))</f>
        <v>539</v>
      </c>
      <c r="D336" s="52">
        <f ca="1">C336*Inputs!$B$12</f>
        <v>64680000</v>
      </c>
    </row>
    <row r="337" spans="1:4" ht="13.5" customHeight="1" x14ac:dyDescent="0.3">
      <c r="A337" s="46">
        <v>333</v>
      </c>
      <c r="B337" s="47">
        <f t="shared" ca="1" si="5"/>
        <v>0.21445799721906933</v>
      </c>
      <c r="C337" s="48">
        <f t="array" aca="1" ref="C337" ca="1">MAX(0,ROUND(Inputs!$B$10*Inputs!$B$11+NORMSINV(B337)*SQRT(Inputs!$B$10*Inputs!$B$11),0))</f>
        <v>482</v>
      </c>
      <c r="D337" s="49">
        <f ca="1">C337*Inputs!$B$12</f>
        <v>57840000</v>
      </c>
    </row>
    <row r="338" spans="1:4" ht="13.5" customHeight="1" x14ac:dyDescent="0.3">
      <c r="A338" s="50">
        <v>334</v>
      </c>
      <c r="B338" s="51">
        <f t="shared" ca="1" si="5"/>
        <v>0.36135202506863462</v>
      </c>
      <c r="C338" s="48">
        <f t="array" aca="1" ref="C338" ca="1">MAX(0,ROUND(Inputs!$B$10*Inputs!$B$11+NORMSINV(B338)*SQRT(Inputs!$B$10*Inputs!$B$11),0))</f>
        <v>492</v>
      </c>
      <c r="D338" s="52">
        <f ca="1">C338*Inputs!$B$12</f>
        <v>59040000</v>
      </c>
    </row>
    <row r="339" spans="1:4" ht="13.5" customHeight="1" x14ac:dyDescent="0.3">
      <c r="A339" s="46">
        <v>335</v>
      </c>
      <c r="B339" s="47">
        <f t="shared" ca="1" si="5"/>
        <v>0.81510590785406112</v>
      </c>
      <c r="C339" s="48">
        <f t="array" aca="1" ref="C339" ca="1">MAX(0,ROUND(Inputs!$B$10*Inputs!$B$11+NORMSINV(B339)*SQRT(Inputs!$B$10*Inputs!$B$11),0))</f>
        <v>520</v>
      </c>
      <c r="D339" s="49">
        <f ca="1">C339*Inputs!$B$12</f>
        <v>62400000</v>
      </c>
    </row>
    <row r="340" spans="1:4" ht="13.5" customHeight="1" x14ac:dyDescent="0.3">
      <c r="A340" s="50">
        <v>336</v>
      </c>
      <c r="B340" s="51">
        <f t="shared" ca="1" si="5"/>
        <v>0.16807304239233944</v>
      </c>
      <c r="C340" s="48">
        <f t="array" aca="1" ref="C340" ca="1">MAX(0,ROUND(Inputs!$B$10*Inputs!$B$11+NORMSINV(B340)*SQRT(Inputs!$B$10*Inputs!$B$11),0))</f>
        <v>478</v>
      </c>
      <c r="D340" s="52">
        <f ca="1">C340*Inputs!$B$12</f>
        <v>57360000</v>
      </c>
    </row>
    <row r="341" spans="1:4" ht="13.5" customHeight="1" x14ac:dyDescent="0.3">
      <c r="A341" s="46">
        <v>337</v>
      </c>
      <c r="B341" s="47">
        <f t="shared" ca="1" si="5"/>
        <v>0.8658986420478606</v>
      </c>
      <c r="C341" s="48">
        <f t="array" aca="1" ref="C341" ca="1">MAX(0,ROUND(Inputs!$B$10*Inputs!$B$11+NORMSINV(B341)*SQRT(Inputs!$B$10*Inputs!$B$11),0))</f>
        <v>525</v>
      </c>
      <c r="D341" s="49">
        <f ca="1">C341*Inputs!$B$12</f>
        <v>63000000</v>
      </c>
    </row>
    <row r="342" spans="1:4" ht="13.5" customHeight="1" x14ac:dyDescent="0.3">
      <c r="A342" s="50">
        <v>338</v>
      </c>
      <c r="B342" s="51">
        <f t="shared" ca="1" si="5"/>
        <v>4.4992158651084857E-2</v>
      </c>
      <c r="C342" s="48">
        <f t="array" aca="1" ref="C342" ca="1">MAX(0,ROUND(Inputs!$B$10*Inputs!$B$11+NORMSINV(B342)*SQRT(Inputs!$B$10*Inputs!$B$11),0))</f>
        <v>462</v>
      </c>
      <c r="D342" s="52">
        <f ca="1">C342*Inputs!$B$12</f>
        <v>55440000</v>
      </c>
    </row>
    <row r="343" spans="1:4" ht="13.5" customHeight="1" x14ac:dyDescent="0.3">
      <c r="A343" s="46">
        <v>339</v>
      </c>
      <c r="B343" s="47">
        <f t="shared" ca="1" si="5"/>
        <v>0.93086381782382643</v>
      </c>
      <c r="C343" s="48">
        <f t="array" aca="1" ref="C343" ca="1">MAX(0,ROUND(Inputs!$B$10*Inputs!$B$11+NORMSINV(B343)*SQRT(Inputs!$B$10*Inputs!$B$11),0))</f>
        <v>533</v>
      </c>
      <c r="D343" s="49">
        <f ca="1">C343*Inputs!$B$12</f>
        <v>63960000</v>
      </c>
    </row>
    <row r="344" spans="1:4" ht="13.5" customHeight="1" x14ac:dyDescent="0.3">
      <c r="A344" s="50">
        <v>340</v>
      </c>
      <c r="B344" s="51">
        <f t="shared" ca="1" si="5"/>
        <v>0.15805657713406074</v>
      </c>
      <c r="C344" s="48">
        <f t="array" aca="1" ref="C344" ca="1">MAX(0,ROUND(Inputs!$B$10*Inputs!$B$11+NORMSINV(B344)*SQRT(Inputs!$B$10*Inputs!$B$11),0))</f>
        <v>478</v>
      </c>
      <c r="D344" s="52">
        <f ca="1">C344*Inputs!$B$12</f>
        <v>57360000</v>
      </c>
    </row>
    <row r="345" spans="1:4" ht="13.5" customHeight="1" x14ac:dyDescent="0.3">
      <c r="A345" s="46">
        <v>341</v>
      </c>
      <c r="B345" s="47">
        <f t="shared" ca="1" si="5"/>
        <v>0.93753063452970875</v>
      </c>
      <c r="C345" s="48">
        <f t="array" aca="1" ref="C345" ca="1">MAX(0,ROUND(Inputs!$B$10*Inputs!$B$11+NORMSINV(B345)*SQRT(Inputs!$B$10*Inputs!$B$11),0))</f>
        <v>534</v>
      </c>
      <c r="D345" s="49">
        <f ca="1">C345*Inputs!$B$12</f>
        <v>64080000</v>
      </c>
    </row>
    <row r="346" spans="1:4" ht="13.5" customHeight="1" x14ac:dyDescent="0.3">
      <c r="A346" s="50">
        <v>342</v>
      </c>
      <c r="B346" s="51">
        <f t="shared" ca="1" si="5"/>
        <v>0.6566660884037735</v>
      </c>
      <c r="C346" s="48">
        <f t="array" aca="1" ref="C346" ca="1">MAX(0,ROUND(Inputs!$B$10*Inputs!$B$11+NORMSINV(B346)*SQRT(Inputs!$B$10*Inputs!$B$11),0))</f>
        <v>509</v>
      </c>
      <c r="D346" s="52">
        <f ca="1">C346*Inputs!$B$12</f>
        <v>61080000</v>
      </c>
    </row>
    <row r="347" spans="1:4" ht="13.5" customHeight="1" x14ac:dyDescent="0.3">
      <c r="A347" s="46">
        <v>343</v>
      </c>
      <c r="B347" s="47">
        <f t="shared" ca="1" si="5"/>
        <v>0.33473908620175807</v>
      </c>
      <c r="C347" s="48">
        <f t="array" aca="1" ref="C347" ca="1">MAX(0,ROUND(Inputs!$B$10*Inputs!$B$11+NORMSINV(B347)*SQRT(Inputs!$B$10*Inputs!$B$11),0))</f>
        <v>490</v>
      </c>
      <c r="D347" s="49">
        <f ca="1">C347*Inputs!$B$12</f>
        <v>58800000</v>
      </c>
    </row>
    <row r="348" spans="1:4" ht="13.5" customHeight="1" x14ac:dyDescent="0.3">
      <c r="A348" s="50">
        <v>344</v>
      </c>
      <c r="B348" s="51">
        <f t="shared" ca="1" si="5"/>
        <v>0.69734743189352755</v>
      </c>
      <c r="C348" s="48">
        <f t="array" aca="1" ref="C348" ca="1">MAX(0,ROUND(Inputs!$B$10*Inputs!$B$11+NORMSINV(B348)*SQRT(Inputs!$B$10*Inputs!$B$11),0))</f>
        <v>512</v>
      </c>
      <c r="D348" s="52">
        <f ca="1">C348*Inputs!$B$12</f>
        <v>61440000</v>
      </c>
    </row>
    <row r="349" spans="1:4" ht="13.5" customHeight="1" x14ac:dyDescent="0.3">
      <c r="A349" s="46">
        <v>345</v>
      </c>
      <c r="B349" s="47">
        <f t="shared" ca="1" si="5"/>
        <v>0.89329019504817309</v>
      </c>
      <c r="C349" s="48">
        <f t="array" aca="1" ref="C349" ca="1">MAX(0,ROUND(Inputs!$B$10*Inputs!$B$11+NORMSINV(B349)*SQRT(Inputs!$B$10*Inputs!$B$11),0))</f>
        <v>528</v>
      </c>
      <c r="D349" s="49">
        <f ca="1">C349*Inputs!$B$12</f>
        <v>63360000</v>
      </c>
    </row>
    <row r="350" spans="1:4" ht="13.5" customHeight="1" x14ac:dyDescent="0.3">
      <c r="A350" s="50">
        <v>346</v>
      </c>
      <c r="B350" s="51">
        <f t="shared" ca="1" si="5"/>
        <v>0.6466392415890887</v>
      </c>
      <c r="C350" s="48">
        <f t="array" aca="1" ref="C350" ca="1">MAX(0,ROUND(Inputs!$B$10*Inputs!$B$11+NORMSINV(B350)*SQRT(Inputs!$B$10*Inputs!$B$11),0))</f>
        <v>508</v>
      </c>
      <c r="D350" s="52">
        <f ca="1">C350*Inputs!$B$12</f>
        <v>60960000</v>
      </c>
    </row>
    <row r="351" spans="1:4" ht="13.5" customHeight="1" x14ac:dyDescent="0.3">
      <c r="A351" s="46">
        <v>347</v>
      </c>
      <c r="B351" s="47">
        <f t="shared" ca="1" si="5"/>
        <v>0.42167269359181325</v>
      </c>
      <c r="C351" s="48">
        <f t="array" aca="1" ref="C351" ca="1">MAX(0,ROUND(Inputs!$B$10*Inputs!$B$11+NORMSINV(B351)*SQRT(Inputs!$B$10*Inputs!$B$11),0))</f>
        <v>496</v>
      </c>
      <c r="D351" s="49">
        <f ca="1">C351*Inputs!$B$12</f>
        <v>59520000</v>
      </c>
    </row>
    <row r="352" spans="1:4" ht="13.5" customHeight="1" x14ac:dyDescent="0.3">
      <c r="A352" s="50">
        <v>348</v>
      </c>
      <c r="B352" s="51">
        <f t="shared" ca="1" si="5"/>
        <v>0.85712795418332277</v>
      </c>
      <c r="C352" s="48">
        <f t="array" aca="1" ref="C352" ca="1">MAX(0,ROUND(Inputs!$B$10*Inputs!$B$11+NORMSINV(B352)*SQRT(Inputs!$B$10*Inputs!$B$11),0))</f>
        <v>524</v>
      </c>
      <c r="D352" s="52">
        <f ca="1">C352*Inputs!$B$12</f>
        <v>62880000</v>
      </c>
    </row>
    <row r="353" spans="1:4" ht="13.5" customHeight="1" x14ac:dyDescent="0.3">
      <c r="A353" s="46">
        <v>349</v>
      </c>
      <c r="B353" s="47">
        <f t="shared" ca="1" si="5"/>
        <v>7.9681672818759153E-2</v>
      </c>
      <c r="C353" s="48">
        <f t="array" aca="1" ref="C353" ca="1">MAX(0,ROUND(Inputs!$B$10*Inputs!$B$11+NORMSINV(B353)*SQRT(Inputs!$B$10*Inputs!$B$11),0))</f>
        <v>469</v>
      </c>
      <c r="D353" s="49">
        <f ca="1">C353*Inputs!$B$12</f>
        <v>56280000</v>
      </c>
    </row>
    <row r="354" spans="1:4" ht="13.5" customHeight="1" x14ac:dyDescent="0.3">
      <c r="A354" s="50">
        <v>350</v>
      </c>
      <c r="B354" s="51">
        <f t="shared" ca="1" si="5"/>
        <v>0.44156604309413761</v>
      </c>
      <c r="C354" s="48">
        <f t="array" aca="1" ref="C354" ca="1">MAX(0,ROUND(Inputs!$B$10*Inputs!$B$11+NORMSINV(B354)*SQRT(Inputs!$B$10*Inputs!$B$11),0))</f>
        <v>497</v>
      </c>
      <c r="D354" s="52">
        <f ca="1">C354*Inputs!$B$12</f>
        <v>59640000</v>
      </c>
    </row>
    <row r="355" spans="1:4" ht="13.5" customHeight="1" x14ac:dyDescent="0.3">
      <c r="A355" s="46">
        <v>351</v>
      </c>
      <c r="B355" s="47">
        <f t="shared" ca="1" si="5"/>
        <v>0.12442987511278625</v>
      </c>
      <c r="C355" s="48">
        <f t="array" aca="1" ref="C355" ca="1">MAX(0,ROUND(Inputs!$B$10*Inputs!$B$11+NORMSINV(B355)*SQRT(Inputs!$B$10*Inputs!$B$11),0))</f>
        <v>474</v>
      </c>
      <c r="D355" s="49">
        <f ca="1">C355*Inputs!$B$12</f>
        <v>56880000</v>
      </c>
    </row>
    <row r="356" spans="1:4" ht="13.5" customHeight="1" x14ac:dyDescent="0.3">
      <c r="A356" s="50">
        <v>352</v>
      </c>
      <c r="B356" s="51">
        <f t="shared" ca="1" si="5"/>
        <v>0.38670423815609123</v>
      </c>
      <c r="C356" s="48">
        <f t="array" aca="1" ref="C356" ca="1">MAX(0,ROUND(Inputs!$B$10*Inputs!$B$11+NORMSINV(B356)*SQRT(Inputs!$B$10*Inputs!$B$11),0))</f>
        <v>494</v>
      </c>
      <c r="D356" s="52">
        <f ca="1">C356*Inputs!$B$12</f>
        <v>59280000</v>
      </c>
    </row>
    <row r="357" spans="1:4" ht="13.5" customHeight="1" x14ac:dyDescent="0.3">
      <c r="A357" s="46">
        <v>353</v>
      </c>
      <c r="B357" s="47">
        <f t="shared" ca="1" si="5"/>
        <v>0.52215414713958563</v>
      </c>
      <c r="C357" s="48">
        <f t="array" aca="1" ref="C357" ca="1">MAX(0,ROUND(Inputs!$B$10*Inputs!$B$11+NORMSINV(B357)*SQRT(Inputs!$B$10*Inputs!$B$11),0))</f>
        <v>501</v>
      </c>
      <c r="D357" s="49">
        <f ca="1">C357*Inputs!$B$12</f>
        <v>60120000</v>
      </c>
    </row>
    <row r="358" spans="1:4" ht="13.5" customHeight="1" x14ac:dyDescent="0.3">
      <c r="A358" s="50">
        <v>354</v>
      </c>
      <c r="B358" s="51">
        <f t="shared" ca="1" si="5"/>
        <v>0.23005330997019358</v>
      </c>
      <c r="C358" s="48">
        <f t="array" aca="1" ref="C358" ca="1">MAX(0,ROUND(Inputs!$B$10*Inputs!$B$11+NORMSINV(B358)*SQRT(Inputs!$B$10*Inputs!$B$11),0))</f>
        <v>483</v>
      </c>
      <c r="D358" s="52">
        <f ca="1">C358*Inputs!$B$12</f>
        <v>57960000</v>
      </c>
    </row>
    <row r="359" spans="1:4" ht="13.5" customHeight="1" x14ac:dyDescent="0.3">
      <c r="A359" s="46">
        <v>355</v>
      </c>
      <c r="B359" s="47">
        <f t="shared" ca="1" si="5"/>
        <v>0.98390734552233583</v>
      </c>
      <c r="C359" s="48">
        <f t="array" aca="1" ref="C359" ca="1">MAX(0,ROUND(Inputs!$B$10*Inputs!$B$11+NORMSINV(B359)*SQRT(Inputs!$B$10*Inputs!$B$11),0))</f>
        <v>548</v>
      </c>
      <c r="D359" s="49">
        <f ca="1">C359*Inputs!$B$12</f>
        <v>65760000</v>
      </c>
    </row>
    <row r="360" spans="1:4" ht="13.5" customHeight="1" x14ac:dyDescent="0.3">
      <c r="A360" s="50">
        <v>356</v>
      </c>
      <c r="B360" s="51">
        <f t="shared" ca="1" si="5"/>
        <v>0.2504475451416448</v>
      </c>
      <c r="C360" s="48">
        <f t="array" aca="1" ref="C360" ca="1">MAX(0,ROUND(Inputs!$B$10*Inputs!$B$11+NORMSINV(B360)*SQRT(Inputs!$B$10*Inputs!$B$11),0))</f>
        <v>485</v>
      </c>
      <c r="D360" s="52">
        <f ca="1">C360*Inputs!$B$12</f>
        <v>58200000</v>
      </c>
    </row>
    <row r="361" spans="1:4" ht="13.5" customHeight="1" x14ac:dyDescent="0.3">
      <c r="A361" s="46">
        <v>357</v>
      </c>
      <c r="B361" s="47">
        <f t="shared" ca="1" si="5"/>
        <v>0.99561122065767516</v>
      </c>
      <c r="C361" s="48">
        <f t="array" aca="1" ref="C361" ca="1">MAX(0,ROUND(Inputs!$B$10*Inputs!$B$11+NORMSINV(B361)*SQRT(Inputs!$B$10*Inputs!$B$11),0))</f>
        <v>559</v>
      </c>
      <c r="D361" s="49">
        <f ca="1">C361*Inputs!$B$12</f>
        <v>67080000</v>
      </c>
    </row>
    <row r="362" spans="1:4" ht="13.5" customHeight="1" x14ac:dyDescent="0.3">
      <c r="A362" s="50">
        <v>358</v>
      </c>
      <c r="B362" s="51">
        <f t="shared" ca="1" si="5"/>
        <v>0.59182038768665501</v>
      </c>
      <c r="C362" s="48">
        <f t="array" aca="1" ref="C362" ca="1">MAX(0,ROUND(Inputs!$B$10*Inputs!$B$11+NORMSINV(B362)*SQRT(Inputs!$B$10*Inputs!$B$11),0))</f>
        <v>505</v>
      </c>
      <c r="D362" s="52">
        <f ca="1">C362*Inputs!$B$12</f>
        <v>60600000</v>
      </c>
    </row>
    <row r="363" spans="1:4" ht="13.5" customHeight="1" x14ac:dyDescent="0.3">
      <c r="A363" s="46">
        <v>359</v>
      </c>
      <c r="B363" s="47">
        <f t="shared" ca="1" si="5"/>
        <v>1.7843626303115423E-2</v>
      </c>
      <c r="C363" s="48">
        <f t="array" aca="1" ref="C363" ca="1">MAX(0,ROUND(Inputs!$B$10*Inputs!$B$11+NORMSINV(B363)*SQRT(Inputs!$B$10*Inputs!$B$11),0))</f>
        <v>453</v>
      </c>
      <c r="D363" s="49">
        <f ca="1">C363*Inputs!$B$12</f>
        <v>54360000</v>
      </c>
    </row>
    <row r="364" spans="1:4" ht="13.5" customHeight="1" x14ac:dyDescent="0.3">
      <c r="A364" s="50">
        <v>360</v>
      </c>
      <c r="B364" s="51">
        <f t="shared" ca="1" si="5"/>
        <v>0.8633491352873377</v>
      </c>
      <c r="C364" s="48">
        <f t="array" aca="1" ref="C364" ca="1">MAX(0,ROUND(Inputs!$B$10*Inputs!$B$11+NORMSINV(B364)*SQRT(Inputs!$B$10*Inputs!$B$11),0))</f>
        <v>524</v>
      </c>
      <c r="D364" s="52">
        <f ca="1">C364*Inputs!$B$12</f>
        <v>62880000</v>
      </c>
    </row>
    <row r="365" spans="1:4" ht="13.5" customHeight="1" x14ac:dyDescent="0.3">
      <c r="A365" s="46">
        <v>361</v>
      </c>
      <c r="B365" s="47">
        <f t="shared" ca="1" si="5"/>
        <v>0.23394590359002121</v>
      </c>
      <c r="C365" s="48">
        <f t="array" aca="1" ref="C365" ca="1">MAX(0,ROUND(Inputs!$B$10*Inputs!$B$11+NORMSINV(B365)*SQRT(Inputs!$B$10*Inputs!$B$11),0))</f>
        <v>484</v>
      </c>
      <c r="D365" s="49">
        <f ca="1">C365*Inputs!$B$12</f>
        <v>58080000</v>
      </c>
    </row>
    <row r="366" spans="1:4" ht="13.5" customHeight="1" x14ac:dyDescent="0.3">
      <c r="A366" s="50">
        <v>362</v>
      </c>
      <c r="B366" s="51">
        <f t="shared" ca="1" si="5"/>
        <v>0.76395275892513592</v>
      </c>
      <c r="C366" s="48">
        <f t="array" aca="1" ref="C366" ca="1">MAX(0,ROUND(Inputs!$B$10*Inputs!$B$11+NORMSINV(B366)*SQRT(Inputs!$B$10*Inputs!$B$11),0))</f>
        <v>516</v>
      </c>
      <c r="D366" s="52">
        <f ca="1">C366*Inputs!$B$12</f>
        <v>61920000</v>
      </c>
    </row>
    <row r="367" spans="1:4" ht="13.5" customHeight="1" x14ac:dyDescent="0.3">
      <c r="A367" s="46">
        <v>363</v>
      </c>
      <c r="B367" s="47">
        <f t="shared" ca="1" si="5"/>
        <v>0.61421484258237891</v>
      </c>
      <c r="C367" s="48">
        <f t="array" aca="1" ref="C367" ca="1">MAX(0,ROUND(Inputs!$B$10*Inputs!$B$11+NORMSINV(B367)*SQRT(Inputs!$B$10*Inputs!$B$11),0))</f>
        <v>506</v>
      </c>
      <c r="D367" s="49">
        <f ca="1">C367*Inputs!$B$12</f>
        <v>60720000</v>
      </c>
    </row>
    <row r="368" spans="1:4" ht="13.5" customHeight="1" x14ac:dyDescent="0.3">
      <c r="A368" s="50">
        <v>364</v>
      </c>
      <c r="B368" s="51">
        <f t="shared" ca="1" si="5"/>
        <v>0.67569636973902625</v>
      </c>
      <c r="C368" s="48">
        <f t="array" aca="1" ref="C368" ca="1">MAX(0,ROUND(Inputs!$B$10*Inputs!$B$11+NORMSINV(B368)*SQRT(Inputs!$B$10*Inputs!$B$11),0))</f>
        <v>510</v>
      </c>
      <c r="D368" s="52">
        <f ca="1">C368*Inputs!$B$12</f>
        <v>61200000</v>
      </c>
    </row>
    <row r="369" spans="1:4" ht="13.5" customHeight="1" x14ac:dyDescent="0.3">
      <c r="A369" s="46">
        <v>365</v>
      </c>
      <c r="B369" s="47">
        <f t="shared" ca="1" si="5"/>
        <v>0.54101196740303859</v>
      </c>
      <c r="C369" s="48">
        <f t="array" aca="1" ref="C369" ca="1">MAX(0,ROUND(Inputs!$B$10*Inputs!$B$11+NORMSINV(B369)*SQRT(Inputs!$B$10*Inputs!$B$11),0))</f>
        <v>502</v>
      </c>
      <c r="D369" s="49">
        <f ca="1">C369*Inputs!$B$12</f>
        <v>60240000</v>
      </c>
    </row>
    <row r="370" spans="1:4" ht="13.5" customHeight="1" x14ac:dyDescent="0.3">
      <c r="A370" s="50">
        <v>366</v>
      </c>
      <c r="B370" s="51">
        <f t="shared" ca="1" si="5"/>
        <v>0.22796321732318792</v>
      </c>
      <c r="C370" s="48">
        <f t="array" aca="1" ref="C370" ca="1">MAX(0,ROUND(Inputs!$B$10*Inputs!$B$11+NORMSINV(B370)*SQRT(Inputs!$B$10*Inputs!$B$11),0))</f>
        <v>483</v>
      </c>
      <c r="D370" s="52">
        <f ca="1">C370*Inputs!$B$12</f>
        <v>57960000</v>
      </c>
    </row>
    <row r="371" spans="1:4" ht="13.5" customHeight="1" x14ac:dyDescent="0.3">
      <c r="A371" s="46">
        <v>367</v>
      </c>
      <c r="B371" s="47">
        <f t="shared" ca="1" si="5"/>
        <v>0.15545995390165002</v>
      </c>
      <c r="C371" s="48">
        <f t="array" aca="1" ref="C371" ca="1">MAX(0,ROUND(Inputs!$B$10*Inputs!$B$11+NORMSINV(B371)*SQRT(Inputs!$B$10*Inputs!$B$11),0))</f>
        <v>477</v>
      </c>
      <c r="D371" s="49">
        <f ca="1">C371*Inputs!$B$12</f>
        <v>57240000</v>
      </c>
    </row>
    <row r="372" spans="1:4" ht="13.5" customHeight="1" x14ac:dyDescent="0.3">
      <c r="A372" s="50">
        <v>368</v>
      </c>
      <c r="B372" s="51">
        <f t="shared" ca="1" si="5"/>
        <v>0.38636245617813703</v>
      </c>
      <c r="C372" s="48">
        <f t="array" aca="1" ref="C372" ca="1">MAX(0,ROUND(Inputs!$B$10*Inputs!$B$11+NORMSINV(B372)*SQRT(Inputs!$B$10*Inputs!$B$11),0))</f>
        <v>494</v>
      </c>
      <c r="D372" s="52">
        <f ca="1">C372*Inputs!$B$12</f>
        <v>59280000</v>
      </c>
    </row>
    <row r="373" spans="1:4" ht="13.5" customHeight="1" x14ac:dyDescent="0.3">
      <c r="A373" s="46">
        <v>369</v>
      </c>
      <c r="B373" s="47">
        <f t="shared" ca="1" si="5"/>
        <v>0.63131137076411559</v>
      </c>
      <c r="C373" s="48">
        <f t="array" aca="1" ref="C373" ca="1">MAX(0,ROUND(Inputs!$B$10*Inputs!$B$11+NORMSINV(B373)*SQRT(Inputs!$B$10*Inputs!$B$11),0))</f>
        <v>507</v>
      </c>
      <c r="D373" s="49">
        <f ca="1">C373*Inputs!$B$12</f>
        <v>60840000</v>
      </c>
    </row>
    <row r="374" spans="1:4" ht="13.5" customHeight="1" x14ac:dyDescent="0.3">
      <c r="A374" s="50">
        <v>370</v>
      </c>
      <c r="B374" s="51">
        <f t="shared" ca="1" si="5"/>
        <v>0.5780866058555103</v>
      </c>
      <c r="C374" s="48">
        <f t="array" aca="1" ref="C374" ca="1">MAX(0,ROUND(Inputs!$B$10*Inputs!$B$11+NORMSINV(B374)*SQRT(Inputs!$B$10*Inputs!$B$11),0))</f>
        <v>504</v>
      </c>
      <c r="D374" s="52">
        <f ca="1">C374*Inputs!$B$12</f>
        <v>60480000</v>
      </c>
    </row>
    <row r="375" spans="1:4" ht="13.5" customHeight="1" x14ac:dyDescent="0.3">
      <c r="A375" s="46">
        <v>371</v>
      </c>
      <c r="B375" s="47">
        <f t="shared" ca="1" si="5"/>
        <v>0.6045898616871368</v>
      </c>
      <c r="C375" s="48">
        <f t="array" aca="1" ref="C375" ca="1">MAX(0,ROUND(Inputs!$B$10*Inputs!$B$11+NORMSINV(B375)*SQRT(Inputs!$B$10*Inputs!$B$11),0))</f>
        <v>506</v>
      </c>
      <c r="D375" s="49">
        <f ca="1">C375*Inputs!$B$12</f>
        <v>60720000</v>
      </c>
    </row>
    <row r="376" spans="1:4" ht="13.5" customHeight="1" x14ac:dyDescent="0.3">
      <c r="A376" s="50">
        <v>372</v>
      </c>
      <c r="B376" s="51">
        <f t="shared" ca="1" si="5"/>
        <v>0.32618686435973876</v>
      </c>
      <c r="C376" s="48">
        <f t="array" aca="1" ref="C376" ca="1">MAX(0,ROUND(Inputs!$B$10*Inputs!$B$11+NORMSINV(B376)*SQRT(Inputs!$B$10*Inputs!$B$11),0))</f>
        <v>490</v>
      </c>
      <c r="D376" s="52">
        <f ca="1">C376*Inputs!$B$12</f>
        <v>58800000</v>
      </c>
    </row>
    <row r="377" spans="1:4" ht="13.5" customHeight="1" x14ac:dyDescent="0.3">
      <c r="A377" s="46">
        <v>373</v>
      </c>
      <c r="B377" s="47">
        <f t="shared" ca="1" si="5"/>
        <v>0.60093265788114281</v>
      </c>
      <c r="C377" s="48">
        <f t="array" aca="1" ref="C377" ca="1">MAX(0,ROUND(Inputs!$B$10*Inputs!$B$11+NORMSINV(B377)*SQRT(Inputs!$B$10*Inputs!$B$11),0))</f>
        <v>506</v>
      </c>
      <c r="D377" s="49">
        <f ca="1">C377*Inputs!$B$12</f>
        <v>60720000</v>
      </c>
    </row>
    <row r="378" spans="1:4" ht="13.5" customHeight="1" x14ac:dyDescent="0.3">
      <c r="A378" s="50">
        <v>374</v>
      </c>
      <c r="B378" s="51">
        <f t="shared" ca="1" si="5"/>
        <v>0.30416960808394078</v>
      </c>
      <c r="C378" s="48">
        <f t="array" aca="1" ref="C378" ca="1">MAX(0,ROUND(Inputs!$B$10*Inputs!$B$11+NORMSINV(B378)*SQRT(Inputs!$B$10*Inputs!$B$11),0))</f>
        <v>489</v>
      </c>
      <c r="D378" s="52">
        <f ca="1">C378*Inputs!$B$12</f>
        <v>58680000</v>
      </c>
    </row>
    <row r="379" spans="1:4" ht="13.5" customHeight="1" x14ac:dyDescent="0.3">
      <c r="A379" s="46">
        <v>375</v>
      </c>
      <c r="B379" s="47">
        <f t="shared" ca="1" si="5"/>
        <v>0.95443640765603843</v>
      </c>
      <c r="C379" s="48">
        <f t="array" aca="1" ref="C379" ca="1">MAX(0,ROUND(Inputs!$B$10*Inputs!$B$11+NORMSINV(B379)*SQRT(Inputs!$B$10*Inputs!$B$11),0))</f>
        <v>538</v>
      </c>
      <c r="D379" s="49">
        <f ca="1">C379*Inputs!$B$12</f>
        <v>64560000</v>
      </c>
    </row>
    <row r="380" spans="1:4" ht="13.5" customHeight="1" x14ac:dyDescent="0.3">
      <c r="A380" s="50">
        <v>376</v>
      </c>
      <c r="B380" s="51">
        <f t="shared" ca="1" si="5"/>
        <v>0.26576223290064405</v>
      </c>
      <c r="C380" s="48">
        <f t="array" aca="1" ref="C380" ca="1">MAX(0,ROUND(Inputs!$B$10*Inputs!$B$11+NORMSINV(B380)*SQRT(Inputs!$B$10*Inputs!$B$11),0))</f>
        <v>486</v>
      </c>
      <c r="D380" s="52">
        <f ca="1">C380*Inputs!$B$12</f>
        <v>58320000</v>
      </c>
    </row>
    <row r="381" spans="1:4" ht="13.5" customHeight="1" x14ac:dyDescent="0.3">
      <c r="A381" s="46">
        <v>377</v>
      </c>
      <c r="B381" s="47">
        <f t="shared" ca="1" si="5"/>
        <v>0.74564440502192086</v>
      </c>
      <c r="C381" s="48">
        <f t="array" aca="1" ref="C381" ca="1">MAX(0,ROUND(Inputs!$B$10*Inputs!$B$11+NORMSINV(B381)*SQRT(Inputs!$B$10*Inputs!$B$11),0))</f>
        <v>515</v>
      </c>
      <c r="D381" s="49">
        <f ca="1">C381*Inputs!$B$12</f>
        <v>61800000</v>
      </c>
    </row>
    <row r="382" spans="1:4" ht="13.5" customHeight="1" x14ac:dyDescent="0.3">
      <c r="A382" s="50">
        <v>378</v>
      </c>
      <c r="B382" s="51">
        <f t="shared" ca="1" si="5"/>
        <v>0.75095017454403334</v>
      </c>
      <c r="C382" s="48">
        <f t="array" aca="1" ref="C382" ca="1">MAX(0,ROUND(Inputs!$B$10*Inputs!$B$11+NORMSINV(B382)*SQRT(Inputs!$B$10*Inputs!$B$11),0))</f>
        <v>515</v>
      </c>
      <c r="D382" s="52">
        <f ca="1">C382*Inputs!$B$12</f>
        <v>61800000</v>
      </c>
    </row>
    <row r="383" spans="1:4" ht="13.5" customHeight="1" x14ac:dyDescent="0.3">
      <c r="A383" s="46">
        <v>379</v>
      </c>
      <c r="B383" s="47">
        <f t="shared" ca="1" si="5"/>
        <v>0.38587117289645134</v>
      </c>
      <c r="C383" s="48">
        <f t="array" aca="1" ref="C383" ca="1">MAX(0,ROUND(Inputs!$B$10*Inputs!$B$11+NORMSINV(B383)*SQRT(Inputs!$B$10*Inputs!$B$11),0))</f>
        <v>494</v>
      </c>
      <c r="D383" s="49">
        <f ca="1">C383*Inputs!$B$12</f>
        <v>59280000</v>
      </c>
    </row>
    <row r="384" spans="1:4" ht="13.5" customHeight="1" x14ac:dyDescent="0.3">
      <c r="A384" s="50">
        <v>380</v>
      </c>
      <c r="B384" s="51">
        <f t="shared" ca="1" si="5"/>
        <v>0.2356665958209635</v>
      </c>
      <c r="C384" s="48">
        <f t="array" aca="1" ref="C384" ca="1">MAX(0,ROUND(Inputs!$B$10*Inputs!$B$11+NORMSINV(B384)*SQRT(Inputs!$B$10*Inputs!$B$11),0))</f>
        <v>484</v>
      </c>
      <c r="D384" s="52">
        <f ca="1">C384*Inputs!$B$12</f>
        <v>58080000</v>
      </c>
    </row>
    <row r="385" spans="1:4" ht="13.5" customHeight="1" x14ac:dyDescent="0.3">
      <c r="A385" s="46">
        <v>381</v>
      </c>
      <c r="B385" s="47">
        <f t="shared" ca="1" si="5"/>
        <v>0.34223287295697213</v>
      </c>
      <c r="C385" s="48">
        <f t="array" aca="1" ref="C385" ca="1">MAX(0,ROUND(Inputs!$B$10*Inputs!$B$11+NORMSINV(B385)*SQRT(Inputs!$B$10*Inputs!$B$11),0))</f>
        <v>491</v>
      </c>
      <c r="D385" s="49">
        <f ca="1">C385*Inputs!$B$12</f>
        <v>58920000</v>
      </c>
    </row>
    <row r="386" spans="1:4" ht="13.5" customHeight="1" x14ac:dyDescent="0.3">
      <c r="A386" s="50">
        <v>382</v>
      </c>
      <c r="B386" s="51">
        <f t="shared" ca="1" si="5"/>
        <v>0.24629313093659522</v>
      </c>
      <c r="C386" s="48">
        <f t="array" aca="1" ref="C386" ca="1">MAX(0,ROUND(Inputs!$B$10*Inputs!$B$11+NORMSINV(B386)*SQRT(Inputs!$B$10*Inputs!$B$11),0))</f>
        <v>485</v>
      </c>
      <c r="D386" s="52">
        <f ca="1">C386*Inputs!$B$12</f>
        <v>58200000</v>
      </c>
    </row>
    <row r="387" spans="1:4" ht="13.5" customHeight="1" x14ac:dyDescent="0.3">
      <c r="A387" s="46">
        <v>383</v>
      </c>
      <c r="B387" s="47">
        <f t="shared" ca="1" si="5"/>
        <v>0.13697438650884786</v>
      </c>
      <c r="C387" s="48">
        <f t="array" aca="1" ref="C387" ca="1">MAX(0,ROUND(Inputs!$B$10*Inputs!$B$11+NORMSINV(B387)*SQRT(Inputs!$B$10*Inputs!$B$11),0))</f>
        <v>476</v>
      </c>
      <c r="D387" s="49">
        <f ca="1">C387*Inputs!$B$12</f>
        <v>57120000</v>
      </c>
    </row>
    <row r="388" spans="1:4" ht="13.5" customHeight="1" x14ac:dyDescent="0.3">
      <c r="A388" s="50">
        <v>384</v>
      </c>
      <c r="B388" s="51">
        <f t="shared" ca="1" si="5"/>
        <v>0.65378786340467354</v>
      </c>
      <c r="C388" s="48">
        <f t="array" aca="1" ref="C388" ca="1">MAX(0,ROUND(Inputs!$B$10*Inputs!$B$11+NORMSINV(B388)*SQRT(Inputs!$B$10*Inputs!$B$11),0))</f>
        <v>509</v>
      </c>
      <c r="D388" s="52">
        <f ca="1">C388*Inputs!$B$12</f>
        <v>61080000</v>
      </c>
    </row>
    <row r="389" spans="1:4" ht="13.5" customHeight="1" x14ac:dyDescent="0.3">
      <c r="A389" s="46">
        <v>385</v>
      </c>
      <c r="B389" s="47">
        <f t="shared" ref="B389:B452" ca="1" si="6">RAND()</f>
        <v>0.45622399187867257</v>
      </c>
      <c r="C389" s="48">
        <f t="array" aca="1" ref="C389" ca="1">MAX(0,ROUND(Inputs!$B$10*Inputs!$B$11+NORMSINV(B389)*SQRT(Inputs!$B$10*Inputs!$B$11),0))</f>
        <v>498</v>
      </c>
      <c r="D389" s="49">
        <f ca="1">C389*Inputs!$B$12</f>
        <v>59760000</v>
      </c>
    </row>
    <row r="390" spans="1:4" ht="13.5" customHeight="1" x14ac:dyDescent="0.3">
      <c r="A390" s="50">
        <v>386</v>
      </c>
      <c r="B390" s="51">
        <f t="shared" ca="1" si="6"/>
        <v>8.3666209362645017E-3</v>
      </c>
      <c r="C390" s="48">
        <f t="array" aca="1" ref="C390" ca="1">MAX(0,ROUND(Inputs!$B$10*Inputs!$B$11+NORMSINV(B390)*SQRT(Inputs!$B$10*Inputs!$B$11),0))</f>
        <v>447</v>
      </c>
      <c r="D390" s="52">
        <f ca="1">C390*Inputs!$B$12</f>
        <v>53640000</v>
      </c>
    </row>
    <row r="391" spans="1:4" ht="13.5" customHeight="1" x14ac:dyDescent="0.3">
      <c r="A391" s="46">
        <v>387</v>
      </c>
      <c r="B391" s="47">
        <f t="shared" ca="1" si="6"/>
        <v>1.8705364391424784E-4</v>
      </c>
      <c r="C391" s="48">
        <f t="array" aca="1" ref="C391" ca="1">MAX(0,ROUND(Inputs!$B$10*Inputs!$B$11+NORMSINV(B391)*SQRT(Inputs!$B$10*Inputs!$B$11),0))</f>
        <v>420</v>
      </c>
      <c r="D391" s="49">
        <f ca="1">C391*Inputs!$B$12</f>
        <v>50400000</v>
      </c>
    </row>
    <row r="392" spans="1:4" ht="13.5" customHeight="1" x14ac:dyDescent="0.3">
      <c r="A392" s="50">
        <v>388</v>
      </c>
      <c r="B392" s="51">
        <f t="shared" ca="1" si="6"/>
        <v>0.28147523240455963</v>
      </c>
      <c r="C392" s="48">
        <f t="array" aca="1" ref="C392" ca="1">MAX(0,ROUND(Inputs!$B$10*Inputs!$B$11+NORMSINV(B392)*SQRT(Inputs!$B$10*Inputs!$B$11),0))</f>
        <v>487</v>
      </c>
      <c r="D392" s="52">
        <f ca="1">C392*Inputs!$B$12</f>
        <v>58440000</v>
      </c>
    </row>
    <row r="393" spans="1:4" ht="13.5" customHeight="1" x14ac:dyDescent="0.3">
      <c r="A393" s="46">
        <v>389</v>
      </c>
      <c r="B393" s="47">
        <f t="shared" ca="1" si="6"/>
        <v>0.95044171781526432</v>
      </c>
      <c r="C393" s="48">
        <f t="array" aca="1" ref="C393" ca="1">MAX(0,ROUND(Inputs!$B$10*Inputs!$B$11+NORMSINV(B393)*SQRT(Inputs!$B$10*Inputs!$B$11),0))</f>
        <v>537</v>
      </c>
      <c r="D393" s="49">
        <f ca="1">C393*Inputs!$B$12</f>
        <v>64440000</v>
      </c>
    </row>
    <row r="394" spans="1:4" ht="13.5" customHeight="1" x14ac:dyDescent="0.3">
      <c r="A394" s="50">
        <v>390</v>
      </c>
      <c r="B394" s="51">
        <f t="shared" ca="1" si="6"/>
        <v>0.96873402461943103</v>
      </c>
      <c r="C394" s="48">
        <f t="array" aca="1" ref="C394" ca="1">MAX(0,ROUND(Inputs!$B$10*Inputs!$B$11+NORMSINV(B394)*SQRT(Inputs!$B$10*Inputs!$B$11),0))</f>
        <v>542</v>
      </c>
      <c r="D394" s="52">
        <f ca="1">C394*Inputs!$B$12</f>
        <v>65040000</v>
      </c>
    </row>
    <row r="395" spans="1:4" ht="13.5" customHeight="1" x14ac:dyDescent="0.3">
      <c r="A395" s="46">
        <v>391</v>
      </c>
      <c r="B395" s="47">
        <f t="shared" ca="1" si="6"/>
        <v>0.24070136261051678</v>
      </c>
      <c r="C395" s="48">
        <f t="array" aca="1" ref="C395" ca="1">MAX(0,ROUND(Inputs!$B$10*Inputs!$B$11+NORMSINV(B395)*SQRT(Inputs!$B$10*Inputs!$B$11),0))</f>
        <v>484</v>
      </c>
      <c r="D395" s="49">
        <f ca="1">C395*Inputs!$B$12</f>
        <v>58080000</v>
      </c>
    </row>
    <row r="396" spans="1:4" ht="13.5" customHeight="1" x14ac:dyDescent="0.3">
      <c r="A396" s="50">
        <v>392</v>
      </c>
      <c r="B396" s="51">
        <f t="shared" ca="1" si="6"/>
        <v>0.64801421292718031</v>
      </c>
      <c r="C396" s="48">
        <f t="array" aca="1" ref="C396" ca="1">MAX(0,ROUND(Inputs!$B$10*Inputs!$B$11+NORMSINV(B396)*SQRT(Inputs!$B$10*Inputs!$B$11),0))</f>
        <v>508</v>
      </c>
      <c r="D396" s="52">
        <f ca="1">C396*Inputs!$B$12</f>
        <v>60960000</v>
      </c>
    </row>
    <row r="397" spans="1:4" ht="13.5" customHeight="1" x14ac:dyDescent="0.3">
      <c r="A397" s="46">
        <v>393</v>
      </c>
      <c r="B397" s="47">
        <f t="shared" ca="1" si="6"/>
        <v>0.41825666268564254</v>
      </c>
      <c r="C397" s="48">
        <f t="array" aca="1" ref="C397" ca="1">MAX(0,ROUND(Inputs!$B$10*Inputs!$B$11+NORMSINV(B397)*SQRT(Inputs!$B$10*Inputs!$B$11),0))</f>
        <v>495</v>
      </c>
      <c r="D397" s="49">
        <f ca="1">C397*Inputs!$B$12</f>
        <v>59400000</v>
      </c>
    </row>
    <row r="398" spans="1:4" ht="13.5" customHeight="1" x14ac:dyDescent="0.3">
      <c r="A398" s="50">
        <v>394</v>
      </c>
      <c r="B398" s="51">
        <f t="shared" ca="1" si="6"/>
        <v>0.89983221995132723</v>
      </c>
      <c r="C398" s="48">
        <f t="array" aca="1" ref="C398" ca="1">MAX(0,ROUND(Inputs!$B$10*Inputs!$B$11+NORMSINV(B398)*SQRT(Inputs!$B$10*Inputs!$B$11),0))</f>
        <v>529</v>
      </c>
      <c r="D398" s="52">
        <f ca="1">C398*Inputs!$B$12</f>
        <v>63480000</v>
      </c>
    </row>
    <row r="399" spans="1:4" ht="13.5" customHeight="1" x14ac:dyDescent="0.3">
      <c r="A399" s="46">
        <v>395</v>
      </c>
      <c r="B399" s="47">
        <f t="shared" ca="1" si="6"/>
        <v>0.78599043256109857</v>
      </c>
      <c r="C399" s="48">
        <f t="array" aca="1" ref="C399" ca="1">MAX(0,ROUND(Inputs!$B$10*Inputs!$B$11+NORMSINV(B399)*SQRT(Inputs!$B$10*Inputs!$B$11),0))</f>
        <v>518</v>
      </c>
      <c r="D399" s="49">
        <f ca="1">C399*Inputs!$B$12</f>
        <v>62160000</v>
      </c>
    </row>
    <row r="400" spans="1:4" ht="13.5" customHeight="1" x14ac:dyDescent="0.3">
      <c r="A400" s="50">
        <v>396</v>
      </c>
      <c r="B400" s="51">
        <f t="shared" ca="1" si="6"/>
        <v>0.97361063065661058</v>
      </c>
      <c r="C400" s="48">
        <f t="array" aca="1" ref="C400" ca="1">MAX(0,ROUND(Inputs!$B$10*Inputs!$B$11+NORMSINV(B400)*SQRT(Inputs!$B$10*Inputs!$B$11),0))</f>
        <v>543</v>
      </c>
      <c r="D400" s="52">
        <f ca="1">C400*Inputs!$B$12</f>
        <v>65160000</v>
      </c>
    </row>
    <row r="401" spans="1:4" ht="13.5" customHeight="1" x14ac:dyDescent="0.3">
      <c r="A401" s="46">
        <v>397</v>
      </c>
      <c r="B401" s="47">
        <f t="shared" ca="1" si="6"/>
        <v>0.99437706179040897</v>
      </c>
      <c r="C401" s="48">
        <f t="array" aca="1" ref="C401" ca="1">MAX(0,ROUND(Inputs!$B$10*Inputs!$B$11+NORMSINV(B401)*SQRT(Inputs!$B$10*Inputs!$B$11),0))</f>
        <v>557</v>
      </c>
      <c r="D401" s="49">
        <f ca="1">C401*Inputs!$B$12</f>
        <v>66840000</v>
      </c>
    </row>
    <row r="402" spans="1:4" ht="13.5" customHeight="1" x14ac:dyDescent="0.3">
      <c r="A402" s="50">
        <v>398</v>
      </c>
      <c r="B402" s="51">
        <f t="shared" ca="1" si="6"/>
        <v>0.4734892795056258</v>
      </c>
      <c r="C402" s="48">
        <f t="array" aca="1" ref="C402" ca="1">MAX(0,ROUND(Inputs!$B$10*Inputs!$B$11+NORMSINV(B402)*SQRT(Inputs!$B$10*Inputs!$B$11),0))</f>
        <v>499</v>
      </c>
      <c r="D402" s="52">
        <f ca="1">C402*Inputs!$B$12</f>
        <v>59880000</v>
      </c>
    </row>
    <row r="403" spans="1:4" ht="13.5" customHeight="1" x14ac:dyDescent="0.3">
      <c r="A403" s="46">
        <v>399</v>
      </c>
      <c r="B403" s="47">
        <f t="shared" ca="1" si="6"/>
        <v>0.45891880263020812</v>
      </c>
      <c r="C403" s="48">
        <f t="array" aca="1" ref="C403" ca="1">MAX(0,ROUND(Inputs!$B$10*Inputs!$B$11+NORMSINV(B403)*SQRT(Inputs!$B$10*Inputs!$B$11),0))</f>
        <v>498</v>
      </c>
      <c r="D403" s="49">
        <f ca="1">C403*Inputs!$B$12</f>
        <v>59760000</v>
      </c>
    </row>
    <row r="404" spans="1:4" ht="13.5" customHeight="1" x14ac:dyDescent="0.3">
      <c r="A404" s="50">
        <v>400</v>
      </c>
      <c r="B404" s="51">
        <f t="shared" ca="1" si="6"/>
        <v>0.48087959010284642</v>
      </c>
      <c r="C404" s="48">
        <f t="array" aca="1" ref="C404" ca="1">MAX(0,ROUND(Inputs!$B$10*Inputs!$B$11+NORMSINV(B404)*SQRT(Inputs!$B$10*Inputs!$B$11),0))</f>
        <v>499</v>
      </c>
      <c r="D404" s="52">
        <f ca="1">C404*Inputs!$B$12</f>
        <v>59880000</v>
      </c>
    </row>
    <row r="405" spans="1:4" ht="13.5" customHeight="1" x14ac:dyDescent="0.3">
      <c r="A405" s="46">
        <v>401</v>
      </c>
      <c r="B405" s="47">
        <f t="shared" ca="1" si="6"/>
        <v>0.93696684872373448</v>
      </c>
      <c r="C405" s="48">
        <f t="array" aca="1" ref="C405" ca="1">MAX(0,ROUND(Inputs!$B$10*Inputs!$B$11+NORMSINV(B405)*SQRT(Inputs!$B$10*Inputs!$B$11),0))</f>
        <v>534</v>
      </c>
      <c r="D405" s="49">
        <f ca="1">C405*Inputs!$B$12</f>
        <v>64080000</v>
      </c>
    </row>
    <row r="406" spans="1:4" ht="13.5" customHeight="1" x14ac:dyDescent="0.3">
      <c r="A406" s="50">
        <v>402</v>
      </c>
      <c r="B406" s="51">
        <f t="shared" ca="1" si="6"/>
        <v>0.50618539120670791</v>
      </c>
      <c r="C406" s="48">
        <f t="array" aca="1" ref="C406" ca="1">MAX(0,ROUND(Inputs!$B$10*Inputs!$B$11+NORMSINV(B406)*SQRT(Inputs!$B$10*Inputs!$B$11),0))</f>
        <v>500</v>
      </c>
      <c r="D406" s="52">
        <f ca="1">C406*Inputs!$B$12</f>
        <v>60000000</v>
      </c>
    </row>
    <row r="407" spans="1:4" ht="13.5" customHeight="1" x14ac:dyDescent="0.3">
      <c r="A407" s="46">
        <v>403</v>
      </c>
      <c r="B407" s="47">
        <f t="shared" ca="1" si="6"/>
        <v>0.26968015246792554</v>
      </c>
      <c r="C407" s="48">
        <f t="array" aca="1" ref="C407" ca="1">MAX(0,ROUND(Inputs!$B$10*Inputs!$B$11+NORMSINV(B407)*SQRT(Inputs!$B$10*Inputs!$B$11),0))</f>
        <v>486</v>
      </c>
      <c r="D407" s="49">
        <f ca="1">C407*Inputs!$B$12</f>
        <v>58320000</v>
      </c>
    </row>
    <row r="408" spans="1:4" ht="13.5" customHeight="1" x14ac:dyDescent="0.3">
      <c r="A408" s="50">
        <v>404</v>
      </c>
      <c r="B408" s="51">
        <f t="shared" ca="1" si="6"/>
        <v>0.71988529039462501</v>
      </c>
      <c r="C408" s="48">
        <f t="array" aca="1" ref="C408" ca="1">MAX(0,ROUND(Inputs!$B$10*Inputs!$B$11+NORMSINV(B408)*SQRT(Inputs!$B$10*Inputs!$B$11),0))</f>
        <v>513</v>
      </c>
      <c r="D408" s="52">
        <f ca="1">C408*Inputs!$B$12</f>
        <v>61560000</v>
      </c>
    </row>
    <row r="409" spans="1:4" ht="13.5" customHeight="1" x14ac:dyDescent="0.3">
      <c r="A409" s="46">
        <v>405</v>
      </c>
      <c r="B409" s="47">
        <f t="shared" ca="1" si="6"/>
        <v>0.85824928370965536</v>
      </c>
      <c r="C409" s="48">
        <f t="array" aca="1" ref="C409" ca="1">MAX(0,ROUND(Inputs!$B$10*Inputs!$B$11+NORMSINV(B409)*SQRT(Inputs!$B$10*Inputs!$B$11),0))</f>
        <v>524</v>
      </c>
      <c r="D409" s="49">
        <f ca="1">C409*Inputs!$B$12</f>
        <v>62880000</v>
      </c>
    </row>
    <row r="410" spans="1:4" ht="13.5" customHeight="1" x14ac:dyDescent="0.3">
      <c r="A410" s="50">
        <v>406</v>
      </c>
      <c r="B410" s="51">
        <f t="shared" ca="1" si="6"/>
        <v>0.12886190953222176</v>
      </c>
      <c r="C410" s="48">
        <f t="array" aca="1" ref="C410" ca="1">MAX(0,ROUND(Inputs!$B$10*Inputs!$B$11+NORMSINV(B410)*SQRT(Inputs!$B$10*Inputs!$B$11),0))</f>
        <v>475</v>
      </c>
      <c r="D410" s="52">
        <f ca="1">C410*Inputs!$B$12</f>
        <v>57000000</v>
      </c>
    </row>
    <row r="411" spans="1:4" ht="13.5" customHeight="1" x14ac:dyDescent="0.3">
      <c r="A411" s="46">
        <v>407</v>
      </c>
      <c r="B411" s="47">
        <f t="shared" ca="1" si="6"/>
        <v>8.8061732976798757E-2</v>
      </c>
      <c r="C411" s="48">
        <f t="array" aca="1" ref="C411" ca="1">MAX(0,ROUND(Inputs!$B$10*Inputs!$B$11+NORMSINV(B411)*SQRT(Inputs!$B$10*Inputs!$B$11),0))</f>
        <v>470</v>
      </c>
      <c r="D411" s="49">
        <f ca="1">C411*Inputs!$B$12</f>
        <v>56400000</v>
      </c>
    </row>
    <row r="412" spans="1:4" ht="13.5" customHeight="1" x14ac:dyDescent="0.3">
      <c r="A412" s="50">
        <v>408</v>
      </c>
      <c r="B412" s="51">
        <f t="shared" ca="1" si="6"/>
        <v>0.97324063590179621</v>
      </c>
      <c r="C412" s="48">
        <f t="array" aca="1" ref="C412" ca="1">MAX(0,ROUND(Inputs!$B$10*Inputs!$B$11+NORMSINV(B412)*SQRT(Inputs!$B$10*Inputs!$B$11),0))</f>
        <v>543</v>
      </c>
      <c r="D412" s="52">
        <f ca="1">C412*Inputs!$B$12</f>
        <v>65160000</v>
      </c>
    </row>
    <row r="413" spans="1:4" ht="13.5" customHeight="1" x14ac:dyDescent="0.3">
      <c r="A413" s="46">
        <v>409</v>
      </c>
      <c r="B413" s="47">
        <f t="shared" ca="1" si="6"/>
        <v>0.68284938557770736</v>
      </c>
      <c r="C413" s="48">
        <f t="array" aca="1" ref="C413" ca="1">MAX(0,ROUND(Inputs!$B$10*Inputs!$B$11+NORMSINV(B413)*SQRT(Inputs!$B$10*Inputs!$B$11),0))</f>
        <v>511</v>
      </c>
      <c r="D413" s="49">
        <f ca="1">C413*Inputs!$B$12</f>
        <v>61320000</v>
      </c>
    </row>
    <row r="414" spans="1:4" ht="13.5" customHeight="1" x14ac:dyDescent="0.3">
      <c r="A414" s="50">
        <v>410</v>
      </c>
      <c r="B414" s="51">
        <f t="shared" ca="1" si="6"/>
        <v>0.26368591966415678</v>
      </c>
      <c r="C414" s="48">
        <f t="array" aca="1" ref="C414" ca="1">MAX(0,ROUND(Inputs!$B$10*Inputs!$B$11+NORMSINV(B414)*SQRT(Inputs!$B$10*Inputs!$B$11),0))</f>
        <v>486</v>
      </c>
      <c r="D414" s="52">
        <f ca="1">C414*Inputs!$B$12</f>
        <v>58320000</v>
      </c>
    </row>
    <row r="415" spans="1:4" ht="13.5" customHeight="1" x14ac:dyDescent="0.3">
      <c r="A415" s="46">
        <v>411</v>
      </c>
      <c r="B415" s="47">
        <f t="shared" ca="1" si="6"/>
        <v>0.12888246482588872</v>
      </c>
      <c r="C415" s="48">
        <f t="array" aca="1" ref="C415" ca="1">MAX(0,ROUND(Inputs!$B$10*Inputs!$B$11+NORMSINV(B415)*SQRT(Inputs!$B$10*Inputs!$B$11),0))</f>
        <v>475</v>
      </c>
      <c r="D415" s="49">
        <f ca="1">C415*Inputs!$B$12</f>
        <v>57000000</v>
      </c>
    </row>
    <row r="416" spans="1:4" ht="13.5" customHeight="1" x14ac:dyDescent="0.3">
      <c r="A416" s="50">
        <v>412</v>
      </c>
      <c r="B416" s="51">
        <f t="shared" ca="1" si="6"/>
        <v>0.59103075893151225</v>
      </c>
      <c r="C416" s="48">
        <f t="array" aca="1" ref="C416" ca="1">MAX(0,ROUND(Inputs!$B$10*Inputs!$B$11+NORMSINV(B416)*SQRT(Inputs!$B$10*Inputs!$B$11),0))</f>
        <v>505</v>
      </c>
      <c r="D416" s="52">
        <f ca="1">C416*Inputs!$B$12</f>
        <v>60600000</v>
      </c>
    </row>
    <row r="417" spans="1:4" ht="13.5" customHeight="1" x14ac:dyDescent="0.3">
      <c r="A417" s="46">
        <v>413</v>
      </c>
      <c r="B417" s="47">
        <f t="shared" ca="1" si="6"/>
        <v>0.19947119992845797</v>
      </c>
      <c r="C417" s="48">
        <f t="array" aca="1" ref="C417" ca="1">MAX(0,ROUND(Inputs!$B$10*Inputs!$B$11+NORMSINV(B417)*SQRT(Inputs!$B$10*Inputs!$B$11),0))</f>
        <v>481</v>
      </c>
      <c r="D417" s="49">
        <f ca="1">C417*Inputs!$B$12</f>
        <v>57720000</v>
      </c>
    </row>
    <row r="418" spans="1:4" ht="13.5" customHeight="1" x14ac:dyDescent="0.3">
      <c r="A418" s="50">
        <v>414</v>
      </c>
      <c r="B418" s="51">
        <f t="shared" ca="1" si="6"/>
        <v>0.45903812861163329</v>
      </c>
      <c r="C418" s="48">
        <f t="array" aca="1" ref="C418" ca="1">MAX(0,ROUND(Inputs!$B$10*Inputs!$B$11+NORMSINV(B418)*SQRT(Inputs!$B$10*Inputs!$B$11),0))</f>
        <v>498</v>
      </c>
      <c r="D418" s="52">
        <f ca="1">C418*Inputs!$B$12</f>
        <v>59760000</v>
      </c>
    </row>
    <row r="419" spans="1:4" ht="13.5" customHeight="1" x14ac:dyDescent="0.3">
      <c r="A419" s="46">
        <v>415</v>
      </c>
      <c r="B419" s="47">
        <f t="shared" ca="1" si="6"/>
        <v>0.18340576035911593</v>
      </c>
      <c r="C419" s="48">
        <f t="array" aca="1" ref="C419" ca="1">MAX(0,ROUND(Inputs!$B$10*Inputs!$B$11+NORMSINV(B419)*SQRT(Inputs!$B$10*Inputs!$B$11),0))</f>
        <v>480</v>
      </c>
      <c r="D419" s="49">
        <f ca="1">C419*Inputs!$B$12</f>
        <v>57600000</v>
      </c>
    </row>
    <row r="420" spans="1:4" ht="13.5" customHeight="1" x14ac:dyDescent="0.3">
      <c r="A420" s="50">
        <v>416</v>
      </c>
      <c r="B420" s="51">
        <f t="shared" ca="1" si="6"/>
        <v>0.19598588385261051</v>
      </c>
      <c r="C420" s="48">
        <f t="array" aca="1" ref="C420" ca="1">MAX(0,ROUND(Inputs!$B$10*Inputs!$B$11+NORMSINV(B420)*SQRT(Inputs!$B$10*Inputs!$B$11),0))</f>
        <v>481</v>
      </c>
      <c r="D420" s="52">
        <f ca="1">C420*Inputs!$B$12</f>
        <v>57720000</v>
      </c>
    </row>
    <row r="421" spans="1:4" ht="13.5" customHeight="1" x14ac:dyDescent="0.3">
      <c r="A421" s="46">
        <v>417</v>
      </c>
      <c r="B421" s="47">
        <f t="shared" ca="1" si="6"/>
        <v>0.63948129729461678</v>
      </c>
      <c r="C421" s="48">
        <f t="array" aca="1" ref="C421" ca="1">MAX(0,ROUND(Inputs!$B$10*Inputs!$B$11+NORMSINV(B421)*SQRT(Inputs!$B$10*Inputs!$B$11),0))</f>
        <v>508</v>
      </c>
      <c r="D421" s="49">
        <f ca="1">C421*Inputs!$B$12</f>
        <v>60960000</v>
      </c>
    </row>
    <row r="422" spans="1:4" ht="13.5" customHeight="1" x14ac:dyDescent="0.3">
      <c r="A422" s="50">
        <v>418</v>
      </c>
      <c r="B422" s="51">
        <f t="shared" ca="1" si="6"/>
        <v>0.79233350527266255</v>
      </c>
      <c r="C422" s="48">
        <f t="array" aca="1" ref="C422" ca="1">MAX(0,ROUND(Inputs!$B$10*Inputs!$B$11+NORMSINV(B422)*SQRT(Inputs!$B$10*Inputs!$B$11),0))</f>
        <v>518</v>
      </c>
      <c r="D422" s="52">
        <f ca="1">C422*Inputs!$B$12</f>
        <v>62160000</v>
      </c>
    </row>
    <row r="423" spans="1:4" ht="13.5" customHeight="1" x14ac:dyDescent="0.3">
      <c r="A423" s="46">
        <v>419</v>
      </c>
      <c r="B423" s="47">
        <f t="shared" ca="1" si="6"/>
        <v>0.64962489579160854</v>
      </c>
      <c r="C423" s="48">
        <f t="array" aca="1" ref="C423" ca="1">MAX(0,ROUND(Inputs!$B$10*Inputs!$B$11+NORMSINV(B423)*SQRT(Inputs!$B$10*Inputs!$B$11),0))</f>
        <v>509</v>
      </c>
      <c r="D423" s="49">
        <f ca="1">C423*Inputs!$B$12</f>
        <v>61080000</v>
      </c>
    </row>
    <row r="424" spans="1:4" ht="13.5" customHeight="1" x14ac:dyDescent="0.3">
      <c r="A424" s="50">
        <v>420</v>
      </c>
      <c r="B424" s="51">
        <f t="shared" ca="1" si="6"/>
        <v>1.8699013699891021E-2</v>
      </c>
      <c r="C424" s="48">
        <f t="array" aca="1" ref="C424" ca="1">MAX(0,ROUND(Inputs!$B$10*Inputs!$B$11+NORMSINV(B424)*SQRT(Inputs!$B$10*Inputs!$B$11),0))</f>
        <v>453</v>
      </c>
      <c r="D424" s="52">
        <f ca="1">C424*Inputs!$B$12</f>
        <v>54360000</v>
      </c>
    </row>
    <row r="425" spans="1:4" ht="13.5" customHeight="1" x14ac:dyDescent="0.3">
      <c r="A425" s="46">
        <v>421</v>
      </c>
      <c r="B425" s="47">
        <f t="shared" ca="1" si="6"/>
        <v>0.67630134520032226</v>
      </c>
      <c r="C425" s="48">
        <f t="array" aca="1" ref="C425" ca="1">MAX(0,ROUND(Inputs!$B$10*Inputs!$B$11+NORMSINV(B425)*SQRT(Inputs!$B$10*Inputs!$B$11),0))</f>
        <v>510</v>
      </c>
      <c r="D425" s="49">
        <f ca="1">C425*Inputs!$B$12</f>
        <v>61200000</v>
      </c>
    </row>
    <row r="426" spans="1:4" ht="13.5" customHeight="1" x14ac:dyDescent="0.3">
      <c r="A426" s="50">
        <v>422</v>
      </c>
      <c r="B426" s="51">
        <f t="shared" ca="1" si="6"/>
        <v>1.6976135696606387E-2</v>
      </c>
      <c r="C426" s="48">
        <f t="array" aca="1" ref="C426" ca="1">MAX(0,ROUND(Inputs!$B$10*Inputs!$B$11+NORMSINV(B426)*SQRT(Inputs!$B$10*Inputs!$B$11),0))</f>
        <v>453</v>
      </c>
      <c r="D426" s="52">
        <f ca="1">C426*Inputs!$B$12</f>
        <v>54360000</v>
      </c>
    </row>
    <row r="427" spans="1:4" ht="13.5" customHeight="1" x14ac:dyDescent="0.3">
      <c r="A427" s="46">
        <v>423</v>
      </c>
      <c r="B427" s="47">
        <f t="shared" ca="1" si="6"/>
        <v>0.36203118442444682</v>
      </c>
      <c r="C427" s="48">
        <f t="array" aca="1" ref="C427" ca="1">MAX(0,ROUND(Inputs!$B$10*Inputs!$B$11+NORMSINV(B427)*SQRT(Inputs!$B$10*Inputs!$B$11),0))</f>
        <v>492</v>
      </c>
      <c r="D427" s="49">
        <f ca="1">C427*Inputs!$B$12</f>
        <v>59040000</v>
      </c>
    </row>
    <row r="428" spans="1:4" ht="13.5" customHeight="1" x14ac:dyDescent="0.3">
      <c r="A428" s="50">
        <v>424</v>
      </c>
      <c r="B428" s="51">
        <f t="shared" ca="1" si="6"/>
        <v>3.4985763354172472E-2</v>
      </c>
      <c r="C428" s="48">
        <f t="array" aca="1" ref="C428" ca="1">MAX(0,ROUND(Inputs!$B$10*Inputs!$B$11+NORMSINV(B428)*SQRT(Inputs!$B$10*Inputs!$B$11),0))</f>
        <v>459</v>
      </c>
      <c r="D428" s="52">
        <f ca="1">C428*Inputs!$B$12</f>
        <v>55080000</v>
      </c>
    </row>
    <row r="429" spans="1:4" ht="13.5" customHeight="1" x14ac:dyDescent="0.3">
      <c r="A429" s="46">
        <v>425</v>
      </c>
      <c r="B429" s="47">
        <f t="shared" ca="1" si="6"/>
        <v>0.79667937726927396</v>
      </c>
      <c r="C429" s="48">
        <f t="array" aca="1" ref="C429" ca="1">MAX(0,ROUND(Inputs!$B$10*Inputs!$B$11+NORMSINV(B429)*SQRT(Inputs!$B$10*Inputs!$B$11),0))</f>
        <v>519</v>
      </c>
      <c r="D429" s="49">
        <f ca="1">C429*Inputs!$B$12</f>
        <v>62280000</v>
      </c>
    </row>
    <row r="430" spans="1:4" ht="13.5" customHeight="1" x14ac:dyDescent="0.3">
      <c r="A430" s="50">
        <v>426</v>
      </c>
      <c r="B430" s="51">
        <f t="shared" ca="1" si="6"/>
        <v>8.9104375399894797E-2</v>
      </c>
      <c r="C430" s="48">
        <f t="array" aca="1" ref="C430" ca="1">MAX(0,ROUND(Inputs!$B$10*Inputs!$B$11+NORMSINV(B430)*SQRT(Inputs!$B$10*Inputs!$B$11),0))</f>
        <v>470</v>
      </c>
      <c r="D430" s="52">
        <f ca="1">C430*Inputs!$B$12</f>
        <v>56400000</v>
      </c>
    </row>
    <row r="431" spans="1:4" ht="13.5" customHeight="1" x14ac:dyDescent="0.3">
      <c r="A431" s="46">
        <v>427</v>
      </c>
      <c r="B431" s="47">
        <f t="shared" ca="1" si="6"/>
        <v>0.77323464858725477</v>
      </c>
      <c r="C431" s="48">
        <f t="array" aca="1" ref="C431" ca="1">MAX(0,ROUND(Inputs!$B$10*Inputs!$B$11+NORMSINV(B431)*SQRT(Inputs!$B$10*Inputs!$B$11),0))</f>
        <v>517</v>
      </c>
      <c r="D431" s="49">
        <f ca="1">C431*Inputs!$B$12</f>
        <v>62040000</v>
      </c>
    </row>
    <row r="432" spans="1:4" ht="13.5" customHeight="1" x14ac:dyDescent="0.3">
      <c r="A432" s="50">
        <v>428</v>
      </c>
      <c r="B432" s="51">
        <f t="shared" ca="1" si="6"/>
        <v>0.94623751363870434</v>
      </c>
      <c r="C432" s="48">
        <f t="array" aca="1" ref="C432" ca="1">MAX(0,ROUND(Inputs!$B$10*Inputs!$B$11+NORMSINV(B432)*SQRT(Inputs!$B$10*Inputs!$B$11),0))</f>
        <v>536</v>
      </c>
      <c r="D432" s="52">
        <f ca="1">C432*Inputs!$B$12</f>
        <v>64320000</v>
      </c>
    </row>
    <row r="433" spans="1:4" ht="13.5" customHeight="1" x14ac:dyDescent="0.3">
      <c r="A433" s="46">
        <v>429</v>
      </c>
      <c r="B433" s="47">
        <f t="shared" ca="1" si="6"/>
        <v>0.78034667243688327</v>
      </c>
      <c r="C433" s="48">
        <f t="array" aca="1" ref="C433" ca="1">MAX(0,ROUND(Inputs!$B$10*Inputs!$B$11+NORMSINV(B433)*SQRT(Inputs!$B$10*Inputs!$B$11),0))</f>
        <v>517</v>
      </c>
      <c r="D433" s="49">
        <f ca="1">C433*Inputs!$B$12</f>
        <v>62040000</v>
      </c>
    </row>
    <row r="434" spans="1:4" ht="13.5" customHeight="1" x14ac:dyDescent="0.3">
      <c r="A434" s="50">
        <v>430</v>
      </c>
      <c r="B434" s="51">
        <f t="shared" ca="1" si="6"/>
        <v>0.65353253073056339</v>
      </c>
      <c r="C434" s="48">
        <f t="array" aca="1" ref="C434" ca="1">MAX(0,ROUND(Inputs!$B$10*Inputs!$B$11+NORMSINV(B434)*SQRT(Inputs!$B$10*Inputs!$B$11),0))</f>
        <v>509</v>
      </c>
      <c r="D434" s="52">
        <f ca="1">C434*Inputs!$B$12</f>
        <v>61080000</v>
      </c>
    </row>
    <row r="435" spans="1:4" ht="13.5" customHeight="1" x14ac:dyDescent="0.3">
      <c r="A435" s="46">
        <v>431</v>
      </c>
      <c r="B435" s="47">
        <f t="shared" ca="1" si="6"/>
        <v>0.71315395595794939</v>
      </c>
      <c r="C435" s="48">
        <f t="array" aca="1" ref="C435" ca="1">MAX(0,ROUND(Inputs!$B$10*Inputs!$B$11+NORMSINV(B435)*SQRT(Inputs!$B$10*Inputs!$B$11),0))</f>
        <v>513</v>
      </c>
      <c r="D435" s="49">
        <f ca="1">C435*Inputs!$B$12</f>
        <v>61560000</v>
      </c>
    </row>
    <row r="436" spans="1:4" ht="13.5" customHeight="1" x14ac:dyDescent="0.3">
      <c r="A436" s="50">
        <v>432</v>
      </c>
      <c r="B436" s="51">
        <f t="shared" ca="1" si="6"/>
        <v>0.3592953530064007</v>
      </c>
      <c r="C436" s="48">
        <f t="array" aca="1" ref="C436" ca="1">MAX(0,ROUND(Inputs!$B$10*Inputs!$B$11+NORMSINV(B436)*SQRT(Inputs!$B$10*Inputs!$B$11),0))</f>
        <v>492</v>
      </c>
      <c r="D436" s="52">
        <f ca="1">C436*Inputs!$B$12</f>
        <v>59040000</v>
      </c>
    </row>
    <row r="437" spans="1:4" ht="13.5" customHeight="1" x14ac:dyDescent="0.3">
      <c r="A437" s="46">
        <v>433</v>
      </c>
      <c r="B437" s="47">
        <f t="shared" ca="1" si="6"/>
        <v>0.37543407857757116</v>
      </c>
      <c r="C437" s="48">
        <f t="array" aca="1" ref="C437" ca="1">MAX(0,ROUND(Inputs!$B$10*Inputs!$B$11+NORMSINV(B437)*SQRT(Inputs!$B$10*Inputs!$B$11),0))</f>
        <v>493</v>
      </c>
      <c r="D437" s="49">
        <f ca="1">C437*Inputs!$B$12</f>
        <v>59160000</v>
      </c>
    </row>
    <row r="438" spans="1:4" ht="13.5" customHeight="1" x14ac:dyDescent="0.3">
      <c r="A438" s="50">
        <v>434</v>
      </c>
      <c r="B438" s="51">
        <f t="shared" ca="1" si="6"/>
        <v>0.7610361390551007</v>
      </c>
      <c r="C438" s="48">
        <f t="array" aca="1" ref="C438" ca="1">MAX(0,ROUND(Inputs!$B$10*Inputs!$B$11+NORMSINV(B438)*SQRT(Inputs!$B$10*Inputs!$B$11),0))</f>
        <v>516</v>
      </c>
      <c r="D438" s="52">
        <f ca="1">C438*Inputs!$B$12</f>
        <v>61920000</v>
      </c>
    </row>
    <row r="439" spans="1:4" ht="13.5" customHeight="1" x14ac:dyDescent="0.3">
      <c r="A439" s="46">
        <v>435</v>
      </c>
      <c r="B439" s="47">
        <f t="shared" ca="1" si="6"/>
        <v>0.27588111301853335</v>
      </c>
      <c r="C439" s="48">
        <f t="array" aca="1" ref="C439" ca="1">MAX(0,ROUND(Inputs!$B$10*Inputs!$B$11+NORMSINV(B439)*SQRT(Inputs!$B$10*Inputs!$B$11),0))</f>
        <v>487</v>
      </c>
      <c r="D439" s="49">
        <f ca="1">C439*Inputs!$B$12</f>
        <v>58440000</v>
      </c>
    </row>
    <row r="440" spans="1:4" ht="13.5" customHeight="1" x14ac:dyDescent="0.3">
      <c r="A440" s="50">
        <v>436</v>
      </c>
      <c r="B440" s="51">
        <f t="shared" ca="1" si="6"/>
        <v>6.0873036586991836E-2</v>
      </c>
      <c r="C440" s="48">
        <f t="array" aca="1" ref="C440" ca="1">MAX(0,ROUND(Inputs!$B$10*Inputs!$B$11+NORMSINV(B440)*SQRT(Inputs!$B$10*Inputs!$B$11),0))</f>
        <v>465</v>
      </c>
      <c r="D440" s="52">
        <f ca="1">C440*Inputs!$B$12</f>
        <v>55800000</v>
      </c>
    </row>
    <row r="441" spans="1:4" ht="13.5" customHeight="1" x14ac:dyDescent="0.3">
      <c r="A441" s="46">
        <v>437</v>
      </c>
      <c r="B441" s="47">
        <f t="shared" ca="1" si="6"/>
        <v>0.19213550625189768</v>
      </c>
      <c r="C441" s="48">
        <f t="array" aca="1" ref="C441" ca="1">MAX(0,ROUND(Inputs!$B$10*Inputs!$B$11+NORMSINV(B441)*SQRT(Inputs!$B$10*Inputs!$B$11),0))</f>
        <v>481</v>
      </c>
      <c r="D441" s="49">
        <f ca="1">C441*Inputs!$B$12</f>
        <v>57720000</v>
      </c>
    </row>
    <row r="442" spans="1:4" ht="13.5" customHeight="1" x14ac:dyDescent="0.3">
      <c r="A442" s="50">
        <v>438</v>
      </c>
      <c r="B442" s="51">
        <f t="shared" ca="1" si="6"/>
        <v>0.66167774291344694</v>
      </c>
      <c r="C442" s="48">
        <f t="array" aca="1" ref="C442" ca="1">MAX(0,ROUND(Inputs!$B$10*Inputs!$B$11+NORMSINV(B442)*SQRT(Inputs!$B$10*Inputs!$B$11),0))</f>
        <v>509</v>
      </c>
      <c r="D442" s="52">
        <f ca="1">C442*Inputs!$B$12</f>
        <v>61080000</v>
      </c>
    </row>
    <row r="443" spans="1:4" ht="13.5" customHeight="1" x14ac:dyDescent="0.3">
      <c r="A443" s="46">
        <v>439</v>
      </c>
      <c r="B443" s="47">
        <f t="shared" ca="1" si="6"/>
        <v>0.95821707837590797</v>
      </c>
      <c r="C443" s="48">
        <f t="array" aca="1" ref="C443" ca="1">MAX(0,ROUND(Inputs!$B$10*Inputs!$B$11+NORMSINV(B443)*SQRT(Inputs!$B$10*Inputs!$B$11),0))</f>
        <v>539</v>
      </c>
      <c r="D443" s="49">
        <f ca="1">C443*Inputs!$B$12</f>
        <v>64680000</v>
      </c>
    </row>
    <row r="444" spans="1:4" ht="13.5" customHeight="1" x14ac:dyDescent="0.3">
      <c r="A444" s="50">
        <v>440</v>
      </c>
      <c r="B444" s="51">
        <f t="shared" ca="1" si="6"/>
        <v>0.30744714486933478</v>
      </c>
      <c r="C444" s="48">
        <f t="array" aca="1" ref="C444" ca="1">MAX(0,ROUND(Inputs!$B$10*Inputs!$B$11+NORMSINV(B444)*SQRT(Inputs!$B$10*Inputs!$B$11),0))</f>
        <v>489</v>
      </c>
      <c r="D444" s="52">
        <f ca="1">C444*Inputs!$B$12</f>
        <v>58680000</v>
      </c>
    </row>
    <row r="445" spans="1:4" ht="13.5" customHeight="1" x14ac:dyDescent="0.3">
      <c r="A445" s="46">
        <v>441</v>
      </c>
      <c r="B445" s="47">
        <f t="shared" ca="1" si="6"/>
        <v>0.77365755693717075</v>
      </c>
      <c r="C445" s="48">
        <f t="array" aca="1" ref="C445" ca="1">MAX(0,ROUND(Inputs!$B$10*Inputs!$B$11+NORMSINV(B445)*SQRT(Inputs!$B$10*Inputs!$B$11),0))</f>
        <v>517</v>
      </c>
      <c r="D445" s="49">
        <f ca="1">C445*Inputs!$B$12</f>
        <v>62040000</v>
      </c>
    </row>
    <row r="446" spans="1:4" ht="13.5" customHeight="1" x14ac:dyDescent="0.3">
      <c r="A446" s="50">
        <v>442</v>
      </c>
      <c r="B446" s="51">
        <f t="shared" ca="1" si="6"/>
        <v>0.93008269711706204</v>
      </c>
      <c r="C446" s="48">
        <f t="array" aca="1" ref="C446" ca="1">MAX(0,ROUND(Inputs!$B$10*Inputs!$B$11+NORMSINV(B446)*SQRT(Inputs!$B$10*Inputs!$B$11),0))</f>
        <v>533</v>
      </c>
      <c r="D446" s="52">
        <f ca="1">C446*Inputs!$B$12</f>
        <v>63960000</v>
      </c>
    </row>
    <row r="447" spans="1:4" ht="13.5" customHeight="1" x14ac:dyDescent="0.3">
      <c r="A447" s="46">
        <v>443</v>
      </c>
      <c r="B447" s="47">
        <f t="shared" ca="1" si="6"/>
        <v>0.29105257952810637</v>
      </c>
      <c r="C447" s="48">
        <f t="array" aca="1" ref="C447" ca="1">MAX(0,ROUND(Inputs!$B$10*Inputs!$B$11+NORMSINV(B447)*SQRT(Inputs!$B$10*Inputs!$B$11),0))</f>
        <v>488</v>
      </c>
      <c r="D447" s="49">
        <f ca="1">C447*Inputs!$B$12</f>
        <v>58560000</v>
      </c>
    </row>
    <row r="448" spans="1:4" ht="13.5" customHeight="1" x14ac:dyDescent="0.3">
      <c r="A448" s="50">
        <v>444</v>
      </c>
      <c r="B448" s="51">
        <f t="shared" ca="1" si="6"/>
        <v>0.28548465199989426</v>
      </c>
      <c r="C448" s="48">
        <f t="array" aca="1" ref="C448" ca="1">MAX(0,ROUND(Inputs!$B$10*Inputs!$B$11+NORMSINV(B448)*SQRT(Inputs!$B$10*Inputs!$B$11),0))</f>
        <v>487</v>
      </c>
      <c r="D448" s="52">
        <f ca="1">C448*Inputs!$B$12</f>
        <v>58440000</v>
      </c>
    </row>
    <row r="449" spans="1:4" ht="13.5" customHeight="1" x14ac:dyDescent="0.3">
      <c r="A449" s="46">
        <v>445</v>
      </c>
      <c r="B449" s="47">
        <f t="shared" ca="1" si="6"/>
        <v>0.2395721205450364</v>
      </c>
      <c r="C449" s="48">
        <f t="array" aca="1" ref="C449" ca="1">MAX(0,ROUND(Inputs!$B$10*Inputs!$B$11+NORMSINV(B449)*SQRT(Inputs!$B$10*Inputs!$B$11),0))</f>
        <v>484</v>
      </c>
      <c r="D449" s="49">
        <f ca="1">C449*Inputs!$B$12</f>
        <v>58080000</v>
      </c>
    </row>
    <row r="450" spans="1:4" ht="13.5" customHeight="1" x14ac:dyDescent="0.3">
      <c r="A450" s="50">
        <v>446</v>
      </c>
      <c r="B450" s="51">
        <f t="shared" ca="1" si="6"/>
        <v>0.42904664131804504</v>
      </c>
      <c r="C450" s="48">
        <f t="array" aca="1" ref="C450" ca="1">MAX(0,ROUND(Inputs!$B$10*Inputs!$B$11+NORMSINV(B450)*SQRT(Inputs!$B$10*Inputs!$B$11),0))</f>
        <v>496</v>
      </c>
      <c r="D450" s="52">
        <f ca="1">C450*Inputs!$B$12</f>
        <v>59520000</v>
      </c>
    </row>
    <row r="451" spans="1:4" ht="13.5" customHeight="1" x14ac:dyDescent="0.3">
      <c r="A451" s="46">
        <v>447</v>
      </c>
      <c r="B451" s="47">
        <f t="shared" ca="1" si="6"/>
        <v>0.98465727584732332</v>
      </c>
      <c r="C451" s="48">
        <f t="array" aca="1" ref="C451" ca="1">MAX(0,ROUND(Inputs!$B$10*Inputs!$B$11+NORMSINV(B451)*SQRT(Inputs!$B$10*Inputs!$B$11),0))</f>
        <v>548</v>
      </c>
      <c r="D451" s="49">
        <f ca="1">C451*Inputs!$B$12</f>
        <v>65760000</v>
      </c>
    </row>
    <row r="452" spans="1:4" ht="13.5" customHeight="1" x14ac:dyDescent="0.3">
      <c r="A452" s="50">
        <v>448</v>
      </c>
      <c r="B452" s="51">
        <f t="shared" ca="1" si="6"/>
        <v>0.46970027753292798</v>
      </c>
      <c r="C452" s="48">
        <f t="array" aca="1" ref="C452" ca="1">MAX(0,ROUND(Inputs!$B$10*Inputs!$B$11+NORMSINV(B452)*SQRT(Inputs!$B$10*Inputs!$B$11),0))</f>
        <v>498</v>
      </c>
      <c r="D452" s="52">
        <f ca="1">C452*Inputs!$B$12</f>
        <v>59760000</v>
      </c>
    </row>
    <row r="453" spans="1:4" ht="13.5" customHeight="1" x14ac:dyDescent="0.3">
      <c r="A453" s="46">
        <v>449</v>
      </c>
      <c r="B453" s="47">
        <f t="shared" ref="B453:B516" ca="1" si="7">RAND()</f>
        <v>0.54269313587269785</v>
      </c>
      <c r="C453" s="48">
        <f t="array" aca="1" ref="C453" ca="1">MAX(0,ROUND(Inputs!$B$10*Inputs!$B$11+NORMSINV(B453)*SQRT(Inputs!$B$10*Inputs!$B$11),0))</f>
        <v>502</v>
      </c>
      <c r="D453" s="49">
        <f ca="1">C453*Inputs!$B$12</f>
        <v>60240000</v>
      </c>
    </row>
    <row r="454" spans="1:4" ht="13.5" customHeight="1" x14ac:dyDescent="0.3">
      <c r="A454" s="50">
        <v>450</v>
      </c>
      <c r="B454" s="51">
        <f t="shared" ca="1" si="7"/>
        <v>0.7844708738566657</v>
      </c>
      <c r="C454" s="48">
        <f t="array" aca="1" ref="C454" ca="1">MAX(0,ROUND(Inputs!$B$10*Inputs!$B$11+NORMSINV(B454)*SQRT(Inputs!$B$10*Inputs!$B$11),0))</f>
        <v>518</v>
      </c>
      <c r="D454" s="52">
        <f ca="1">C454*Inputs!$B$12</f>
        <v>62160000</v>
      </c>
    </row>
    <row r="455" spans="1:4" ht="13.5" customHeight="1" x14ac:dyDescent="0.3">
      <c r="A455" s="46">
        <v>451</v>
      </c>
      <c r="B455" s="47">
        <f t="shared" ca="1" si="7"/>
        <v>3.7630215212753448E-2</v>
      </c>
      <c r="C455" s="48">
        <f t="array" aca="1" ref="C455" ca="1">MAX(0,ROUND(Inputs!$B$10*Inputs!$B$11+NORMSINV(B455)*SQRT(Inputs!$B$10*Inputs!$B$11),0))</f>
        <v>460</v>
      </c>
      <c r="D455" s="49">
        <f ca="1">C455*Inputs!$B$12</f>
        <v>55200000</v>
      </c>
    </row>
    <row r="456" spans="1:4" ht="13.5" customHeight="1" x14ac:dyDescent="0.3">
      <c r="A456" s="50">
        <v>452</v>
      </c>
      <c r="B456" s="51">
        <f t="shared" ca="1" si="7"/>
        <v>0.57291770894250027</v>
      </c>
      <c r="C456" s="48">
        <f t="array" aca="1" ref="C456" ca="1">MAX(0,ROUND(Inputs!$B$10*Inputs!$B$11+NORMSINV(B456)*SQRT(Inputs!$B$10*Inputs!$B$11),0))</f>
        <v>504</v>
      </c>
      <c r="D456" s="52">
        <f ca="1">C456*Inputs!$B$12</f>
        <v>60480000</v>
      </c>
    </row>
    <row r="457" spans="1:4" ht="13.5" customHeight="1" x14ac:dyDescent="0.3">
      <c r="A457" s="46">
        <v>453</v>
      </c>
      <c r="B457" s="47">
        <f t="shared" ca="1" si="7"/>
        <v>0.36273056458624031</v>
      </c>
      <c r="C457" s="48">
        <f t="array" aca="1" ref="C457" ca="1">MAX(0,ROUND(Inputs!$B$10*Inputs!$B$11+NORMSINV(B457)*SQRT(Inputs!$B$10*Inputs!$B$11),0))</f>
        <v>492</v>
      </c>
      <c r="D457" s="49">
        <f ca="1">C457*Inputs!$B$12</f>
        <v>59040000</v>
      </c>
    </row>
    <row r="458" spans="1:4" ht="13.5" customHeight="1" x14ac:dyDescent="0.3">
      <c r="A458" s="50">
        <v>454</v>
      </c>
      <c r="B458" s="51">
        <f t="shared" ca="1" si="7"/>
        <v>0.46285072021662643</v>
      </c>
      <c r="C458" s="48">
        <f t="array" aca="1" ref="C458" ca="1">MAX(0,ROUND(Inputs!$B$10*Inputs!$B$11+NORMSINV(B458)*SQRT(Inputs!$B$10*Inputs!$B$11),0))</f>
        <v>498</v>
      </c>
      <c r="D458" s="52">
        <f ca="1">C458*Inputs!$B$12</f>
        <v>59760000</v>
      </c>
    </row>
    <row r="459" spans="1:4" ht="13.5" customHeight="1" x14ac:dyDescent="0.3">
      <c r="A459" s="46">
        <v>455</v>
      </c>
      <c r="B459" s="47">
        <f t="shared" ca="1" si="7"/>
        <v>0.71797217740632024</v>
      </c>
      <c r="C459" s="48">
        <f t="array" aca="1" ref="C459" ca="1">MAX(0,ROUND(Inputs!$B$10*Inputs!$B$11+NORMSINV(B459)*SQRT(Inputs!$B$10*Inputs!$B$11),0))</f>
        <v>513</v>
      </c>
      <c r="D459" s="49">
        <f ca="1">C459*Inputs!$B$12</f>
        <v>61560000</v>
      </c>
    </row>
    <row r="460" spans="1:4" ht="13.5" customHeight="1" x14ac:dyDescent="0.3">
      <c r="A460" s="50">
        <v>456</v>
      </c>
      <c r="B460" s="51">
        <f t="shared" ca="1" si="7"/>
        <v>0.83272191890991831</v>
      </c>
      <c r="C460" s="48">
        <f t="array" aca="1" ref="C460" ca="1">MAX(0,ROUND(Inputs!$B$10*Inputs!$B$11+NORMSINV(B460)*SQRT(Inputs!$B$10*Inputs!$B$11),0))</f>
        <v>522</v>
      </c>
      <c r="D460" s="52">
        <f ca="1">C460*Inputs!$B$12</f>
        <v>62640000</v>
      </c>
    </row>
    <row r="461" spans="1:4" ht="13.5" customHeight="1" x14ac:dyDescent="0.3">
      <c r="A461" s="46">
        <v>457</v>
      </c>
      <c r="B461" s="47">
        <f t="shared" ca="1" si="7"/>
        <v>0.57583605801277626</v>
      </c>
      <c r="C461" s="48">
        <f t="array" aca="1" ref="C461" ca="1">MAX(0,ROUND(Inputs!$B$10*Inputs!$B$11+NORMSINV(B461)*SQRT(Inputs!$B$10*Inputs!$B$11),0))</f>
        <v>504</v>
      </c>
      <c r="D461" s="49">
        <f ca="1">C461*Inputs!$B$12</f>
        <v>60480000</v>
      </c>
    </row>
    <row r="462" spans="1:4" ht="13.5" customHeight="1" x14ac:dyDescent="0.3">
      <c r="A462" s="50">
        <v>458</v>
      </c>
      <c r="B462" s="51">
        <f t="shared" ca="1" si="7"/>
        <v>0.36414578646676032</v>
      </c>
      <c r="C462" s="48">
        <f t="array" aca="1" ref="C462" ca="1">MAX(0,ROUND(Inputs!$B$10*Inputs!$B$11+NORMSINV(B462)*SQRT(Inputs!$B$10*Inputs!$B$11),0))</f>
        <v>492</v>
      </c>
      <c r="D462" s="52">
        <f ca="1">C462*Inputs!$B$12</f>
        <v>59040000</v>
      </c>
    </row>
    <row r="463" spans="1:4" ht="13.5" customHeight="1" x14ac:dyDescent="0.3">
      <c r="A463" s="46">
        <v>459</v>
      </c>
      <c r="B463" s="47">
        <f t="shared" ca="1" si="7"/>
        <v>0.17095645203186616</v>
      </c>
      <c r="C463" s="48">
        <f t="array" aca="1" ref="C463" ca="1">MAX(0,ROUND(Inputs!$B$10*Inputs!$B$11+NORMSINV(B463)*SQRT(Inputs!$B$10*Inputs!$B$11),0))</f>
        <v>479</v>
      </c>
      <c r="D463" s="49">
        <f ca="1">C463*Inputs!$B$12</f>
        <v>57480000</v>
      </c>
    </row>
    <row r="464" spans="1:4" ht="13.5" customHeight="1" x14ac:dyDescent="0.3">
      <c r="A464" s="50">
        <v>460</v>
      </c>
      <c r="B464" s="51">
        <f t="shared" ca="1" si="7"/>
        <v>0.5044937848727491</v>
      </c>
      <c r="C464" s="48">
        <f t="array" aca="1" ref="C464" ca="1">MAX(0,ROUND(Inputs!$B$10*Inputs!$B$11+NORMSINV(B464)*SQRT(Inputs!$B$10*Inputs!$B$11),0))</f>
        <v>500</v>
      </c>
      <c r="D464" s="52">
        <f ca="1">C464*Inputs!$B$12</f>
        <v>60000000</v>
      </c>
    </row>
    <row r="465" spans="1:4" ht="13.5" customHeight="1" x14ac:dyDescent="0.3">
      <c r="A465" s="46">
        <v>461</v>
      </c>
      <c r="B465" s="47">
        <f t="shared" ca="1" si="7"/>
        <v>0.19913621953316407</v>
      </c>
      <c r="C465" s="48">
        <f t="array" aca="1" ref="C465" ca="1">MAX(0,ROUND(Inputs!$B$10*Inputs!$B$11+NORMSINV(B465)*SQRT(Inputs!$B$10*Inputs!$B$11),0))</f>
        <v>481</v>
      </c>
      <c r="D465" s="49">
        <f ca="1">C465*Inputs!$B$12</f>
        <v>57720000</v>
      </c>
    </row>
    <row r="466" spans="1:4" ht="13.5" customHeight="1" x14ac:dyDescent="0.3">
      <c r="A466" s="50">
        <v>462</v>
      </c>
      <c r="B466" s="51">
        <f t="shared" ca="1" si="7"/>
        <v>0.72904906921246881</v>
      </c>
      <c r="C466" s="48">
        <f t="array" aca="1" ref="C466" ca="1">MAX(0,ROUND(Inputs!$B$10*Inputs!$B$11+NORMSINV(B466)*SQRT(Inputs!$B$10*Inputs!$B$11),0))</f>
        <v>514</v>
      </c>
      <c r="D466" s="52">
        <f ca="1">C466*Inputs!$B$12</f>
        <v>61680000</v>
      </c>
    </row>
    <row r="467" spans="1:4" ht="13.5" customHeight="1" x14ac:dyDescent="0.3">
      <c r="A467" s="46">
        <v>463</v>
      </c>
      <c r="B467" s="47">
        <f t="shared" ca="1" si="7"/>
        <v>0.15840950715133306</v>
      </c>
      <c r="C467" s="48">
        <f t="array" aca="1" ref="C467" ca="1">MAX(0,ROUND(Inputs!$B$10*Inputs!$B$11+NORMSINV(B467)*SQRT(Inputs!$B$10*Inputs!$B$11),0))</f>
        <v>478</v>
      </c>
      <c r="D467" s="49">
        <f ca="1">C467*Inputs!$B$12</f>
        <v>57360000</v>
      </c>
    </row>
    <row r="468" spans="1:4" ht="13.5" customHeight="1" x14ac:dyDescent="0.3">
      <c r="A468" s="50">
        <v>464</v>
      </c>
      <c r="B468" s="51">
        <f t="shared" ca="1" si="7"/>
        <v>0.88543340332866671</v>
      </c>
      <c r="C468" s="48">
        <f t="array" aca="1" ref="C468" ca="1">MAX(0,ROUND(Inputs!$B$10*Inputs!$B$11+NORMSINV(B468)*SQRT(Inputs!$B$10*Inputs!$B$11),0))</f>
        <v>527</v>
      </c>
      <c r="D468" s="52">
        <f ca="1">C468*Inputs!$B$12</f>
        <v>63240000</v>
      </c>
    </row>
    <row r="469" spans="1:4" ht="13.5" customHeight="1" x14ac:dyDescent="0.3">
      <c r="A469" s="46">
        <v>465</v>
      </c>
      <c r="B469" s="47">
        <f t="shared" ca="1" si="7"/>
        <v>0.26247543189062683</v>
      </c>
      <c r="C469" s="48">
        <f t="array" aca="1" ref="C469" ca="1">MAX(0,ROUND(Inputs!$B$10*Inputs!$B$11+NORMSINV(B469)*SQRT(Inputs!$B$10*Inputs!$B$11),0))</f>
        <v>486</v>
      </c>
      <c r="D469" s="49">
        <f ca="1">C469*Inputs!$B$12</f>
        <v>58320000</v>
      </c>
    </row>
    <row r="470" spans="1:4" ht="13.5" customHeight="1" x14ac:dyDescent="0.3">
      <c r="A470" s="50">
        <v>466</v>
      </c>
      <c r="B470" s="51">
        <f t="shared" ca="1" si="7"/>
        <v>0.603421019453799</v>
      </c>
      <c r="C470" s="48">
        <f t="array" aca="1" ref="C470" ca="1">MAX(0,ROUND(Inputs!$B$10*Inputs!$B$11+NORMSINV(B470)*SQRT(Inputs!$B$10*Inputs!$B$11),0))</f>
        <v>506</v>
      </c>
      <c r="D470" s="52">
        <f ca="1">C470*Inputs!$B$12</f>
        <v>60720000</v>
      </c>
    </row>
    <row r="471" spans="1:4" ht="13.5" customHeight="1" x14ac:dyDescent="0.3">
      <c r="A471" s="46">
        <v>467</v>
      </c>
      <c r="B471" s="47">
        <f t="shared" ca="1" si="7"/>
        <v>0.67490153877723769</v>
      </c>
      <c r="C471" s="48">
        <f t="array" aca="1" ref="C471" ca="1">MAX(0,ROUND(Inputs!$B$10*Inputs!$B$11+NORMSINV(B471)*SQRT(Inputs!$B$10*Inputs!$B$11),0))</f>
        <v>510</v>
      </c>
      <c r="D471" s="49">
        <f ca="1">C471*Inputs!$B$12</f>
        <v>61200000</v>
      </c>
    </row>
    <row r="472" spans="1:4" ht="13.5" customHeight="1" x14ac:dyDescent="0.3">
      <c r="A472" s="50">
        <v>468</v>
      </c>
      <c r="B472" s="51">
        <f t="shared" ca="1" si="7"/>
        <v>0.9865747682374808</v>
      </c>
      <c r="C472" s="48">
        <f t="array" aca="1" ref="C472" ca="1">MAX(0,ROUND(Inputs!$B$10*Inputs!$B$11+NORMSINV(B472)*SQRT(Inputs!$B$10*Inputs!$B$11),0))</f>
        <v>549</v>
      </c>
      <c r="D472" s="52">
        <f ca="1">C472*Inputs!$B$12</f>
        <v>65880000</v>
      </c>
    </row>
    <row r="473" spans="1:4" ht="13.5" customHeight="1" x14ac:dyDescent="0.3">
      <c r="A473" s="46">
        <v>469</v>
      </c>
      <c r="B473" s="47">
        <f t="shared" ca="1" si="7"/>
        <v>7.0376666024561163E-2</v>
      </c>
      <c r="C473" s="48">
        <f t="array" aca="1" ref="C473" ca="1">MAX(0,ROUND(Inputs!$B$10*Inputs!$B$11+NORMSINV(B473)*SQRT(Inputs!$B$10*Inputs!$B$11),0))</f>
        <v>467</v>
      </c>
      <c r="D473" s="49">
        <f ca="1">C473*Inputs!$B$12</f>
        <v>56040000</v>
      </c>
    </row>
    <row r="474" spans="1:4" ht="13.5" customHeight="1" x14ac:dyDescent="0.3">
      <c r="A474" s="50">
        <v>470</v>
      </c>
      <c r="B474" s="51">
        <f t="shared" ca="1" si="7"/>
        <v>0.12821369543568628</v>
      </c>
      <c r="C474" s="48">
        <f t="array" aca="1" ref="C474" ca="1">MAX(0,ROUND(Inputs!$B$10*Inputs!$B$11+NORMSINV(B474)*SQRT(Inputs!$B$10*Inputs!$B$11),0))</f>
        <v>475</v>
      </c>
      <c r="D474" s="52">
        <f ca="1">C474*Inputs!$B$12</f>
        <v>57000000</v>
      </c>
    </row>
    <row r="475" spans="1:4" ht="13.5" customHeight="1" x14ac:dyDescent="0.3">
      <c r="A475" s="46">
        <v>471</v>
      </c>
      <c r="B475" s="47">
        <f t="shared" ca="1" si="7"/>
        <v>0.59982772937394047</v>
      </c>
      <c r="C475" s="48">
        <f t="array" aca="1" ref="C475" ca="1">MAX(0,ROUND(Inputs!$B$10*Inputs!$B$11+NORMSINV(B475)*SQRT(Inputs!$B$10*Inputs!$B$11),0))</f>
        <v>506</v>
      </c>
      <c r="D475" s="49">
        <f ca="1">C475*Inputs!$B$12</f>
        <v>60720000</v>
      </c>
    </row>
    <row r="476" spans="1:4" ht="13.5" customHeight="1" x14ac:dyDescent="0.3">
      <c r="A476" s="50">
        <v>472</v>
      </c>
      <c r="B476" s="51">
        <f t="shared" ca="1" si="7"/>
        <v>0.24293010348837329</v>
      </c>
      <c r="C476" s="48">
        <f t="array" aca="1" ref="C476" ca="1">MAX(0,ROUND(Inputs!$B$10*Inputs!$B$11+NORMSINV(B476)*SQRT(Inputs!$B$10*Inputs!$B$11),0))</f>
        <v>484</v>
      </c>
      <c r="D476" s="52">
        <f ca="1">C476*Inputs!$B$12</f>
        <v>58080000</v>
      </c>
    </row>
    <row r="477" spans="1:4" ht="13.5" customHeight="1" x14ac:dyDescent="0.3">
      <c r="A477" s="46">
        <v>473</v>
      </c>
      <c r="B477" s="47">
        <f t="shared" ca="1" si="7"/>
        <v>0.12212432734250722</v>
      </c>
      <c r="C477" s="48">
        <f t="array" aca="1" ref="C477" ca="1">MAX(0,ROUND(Inputs!$B$10*Inputs!$B$11+NORMSINV(B477)*SQRT(Inputs!$B$10*Inputs!$B$11),0))</f>
        <v>474</v>
      </c>
      <c r="D477" s="49">
        <f ca="1">C477*Inputs!$B$12</f>
        <v>56880000</v>
      </c>
    </row>
    <row r="478" spans="1:4" ht="13.5" customHeight="1" x14ac:dyDescent="0.3">
      <c r="A478" s="50">
        <v>474</v>
      </c>
      <c r="B478" s="51">
        <f t="shared" ca="1" si="7"/>
        <v>0.6038281256843675</v>
      </c>
      <c r="C478" s="48">
        <f t="array" aca="1" ref="C478" ca="1">MAX(0,ROUND(Inputs!$B$10*Inputs!$B$11+NORMSINV(B478)*SQRT(Inputs!$B$10*Inputs!$B$11),0))</f>
        <v>506</v>
      </c>
      <c r="D478" s="52">
        <f ca="1">C478*Inputs!$B$12</f>
        <v>60720000</v>
      </c>
    </row>
    <row r="479" spans="1:4" ht="13.5" customHeight="1" x14ac:dyDescent="0.3">
      <c r="A479" s="46">
        <v>475</v>
      </c>
      <c r="B479" s="47">
        <f t="shared" ca="1" si="7"/>
        <v>4.3116157604153771E-2</v>
      </c>
      <c r="C479" s="48">
        <f t="array" aca="1" ref="C479" ca="1">MAX(0,ROUND(Inputs!$B$10*Inputs!$B$11+NORMSINV(B479)*SQRT(Inputs!$B$10*Inputs!$B$11),0))</f>
        <v>462</v>
      </c>
      <c r="D479" s="49">
        <f ca="1">C479*Inputs!$B$12</f>
        <v>55440000</v>
      </c>
    </row>
    <row r="480" spans="1:4" ht="13.5" customHeight="1" x14ac:dyDescent="0.3">
      <c r="A480" s="50">
        <v>476</v>
      </c>
      <c r="B480" s="51">
        <f t="shared" ca="1" si="7"/>
        <v>8.3376690168220136E-2</v>
      </c>
      <c r="C480" s="48">
        <f t="array" aca="1" ref="C480" ca="1">MAX(0,ROUND(Inputs!$B$10*Inputs!$B$11+NORMSINV(B480)*SQRT(Inputs!$B$10*Inputs!$B$11),0))</f>
        <v>469</v>
      </c>
      <c r="D480" s="52">
        <f ca="1">C480*Inputs!$B$12</f>
        <v>56280000</v>
      </c>
    </row>
    <row r="481" spans="1:4" ht="13.5" customHeight="1" x14ac:dyDescent="0.3">
      <c r="A481" s="46">
        <v>477</v>
      </c>
      <c r="B481" s="47">
        <f t="shared" ca="1" si="7"/>
        <v>8.3908738896550594E-2</v>
      </c>
      <c r="C481" s="48">
        <f t="array" aca="1" ref="C481" ca="1">MAX(0,ROUND(Inputs!$B$10*Inputs!$B$11+NORMSINV(B481)*SQRT(Inputs!$B$10*Inputs!$B$11),0))</f>
        <v>469</v>
      </c>
      <c r="D481" s="49">
        <f ca="1">C481*Inputs!$B$12</f>
        <v>56280000</v>
      </c>
    </row>
    <row r="482" spans="1:4" ht="13.5" customHeight="1" x14ac:dyDescent="0.3">
      <c r="A482" s="50">
        <v>478</v>
      </c>
      <c r="B482" s="51">
        <f t="shared" ca="1" si="7"/>
        <v>0.65689422936745234</v>
      </c>
      <c r="C482" s="48">
        <f t="array" aca="1" ref="C482" ca="1">MAX(0,ROUND(Inputs!$B$10*Inputs!$B$11+NORMSINV(B482)*SQRT(Inputs!$B$10*Inputs!$B$11),0))</f>
        <v>509</v>
      </c>
      <c r="D482" s="52">
        <f ca="1">C482*Inputs!$B$12</f>
        <v>61080000</v>
      </c>
    </row>
    <row r="483" spans="1:4" ht="13.5" customHeight="1" x14ac:dyDescent="0.3">
      <c r="A483" s="46">
        <v>479</v>
      </c>
      <c r="B483" s="47">
        <f t="shared" ca="1" si="7"/>
        <v>0.4102096523329144</v>
      </c>
      <c r="C483" s="48">
        <f t="array" aca="1" ref="C483" ca="1">MAX(0,ROUND(Inputs!$B$10*Inputs!$B$11+NORMSINV(B483)*SQRT(Inputs!$B$10*Inputs!$B$11),0))</f>
        <v>495</v>
      </c>
      <c r="D483" s="49">
        <f ca="1">C483*Inputs!$B$12</f>
        <v>59400000</v>
      </c>
    </row>
    <row r="484" spans="1:4" ht="13.5" customHeight="1" x14ac:dyDescent="0.3">
      <c r="A484" s="50">
        <v>480</v>
      </c>
      <c r="B484" s="51">
        <f t="shared" ca="1" si="7"/>
        <v>0.58029084847581736</v>
      </c>
      <c r="C484" s="48">
        <f t="array" aca="1" ref="C484" ca="1">MAX(0,ROUND(Inputs!$B$10*Inputs!$B$11+NORMSINV(B484)*SQRT(Inputs!$B$10*Inputs!$B$11),0))</f>
        <v>505</v>
      </c>
      <c r="D484" s="52">
        <f ca="1">C484*Inputs!$B$12</f>
        <v>60600000</v>
      </c>
    </row>
    <row r="485" spans="1:4" ht="13.5" customHeight="1" x14ac:dyDescent="0.3">
      <c r="A485" s="46">
        <v>481</v>
      </c>
      <c r="B485" s="47">
        <f t="shared" ca="1" si="7"/>
        <v>0.36592339095780846</v>
      </c>
      <c r="C485" s="48">
        <f t="array" aca="1" ref="C485" ca="1">MAX(0,ROUND(Inputs!$B$10*Inputs!$B$11+NORMSINV(B485)*SQRT(Inputs!$B$10*Inputs!$B$11),0))</f>
        <v>492</v>
      </c>
      <c r="D485" s="49">
        <f ca="1">C485*Inputs!$B$12</f>
        <v>59040000</v>
      </c>
    </row>
    <row r="486" spans="1:4" ht="13.5" customHeight="1" x14ac:dyDescent="0.3">
      <c r="A486" s="50">
        <v>482</v>
      </c>
      <c r="B486" s="51">
        <f t="shared" ca="1" si="7"/>
        <v>0.60690305098654895</v>
      </c>
      <c r="C486" s="48">
        <f t="array" aca="1" ref="C486" ca="1">MAX(0,ROUND(Inputs!$B$10*Inputs!$B$11+NORMSINV(B486)*SQRT(Inputs!$B$10*Inputs!$B$11),0))</f>
        <v>506</v>
      </c>
      <c r="D486" s="52">
        <f ca="1">C486*Inputs!$B$12</f>
        <v>60720000</v>
      </c>
    </row>
    <row r="487" spans="1:4" ht="13.5" customHeight="1" x14ac:dyDescent="0.3">
      <c r="A487" s="46">
        <v>483</v>
      </c>
      <c r="B487" s="47">
        <f t="shared" ca="1" si="7"/>
        <v>0.23902178450178524</v>
      </c>
      <c r="C487" s="48">
        <f t="array" aca="1" ref="C487" ca="1">MAX(0,ROUND(Inputs!$B$10*Inputs!$B$11+NORMSINV(B487)*SQRT(Inputs!$B$10*Inputs!$B$11),0))</f>
        <v>484</v>
      </c>
      <c r="D487" s="49">
        <f ca="1">C487*Inputs!$B$12</f>
        <v>58080000</v>
      </c>
    </row>
    <row r="488" spans="1:4" ht="13.5" customHeight="1" x14ac:dyDescent="0.3">
      <c r="A488" s="50">
        <v>484</v>
      </c>
      <c r="B488" s="51">
        <f t="shared" ca="1" si="7"/>
        <v>0.6382408287634691</v>
      </c>
      <c r="C488" s="48">
        <f t="array" aca="1" ref="C488" ca="1">MAX(0,ROUND(Inputs!$B$10*Inputs!$B$11+NORMSINV(B488)*SQRT(Inputs!$B$10*Inputs!$B$11),0))</f>
        <v>508</v>
      </c>
      <c r="D488" s="52">
        <f ca="1">C488*Inputs!$B$12</f>
        <v>60960000</v>
      </c>
    </row>
    <row r="489" spans="1:4" ht="13.5" customHeight="1" x14ac:dyDescent="0.3">
      <c r="A489" s="46">
        <v>485</v>
      </c>
      <c r="B489" s="47">
        <f t="shared" ca="1" si="7"/>
        <v>0.30349991537412202</v>
      </c>
      <c r="C489" s="48">
        <f t="array" aca="1" ref="C489" ca="1">MAX(0,ROUND(Inputs!$B$10*Inputs!$B$11+NORMSINV(B489)*SQRT(Inputs!$B$10*Inputs!$B$11),0))</f>
        <v>488</v>
      </c>
      <c r="D489" s="49">
        <f ca="1">C489*Inputs!$B$12</f>
        <v>58560000</v>
      </c>
    </row>
    <row r="490" spans="1:4" ht="13.5" customHeight="1" x14ac:dyDescent="0.3">
      <c r="A490" s="50">
        <v>486</v>
      </c>
      <c r="B490" s="51">
        <f t="shared" ca="1" si="7"/>
        <v>0.26139175356245825</v>
      </c>
      <c r="C490" s="48">
        <f t="array" aca="1" ref="C490" ca="1">MAX(0,ROUND(Inputs!$B$10*Inputs!$B$11+NORMSINV(B490)*SQRT(Inputs!$B$10*Inputs!$B$11),0))</f>
        <v>486</v>
      </c>
      <c r="D490" s="52">
        <f ca="1">C490*Inputs!$B$12</f>
        <v>58320000</v>
      </c>
    </row>
    <row r="491" spans="1:4" ht="13.5" customHeight="1" x14ac:dyDescent="0.3">
      <c r="A491" s="46">
        <v>487</v>
      </c>
      <c r="B491" s="47">
        <f t="shared" ca="1" si="7"/>
        <v>0.78618496077845346</v>
      </c>
      <c r="C491" s="48">
        <f t="array" aca="1" ref="C491" ca="1">MAX(0,ROUND(Inputs!$B$10*Inputs!$B$11+NORMSINV(B491)*SQRT(Inputs!$B$10*Inputs!$B$11),0))</f>
        <v>518</v>
      </c>
      <c r="D491" s="49">
        <f ca="1">C491*Inputs!$B$12</f>
        <v>62160000</v>
      </c>
    </row>
    <row r="492" spans="1:4" ht="13.5" customHeight="1" x14ac:dyDescent="0.3">
      <c r="A492" s="50">
        <v>488</v>
      </c>
      <c r="B492" s="51">
        <f t="shared" ca="1" si="7"/>
        <v>0.2795446156565341</v>
      </c>
      <c r="C492" s="48">
        <f t="array" aca="1" ref="C492" ca="1">MAX(0,ROUND(Inputs!$B$10*Inputs!$B$11+NORMSINV(B492)*SQRT(Inputs!$B$10*Inputs!$B$11),0))</f>
        <v>487</v>
      </c>
      <c r="D492" s="52">
        <f ca="1">C492*Inputs!$B$12</f>
        <v>58440000</v>
      </c>
    </row>
    <row r="493" spans="1:4" ht="13.5" customHeight="1" x14ac:dyDescent="0.3">
      <c r="A493" s="46">
        <v>489</v>
      </c>
      <c r="B493" s="47">
        <f t="shared" ca="1" si="7"/>
        <v>0.85683813720946411</v>
      </c>
      <c r="C493" s="48">
        <f t="array" aca="1" ref="C493" ca="1">MAX(0,ROUND(Inputs!$B$10*Inputs!$B$11+NORMSINV(B493)*SQRT(Inputs!$B$10*Inputs!$B$11),0))</f>
        <v>524</v>
      </c>
      <c r="D493" s="49">
        <f ca="1">C493*Inputs!$B$12</f>
        <v>62880000</v>
      </c>
    </row>
    <row r="494" spans="1:4" ht="13.5" customHeight="1" x14ac:dyDescent="0.3">
      <c r="A494" s="50">
        <v>490</v>
      </c>
      <c r="B494" s="51">
        <f t="shared" ca="1" si="7"/>
        <v>6.1411986743229674E-2</v>
      </c>
      <c r="C494" s="48">
        <f t="array" aca="1" ref="C494" ca="1">MAX(0,ROUND(Inputs!$B$10*Inputs!$B$11+NORMSINV(B494)*SQRT(Inputs!$B$10*Inputs!$B$11),0))</f>
        <v>465</v>
      </c>
      <c r="D494" s="52">
        <f ca="1">C494*Inputs!$B$12</f>
        <v>55800000</v>
      </c>
    </row>
    <row r="495" spans="1:4" ht="13.5" customHeight="1" x14ac:dyDescent="0.3">
      <c r="A495" s="46">
        <v>491</v>
      </c>
      <c r="B495" s="47">
        <f t="shared" ca="1" si="7"/>
        <v>0.96106126069941655</v>
      </c>
      <c r="C495" s="48">
        <f t="array" aca="1" ref="C495" ca="1">MAX(0,ROUND(Inputs!$B$10*Inputs!$B$11+NORMSINV(B495)*SQRT(Inputs!$B$10*Inputs!$B$11),0))</f>
        <v>539</v>
      </c>
      <c r="D495" s="49">
        <f ca="1">C495*Inputs!$B$12</f>
        <v>64680000</v>
      </c>
    </row>
    <row r="496" spans="1:4" ht="13.5" customHeight="1" x14ac:dyDescent="0.3">
      <c r="A496" s="50">
        <v>492</v>
      </c>
      <c r="B496" s="51">
        <f t="shared" ca="1" si="7"/>
        <v>0.23873460490933229</v>
      </c>
      <c r="C496" s="48">
        <f t="array" aca="1" ref="C496" ca="1">MAX(0,ROUND(Inputs!$B$10*Inputs!$B$11+NORMSINV(B496)*SQRT(Inputs!$B$10*Inputs!$B$11),0))</f>
        <v>484</v>
      </c>
      <c r="D496" s="52">
        <f ca="1">C496*Inputs!$B$12</f>
        <v>58080000</v>
      </c>
    </row>
    <row r="497" spans="1:4" ht="13.5" customHeight="1" x14ac:dyDescent="0.3">
      <c r="A497" s="46">
        <v>493</v>
      </c>
      <c r="B497" s="47">
        <f t="shared" ca="1" si="7"/>
        <v>0.15135053474861238</v>
      </c>
      <c r="C497" s="48">
        <f t="array" aca="1" ref="C497" ca="1">MAX(0,ROUND(Inputs!$B$10*Inputs!$B$11+NORMSINV(B497)*SQRT(Inputs!$B$10*Inputs!$B$11),0))</f>
        <v>477</v>
      </c>
      <c r="D497" s="49">
        <f ca="1">C497*Inputs!$B$12</f>
        <v>57240000</v>
      </c>
    </row>
    <row r="498" spans="1:4" ht="13.5" customHeight="1" x14ac:dyDescent="0.3">
      <c r="A498" s="50">
        <v>494</v>
      </c>
      <c r="B498" s="51">
        <f t="shared" ca="1" si="7"/>
        <v>0.18048009916211238</v>
      </c>
      <c r="C498" s="48">
        <f t="array" aca="1" ref="C498" ca="1">MAX(0,ROUND(Inputs!$B$10*Inputs!$B$11+NORMSINV(B498)*SQRT(Inputs!$B$10*Inputs!$B$11),0))</f>
        <v>480</v>
      </c>
      <c r="D498" s="52">
        <f ca="1">C498*Inputs!$B$12</f>
        <v>57600000</v>
      </c>
    </row>
    <row r="499" spans="1:4" ht="13.5" customHeight="1" x14ac:dyDescent="0.3">
      <c r="A499" s="46">
        <v>495</v>
      </c>
      <c r="B499" s="47">
        <f t="shared" ca="1" si="7"/>
        <v>0.28945128610166748</v>
      </c>
      <c r="C499" s="48">
        <f t="array" aca="1" ref="C499" ca="1">MAX(0,ROUND(Inputs!$B$10*Inputs!$B$11+NORMSINV(B499)*SQRT(Inputs!$B$10*Inputs!$B$11),0))</f>
        <v>488</v>
      </c>
      <c r="D499" s="49">
        <f ca="1">C499*Inputs!$B$12</f>
        <v>58560000</v>
      </c>
    </row>
    <row r="500" spans="1:4" ht="13.5" customHeight="1" x14ac:dyDescent="0.3">
      <c r="A500" s="50">
        <v>496</v>
      </c>
      <c r="B500" s="51">
        <f t="shared" ca="1" si="7"/>
        <v>0.46956383843529259</v>
      </c>
      <c r="C500" s="48">
        <f t="array" aca="1" ref="C500" ca="1">MAX(0,ROUND(Inputs!$B$10*Inputs!$B$11+NORMSINV(B500)*SQRT(Inputs!$B$10*Inputs!$B$11),0))</f>
        <v>498</v>
      </c>
      <c r="D500" s="52">
        <f ca="1">C500*Inputs!$B$12</f>
        <v>59760000</v>
      </c>
    </row>
    <row r="501" spans="1:4" ht="13.5" customHeight="1" x14ac:dyDescent="0.3">
      <c r="A501" s="46">
        <v>497</v>
      </c>
      <c r="B501" s="47">
        <f t="shared" ca="1" si="7"/>
        <v>0.39651998286848666</v>
      </c>
      <c r="C501" s="48">
        <f t="array" aca="1" ref="C501" ca="1">MAX(0,ROUND(Inputs!$B$10*Inputs!$B$11+NORMSINV(B501)*SQRT(Inputs!$B$10*Inputs!$B$11),0))</f>
        <v>494</v>
      </c>
      <c r="D501" s="49">
        <f ca="1">C501*Inputs!$B$12</f>
        <v>59280000</v>
      </c>
    </row>
    <row r="502" spans="1:4" ht="13.5" customHeight="1" x14ac:dyDescent="0.3">
      <c r="A502" s="50">
        <v>498</v>
      </c>
      <c r="B502" s="51">
        <f t="shared" ca="1" si="7"/>
        <v>0.20777974585919712</v>
      </c>
      <c r="C502" s="48">
        <f t="array" aca="1" ref="C502" ca="1">MAX(0,ROUND(Inputs!$B$10*Inputs!$B$11+NORMSINV(B502)*SQRT(Inputs!$B$10*Inputs!$B$11),0))</f>
        <v>482</v>
      </c>
      <c r="D502" s="52">
        <f ca="1">C502*Inputs!$B$12</f>
        <v>57840000</v>
      </c>
    </row>
    <row r="503" spans="1:4" ht="13.5" customHeight="1" x14ac:dyDescent="0.3">
      <c r="A503" s="46">
        <v>499</v>
      </c>
      <c r="B503" s="47">
        <f t="shared" ca="1" si="7"/>
        <v>0.89591557376033604</v>
      </c>
      <c r="C503" s="48">
        <f t="array" aca="1" ref="C503" ca="1">MAX(0,ROUND(Inputs!$B$10*Inputs!$B$11+NORMSINV(B503)*SQRT(Inputs!$B$10*Inputs!$B$11),0))</f>
        <v>528</v>
      </c>
      <c r="D503" s="49">
        <f ca="1">C503*Inputs!$B$12</f>
        <v>63360000</v>
      </c>
    </row>
    <row r="504" spans="1:4" ht="13.5" customHeight="1" x14ac:dyDescent="0.3">
      <c r="A504" s="50">
        <v>500</v>
      </c>
      <c r="B504" s="51">
        <f t="shared" ca="1" si="7"/>
        <v>0.19544203031906582</v>
      </c>
      <c r="C504" s="48">
        <f t="array" aca="1" ref="C504" ca="1">MAX(0,ROUND(Inputs!$B$10*Inputs!$B$11+NORMSINV(B504)*SQRT(Inputs!$B$10*Inputs!$B$11),0))</f>
        <v>481</v>
      </c>
      <c r="D504" s="52">
        <f ca="1">C504*Inputs!$B$12</f>
        <v>57720000</v>
      </c>
    </row>
    <row r="505" spans="1:4" ht="13.5" customHeight="1" x14ac:dyDescent="0.3">
      <c r="A505" s="46">
        <v>501</v>
      </c>
      <c r="B505" s="47">
        <f t="shared" ca="1" si="7"/>
        <v>0.25074819915053237</v>
      </c>
      <c r="C505" s="48">
        <f t="array" aca="1" ref="C505" ca="1">MAX(0,ROUND(Inputs!$B$10*Inputs!$B$11+NORMSINV(B505)*SQRT(Inputs!$B$10*Inputs!$B$11),0))</f>
        <v>485</v>
      </c>
      <c r="D505" s="49">
        <f ca="1">C505*Inputs!$B$12</f>
        <v>58200000</v>
      </c>
    </row>
    <row r="506" spans="1:4" ht="13.5" customHeight="1" x14ac:dyDescent="0.3">
      <c r="A506" s="50">
        <v>502</v>
      </c>
      <c r="B506" s="51">
        <f t="shared" ca="1" si="7"/>
        <v>0.35913767135055297</v>
      </c>
      <c r="C506" s="48">
        <f t="array" aca="1" ref="C506" ca="1">MAX(0,ROUND(Inputs!$B$10*Inputs!$B$11+NORMSINV(B506)*SQRT(Inputs!$B$10*Inputs!$B$11),0))</f>
        <v>492</v>
      </c>
      <c r="D506" s="52">
        <f ca="1">C506*Inputs!$B$12</f>
        <v>59040000</v>
      </c>
    </row>
    <row r="507" spans="1:4" ht="13.5" customHeight="1" x14ac:dyDescent="0.3">
      <c r="A507" s="46">
        <v>503</v>
      </c>
      <c r="B507" s="47">
        <f t="shared" ca="1" si="7"/>
        <v>0.71436253357339874</v>
      </c>
      <c r="C507" s="48">
        <f t="array" aca="1" ref="C507" ca="1">MAX(0,ROUND(Inputs!$B$10*Inputs!$B$11+NORMSINV(B507)*SQRT(Inputs!$B$10*Inputs!$B$11),0))</f>
        <v>513</v>
      </c>
      <c r="D507" s="49">
        <f ca="1">C507*Inputs!$B$12</f>
        <v>61560000</v>
      </c>
    </row>
    <row r="508" spans="1:4" ht="13.5" customHeight="1" x14ac:dyDescent="0.3">
      <c r="A508" s="50">
        <v>504</v>
      </c>
      <c r="B508" s="51">
        <f t="shared" ca="1" si="7"/>
        <v>5.7286421574617052E-2</v>
      </c>
      <c r="C508" s="48">
        <f t="array" aca="1" ref="C508" ca="1">MAX(0,ROUND(Inputs!$B$10*Inputs!$B$11+NORMSINV(B508)*SQRT(Inputs!$B$10*Inputs!$B$11),0))</f>
        <v>465</v>
      </c>
      <c r="D508" s="52">
        <f ca="1">C508*Inputs!$B$12</f>
        <v>55800000</v>
      </c>
    </row>
    <row r="509" spans="1:4" ht="13.5" customHeight="1" x14ac:dyDescent="0.3">
      <c r="A509" s="46">
        <v>505</v>
      </c>
      <c r="B509" s="47">
        <f t="shared" ca="1" si="7"/>
        <v>0.37100540852136688</v>
      </c>
      <c r="C509" s="48">
        <f t="array" aca="1" ref="C509" ca="1">MAX(0,ROUND(Inputs!$B$10*Inputs!$B$11+NORMSINV(B509)*SQRT(Inputs!$B$10*Inputs!$B$11),0))</f>
        <v>493</v>
      </c>
      <c r="D509" s="49">
        <f ca="1">C509*Inputs!$B$12</f>
        <v>59160000</v>
      </c>
    </row>
    <row r="510" spans="1:4" ht="13.5" customHeight="1" x14ac:dyDescent="0.3">
      <c r="A510" s="50">
        <v>506</v>
      </c>
      <c r="B510" s="51">
        <f t="shared" ca="1" si="7"/>
        <v>0.68746753842792807</v>
      </c>
      <c r="C510" s="48">
        <f t="array" aca="1" ref="C510" ca="1">MAX(0,ROUND(Inputs!$B$10*Inputs!$B$11+NORMSINV(B510)*SQRT(Inputs!$B$10*Inputs!$B$11),0))</f>
        <v>511</v>
      </c>
      <c r="D510" s="52">
        <f ca="1">C510*Inputs!$B$12</f>
        <v>61320000</v>
      </c>
    </row>
    <row r="511" spans="1:4" ht="13.5" customHeight="1" x14ac:dyDescent="0.3">
      <c r="A511" s="46">
        <v>507</v>
      </c>
      <c r="B511" s="47">
        <f t="shared" ca="1" si="7"/>
        <v>0.99710622002216953</v>
      </c>
      <c r="C511" s="48">
        <f t="array" aca="1" ref="C511" ca="1">MAX(0,ROUND(Inputs!$B$10*Inputs!$B$11+NORMSINV(B511)*SQRT(Inputs!$B$10*Inputs!$B$11),0))</f>
        <v>562</v>
      </c>
      <c r="D511" s="49">
        <f ca="1">C511*Inputs!$B$12</f>
        <v>67440000</v>
      </c>
    </row>
    <row r="512" spans="1:4" ht="13.5" customHeight="1" x14ac:dyDescent="0.3">
      <c r="A512" s="50">
        <v>508</v>
      </c>
      <c r="B512" s="51">
        <f t="shared" ca="1" si="7"/>
        <v>0.89571918979202647</v>
      </c>
      <c r="C512" s="48">
        <f t="array" aca="1" ref="C512" ca="1">MAX(0,ROUND(Inputs!$B$10*Inputs!$B$11+NORMSINV(B512)*SQRT(Inputs!$B$10*Inputs!$B$11),0))</f>
        <v>528</v>
      </c>
      <c r="D512" s="52">
        <f ca="1">C512*Inputs!$B$12</f>
        <v>63360000</v>
      </c>
    </row>
    <row r="513" spans="1:4" ht="13.5" customHeight="1" x14ac:dyDescent="0.3">
      <c r="A513" s="46">
        <v>509</v>
      </c>
      <c r="B513" s="47">
        <f t="shared" ca="1" si="7"/>
        <v>0.57720143078057762</v>
      </c>
      <c r="C513" s="48">
        <f t="array" aca="1" ref="C513" ca="1">MAX(0,ROUND(Inputs!$B$10*Inputs!$B$11+NORMSINV(B513)*SQRT(Inputs!$B$10*Inputs!$B$11),0))</f>
        <v>504</v>
      </c>
      <c r="D513" s="49">
        <f ca="1">C513*Inputs!$B$12</f>
        <v>60480000</v>
      </c>
    </row>
    <row r="514" spans="1:4" ht="13.5" customHeight="1" x14ac:dyDescent="0.3">
      <c r="A514" s="50">
        <v>510</v>
      </c>
      <c r="B514" s="51">
        <f t="shared" ca="1" si="7"/>
        <v>0.27286173749939791</v>
      </c>
      <c r="C514" s="48">
        <f t="array" aca="1" ref="C514" ca="1">MAX(0,ROUND(Inputs!$B$10*Inputs!$B$11+NORMSINV(B514)*SQRT(Inputs!$B$10*Inputs!$B$11),0))</f>
        <v>486</v>
      </c>
      <c r="D514" s="52">
        <f ca="1">C514*Inputs!$B$12</f>
        <v>58320000</v>
      </c>
    </row>
    <row r="515" spans="1:4" ht="13.5" customHeight="1" x14ac:dyDescent="0.3">
      <c r="A515" s="46">
        <v>511</v>
      </c>
      <c r="B515" s="47">
        <f t="shared" ca="1" si="7"/>
        <v>0.34078654059823577</v>
      </c>
      <c r="C515" s="48">
        <f t="array" aca="1" ref="C515" ca="1">MAX(0,ROUND(Inputs!$B$10*Inputs!$B$11+NORMSINV(B515)*SQRT(Inputs!$B$10*Inputs!$B$11),0))</f>
        <v>491</v>
      </c>
      <c r="D515" s="49">
        <f ca="1">C515*Inputs!$B$12</f>
        <v>58920000</v>
      </c>
    </row>
    <row r="516" spans="1:4" ht="13.5" customHeight="1" x14ac:dyDescent="0.3">
      <c r="A516" s="50">
        <v>512</v>
      </c>
      <c r="B516" s="51">
        <f t="shared" ca="1" si="7"/>
        <v>1.2026442335288823E-2</v>
      </c>
      <c r="C516" s="48">
        <f t="array" aca="1" ref="C516" ca="1">MAX(0,ROUND(Inputs!$B$10*Inputs!$B$11+NORMSINV(B516)*SQRT(Inputs!$B$10*Inputs!$B$11),0))</f>
        <v>450</v>
      </c>
      <c r="D516" s="52">
        <f ca="1">C516*Inputs!$B$12</f>
        <v>54000000</v>
      </c>
    </row>
    <row r="517" spans="1:4" ht="13.5" customHeight="1" x14ac:dyDescent="0.3">
      <c r="A517" s="46">
        <v>513</v>
      </c>
      <c r="B517" s="47">
        <f t="shared" ref="B517:B580" ca="1" si="8">RAND()</f>
        <v>0.33882960382300531</v>
      </c>
      <c r="C517" s="48">
        <f t="array" aca="1" ref="C517" ca="1">MAX(0,ROUND(Inputs!$B$10*Inputs!$B$11+NORMSINV(B517)*SQRT(Inputs!$B$10*Inputs!$B$11),0))</f>
        <v>491</v>
      </c>
      <c r="D517" s="49">
        <f ca="1">C517*Inputs!$B$12</f>
        <v>58920000</v>
      </c>
    </row>
    <row r="518" spans="1:4" ht="13.5" customHeight="1" x14ac:dyDescent="0.3">
      <c r="A518" s="50">
        <v>514</v>
      </c>
      <c r="B518" s="51">
        <f t="shared" ca="1" si="8"/>
        <v>1.131808274828372E-2</v>
      </c>
      <c r="C518" s="48">
        <f t="array" aca="1" ref="C518" ca="1">MAX(0,ROUND(Inputs!$B$10*Inputs!$B$11+NORMSINV(B518)*SQRT(Inputs!$B$10*Inputs!$B$11),0))</f>
        <v>449</v>
      </c>
      <c r="D518" s="52">
        <f ca="1">C518*Inputs!$B$12</f>
        <v>53880000</v>
      </c>
    </row>
    <row r="519" spans="1:4" ht="13.5" customHeight="1" x14ac:dyDescent="0.3">
      <c r="A519" s="46">
        <v>515</v>
      </c>
      <c r="B519" s="47">
        <f t="shared" ca="1" si="8"/>
        <v>0.47359804244029824</v>
      </c>
      <c r="C519" s="48">
        <f t="array" aca="1" ref="C519" ca="1">MAX(0,ROUND(Inputs!$B$10*Inputs!$B$11+NORMSINV(B519)*SQRT(Inputs!$B$10*Inputs!$B$11),0))</f>
        <v>499</v>
      </c>
      <c r="D519" s="49">
        <f ca="1">C519*Inputs!$B$12</f>
        <v>59880000</v>
      </c>
    </row>
    <row r="520" spans="1:4" ht="13.5" customHeight="1" x14ac:dyDescent="0.3">
      <c r="A520" s="50">
        <v>516</v>
      </c>
      <c r="B520" s="51">
        <f t="shared" ca="1" si="8"/>
        <v>0.59426603593796812</v>
      </c>
      <c r="C520" s="48">
        <f t="array" aca="1" ref="C520" ca="1">MAX(0,ROUND(Inputs!$B$10*Inputs!$B$11+NORMSINV(B520)*SQRT(Inputs!$B$10*Inputs!$B$11),0))</f>
        <v>505</v>
      </c>
      <c r="D520" s="52">
        <f ca="1">C520*Inputs!$B$12</f>
        <v>60600000</v>
      </c>
    </row>
    <row r="521" spans="1:4" ht="13.5" customHeight="1" x14ac:dyDescent="0.3">
      <c r="A521" s="46">
        <v>517</v>
      </c>
      <c r="B521" s="47">
        <f t="shared" ca="1" si="8"/>
        <v>0.66256118760669158</v>
      </c>
      <c r="C521" s="48">
        <f t="array" aca="1" ref="C521" ca="1">MAX(0,ROUND(Inputs!$B$10*Inputs!$B$11+NORMSINV(B521)*SQRT(Inputs!$B$10*Inputs!$B$11),0))</f>
        <v>509</v>
      </c>
      <c r="D521" s="49">
        <f ca="1">C521*Inputs!$B$12</f>
        <v>61080000</v>
      </c>
    </row>
    <row r="522" spans="1:4" ht="13.5" customHeight="1" x14ac:dyDescent="0.3">
      <c r="A522" s="50">
        <v>518</v>
      </c>
      <c r="B522" s="51">
        <f t="shared" ca="1" si="8"/>
        <v>0.43709300368382376</v>
      </c>
      <c r="C522" s="48">
        <f t="array" aca="1" ref="C522" ca="1">MAX(0,ROUND(Inputs!$B$10*Inputs!$B$11+NORMSINV(B522)*SQRT(Inputs!$B$10*Inputs!$B$11),0))</f>
        <v>496</v>
      </c>
      <c r="D522" s="52">
        <f ca="1">C522*Inputs!$B$12</f>
        <v>59520000</v>
      </c>
    </row>
    <row r="523" spans="1:4" ht="13.5" customHeight="1" x14ac:dyDescent="0.3">
      <c r="A523" s="46">
        <v>519</v>
      </c>
      <c r="B523" s="47">
        <f t="shared" ca="1" si="8"/>
        <v>0.61110806063464074</v>
      </c>
      <c r="C523" s="48">
        <f t="array" aca="1" ref="C523" ca="1">MAX(0,ROUND(Inputs!$B$10*Inputs!$B$11+NORMSINV(B523)*SQRT(Inputs!$B$10*Inputs!$B$11),0))</f>
        <v>506</v>
      </c>
      <c r="D523" s="49">
        <f ca="1">C523*Inputs!$B$12</f>
        <v>60720000</v>
      </c>
    </row>
    <row r="524" spans="1:4" ht="13.5" customHeight="1" x14ac:dyDescent="0.3">
      <c r="A524" s="50">
        <v>520</v>
      </c>
      <c r="B524" s="51">
        <f t="shared" ca="1" si="8"/>
        <v>0.74108888789558858</v>
      </c>
      <c r="C524" s="48">
        <f t="array" aca="1" ref="C524" ca="1">MAX(0,ROUND(Inputs!$B$10*Inputs!$B$11+NORMSINV(B524)*SQRT(Inputs!$B$10*Inputs!$B$11),0))</f>
        <v>514</v>
      </c>
      <c r="D524" s="52">
        <f ca="1">C524*Inputs!$B$12</f>
        <v>61680000</v>
      </c>
    </row>
    <row r="525" spans="1:4" ht="13.5" customHeight="1" x14ac:dyDescent="0.3">
      <c r="A525" s="46">
        <v>521</v>
      </c>
      <c r="B525" s="47">
        <f t="shared" ca="1" si="8"/>
        <v>0.30449895782564296</v>
      </c>
      <c r="C525" s="48">
        <f t="array" aca="1" ref="C525" ca="1">MAX(0,ROUND(Inputs!$B$10*Inputs!$B$11+NORMSINV(B525)*SQRT(Inputs!$B$10*Inputs!$B$11),0))</f>
        <v>489</v>
      </c>
      <c r="D525" s="49">
        <f ca="1">C525*Inputs!$B$12</f>
        <v>58680000</v>
      </c>
    </row>
    <row r="526" spans="1:4" ht="13.5" customHeight="1" x14ac:dyDescent="0.3">
      <c r="A526" s="50">
        <v>522</v>
      </c>
      <c r="B526" s="51">
        <f t="shared" ca="1" si="8"/>
        <v>5.3644865522200047E-2</v>
      </c>
      <c r="C526" s="48">
        <f t="array" aca="1" ref="C526" ca="1">MAX(0,ROUND(Inputs!$B$10*Inputs!$B$11+NORMSINV(B526)*SQRT(Inputs!$B$10*Inputs!$B$11),0))</f>
        <v>464</v>
      </c>
      <c r="D526" s="52">
        <f ca="1">C526*Inputs!$B$12</f>
        <v>55680000</v>
      </c>
    </row>
    <row r="527" spans="1:4" ht="13.5" customHeight="1" x14ac:dyDescent="0.3">
      <c r="A527" s="46">
        <v>523</v>
      </c>
      <c r="B527" s="47">
        <f t="shared" ca="1" si="8"/>
        <v>0.9231854682141063</v>
      </c>
      <c r="C527" s="48">
        <f t="array" aca="1" ref="C527" ca="1">MAX(0,ROUND(Inputs!$B$10*Inputs!$B$11+NORMSINV(B527)*SQRT(Inputs!$B$10*Inputs!$B$11),0))</f>
        <v>532</v>
      </c>
      <c r="D527" s="49">
        <f ca="1">C527*Inputs!$B$12</f>
        <v>63840000</v>
      </c>
    </row>
    <row r="528" spans="1:4" ht="13.5" customHeight="1" x14ac:dyDescent="0.3">
      <c r="A528" s="50">
        <v>524</v>
      </c>
      <c r="B528" s="51">
        <f t="shared" ca="1" si="8"/>
        <v>0.53963750682457956</v>
      </c>
      <c r="C528" s="48">
        <f t="array" aca="1" ref="C528" ca="1">MAX(0,ROUND(Inputs!$B$10*Inputs!$B$11+NORMSINV(B528)*SQRT(Inputs!$B$10*Inputs!$B$11),0))</f>
        <v>502</v>
      </c>
      <c r="D528" s="52">
        <f ca="1">C528*Inputs!$B$12</f>
        <v>60240000</v>
      </c>
    </row>
    <row r="529" spans="1:4" ht="13.5" customHeight="1" x14ac:dyDescent="0.3">
      <c r="A529" s="46">
        <v>525</v>
      </c>
      <c r="B529" s="47">
        <f t="shared" ca="1" si="8"/>
        <v>0.69557541362432451</v>
      </c>
      <c r="C529" s="48">
        <f t="array" aca="1" ref="C529" ca="1">MAX(0,ROUND(Inputs!$B$10*Inputs!$B$11+NORMSINV(B529)*SQRT(Inputs!$B$10*Inputs!$B$11),0))</f>
        <v>511</v>
      </c>
      <c r="D529" s="49">
        <f ca="1">C529*Inputs!$B$12</f>
        <v>61320000</v>
      </c>
    </row>
    <row r="530" spans="1:4" ht="13.5" customHeight="1" x14ac:dyDescent="0.3">
      <c r="A530" s="50">
        <v>526</v>
      </c>
      <c r="B530" s="51">
        <f t="shared" ca="1" si="8"/>
        <v>0.90945998850991494</v>
      </c>
      <c r="C530" s="48">
        <f t="array" aca="1" ref="C530" ca="1">MAX(0,ROUND(Inputs!$B$10*Inputs!$B$11+NORMSINV(B530)*SQRT(Inputs!$B$10*Inputs!$B$11),0))</f>
        <v>530</v>
      </c>
      <c r="D530" s="52">
        <f ca="1">C530*Inputs!$B$12</f>
        <v>63600000</v>
      </c>
    </row>
    <row r="531" spans="1:4" ht="13.5" customHeight="1" x14ac:dyDescent="0.3">
      <c r="A531" s="46">
        <v>527</v>
      </c>
      <c r="B531" s="47">
        <f t="shared" ca="1" si="8"/>
        <v>0.66267911274438529</v>
      </c>
      <c r="C531" s="48">
        <f t="array" aca="1" ref="C531" ca="1">MAX(0,ROUND(Inputs!$B$10*Inputs!$B$11+NORMSINV(B531)*SQRT(Inputs!$B$10*Inputs!$B$11),0))</f>
        <v>509</v>
      </c>
      <c r="D531" s="49">
        <f ca="1">C531*Inputs!$B$12</f>
        <v>61080000</v>
      </c>
    </row>
    <row r="532" spans="1:4" ht="13.5" customHeight="1" x14ac:dyDescent="0.3">
      <c r="A532" s="50">
        <v>528</v>
      </c>
      <c r="B532" s="51">
        <f t="shared" ca="1" si="8"/>
        <v>0.65150026749886092</v>
      </c>
      <c r="C532" s="48">
        <f t="array" aca="1" ref="C532" ca="1">MAX(0,ROUND(Inputs!$B$10*Inputs!$B$11+NORMSINV(B532)*SQRT(Inputs!$B$10*Inputs!$B$11),0))</f>
        <v>509</v>
      </c>
      <c r="D532" s="52">
        <f ca="1">C532*Inputs!$B$12</f>
        <v>61080000</v>
      </c>
    </row>
    <row r="533" spans="1:4" ht="13.5" customHeight="1" x14ac:dyDescent="0.3">
      <c r="A533" s="46">
        <v>529</v>
      </c>
      <c r="B533" s="47">
        <f t="shared" ca="1" si="8"/>
        <v>0.57075432058973441</v>
      </c>
      <c r="C533" s="48">
        <f t="array" aca="1" ref="C533" ca="1">MAX(0,ROUND(Inputs!$B$10*Inputs!$B$11+NORMSINV(B533)*SQRT(Inputs!$B$10*Inputs!$B$11),0))</f>
        <v>504</v>
      </c>
      <c r="D533" s="49">
        <f ca="1">C533*Inputs!$B$12</f>
        <v>60480000</v>
      </c>
    </row>
    <row r="534" spans="1:4" ht="13.5" customHeight="1" x14ac:dyDescent="0.3">
      <c r="A534" s="50">
        <v>530</v>
      </c>
      <c r="B534" s="51">
        <f t="shared" ca="1" si="8"/>
        <v>0.15293177067754449</v>
      </c>
      <c r="C534" s="48">
        <f t="array" aca="1" ref="C534" ca="1">MAX(0,ROUND(Inputs!$B$10*Inputs!$B$11+NORMSINV(B534)*SQRT(Inputs!$B$10*Inputs!$B$11),0))</f>
        <v>477</v>
      </c>
      <c r="D534" s="52">
        <f ca="1">C534*Inputs!$B$12</f>
        <v>57240000</v>
      </c>
    </row>
    <row r="535" spans="1:4" ht="13.5" customHeight="1" x14ac:dyDescent="0.3">
      <c r="A535" s="46">
        <v>531</v>
      </c>
      <c r="B535" s="47">
        <f t="shared" ca="1" si="8"/>
        <v>0.58942388532058398</v>
      </c>
      <c r="C535" s="48">
        <f t="array" aca="1" ref="C535" ca="1">MAX(0,ROUND(Inputs!$B$10*Inputs!$B$11+NORMSINV(B535)*SQRT(Inputs!$B$10*Inputs!$B$11),0))</f>
        <v>505</v>
      </c>
      <c r="D535" s="49">
        <f ca="1">C535*Inputs!$B$12</f>
        <v>60600000</v>
      </c>
    </row>
    <row r="536" spans="1:4" ht="13.5" customHeight="1" x14ac:dyDescent="0.3">
      <c r="A536" s="50">
        <v>532</v>
      </c>
      <c r="B536" s="51">
        <f t="shared" ca="1" si="8"/>
        <v>1.506344757281608E-2</v>
      </c>
      <c r="C536" s="48">
        <f t="array" aca="1" ref="C536" ca="1">MAX(0,ROUND(Inputs!$B$10*Inputs!$B$11+NORMSINV(B536)*SQRT(Inputs!$B$10*Inputs!$B$11),0))</f>
        <v>452</v>
      </c>
      <c r="D536" s="52">
        <f ca="1">C536*Inputs!$B$12</f>
        <v>54240000</v>
      </c>
    </row>
    <row r="537" spans="1:4" ht="13.5" customHeight="1" x14ac:dyDescent="0.3">
      <c r="A537" s="46">
        <v>533</v>
      </c>
      <c r="B537" s="47">
        <f t="shared" ca="1" si="8"/>
        <v>0.56225000874375819</v>
      </c>
      <c r="C537" s="48">
        <f t="array" aca="1" ref="C537" ca="1">MAX(0,ROUND(Inputs!$B$10*Inputs!$B$11+NORMSINV(B537)*SQRT(Inputs!$B$10*Inputs!$B$11),0))</f>
        <v>504</v>
      </c>
      <c r="D537" s="49">
        <f ca="1">C537*Inputs!$B$12</f>
        <v>60480000</v>
      </c>
    </row>
    <row r="538" spans="1:4" ht="13.5" customHeight="1" x14ac:dyDescent="0.3">
      <c r="A538" s="50">
        <v>534</v>
      </c>
      <c r="B538" s="51">
        <f t="shared" ca="1" si="8"/>
        <v>0.71890816870161456</v>
      </c>
      <c r="C538" s="48">
        <f t="array" aca="1" ref="C538" ca="1">MAX(0,ROUND(Inputs!$B$10*Inputs!$B$11+NORMSINV(B538)*SQRT(Inputs!$B$10*Inputs!$B$11),0))</f>
        <v>513</v>
      </c>
      <c r="D538" s="52">
        <f ca="1">C538*Inputs!$B$12</f>
        <v>61560000</v>
      </c>
    </row>
    <row r="539" spans="1:4" ht="13.5" customHeight="1" x14ac:dyDescent="0.3">
      <c r="A539" s="46">
        <v>535</v>
      </c>
      <c r="B539" s="47">
        <f t="shared" ca="1" si="8"/>
        <v>1.9286813290330884E-2</v>
      </c>
      <c r="C539" s="48">
        <f t="array" aca="1" ref="C539" ca="1">MAX(0,ROUND(Inputs!$B$10*Inputs!$B$11+NORMSINV(B539)*SQRT(Inputs!$B$10*Inputs!$B$11),0))</f>
        <v>454</v>
      </c>
      <c r="D539" s="49">
        <f ca="1">C539*Inputs!$B$12</f>
        <v>54480000</v>
      </c>
    </row>
    <row r="540" spans="1:4" ht="13.5" customHeight="1" x14ac:dyDescent="0.3">
      <c r="A540" s="50">
        <v>536</v>
      </c>
      <c r="B540" s="51">
        <f t="shared" ca="1" si="8"/>
        <v>0.75973264915310312</v>
      </c>
      <c r="C540" s="48">
        <f t="array" aca="1" ref="C540" ca="1">MAX(0,ROUND(Inputs!$B$10*Inputs!$B$11+NORMSINV(B540)*SQRT(Inputs!$B$10*Inputs!$B$11),0))</f>
        <v>516</v>
      </c>
      <c r="D540" s="52">
        <f ca="1">C540*Inputs!$B$12</f>
        <v>61920000</v>
      </c>
    </row>
    <row r="541" spans="1:4" ht="13.5" customHeight="1" x14ac:dyDescent="0.3">
      <c r="A541" s="46">
        <v>537</v>
      </c>
      <c r="B541" s="47">
        <f t="shared" ca="1" si="8"/>
        <v>0.63024174859296889</v>
      </c>
      <c r="C541" s="48">
        <f t="array" aca="1" ref="C541" ca="1">MAX(0,ROUND(Inputs!$B$10*Inputs!$B$11+NORMSINV(B541)*SQRT(Inputs!$B$10*Inputs!$B$11),0))</f>
        <v>507</v>
      </c>
      <c r="D541" s="49">
        <f ca="1">C541*Inputs!$B$12</f>
        <v>60840000</v>
      </c>
    </row>
    <row r="542" spans="1:4" ht="13.5" customHeight="1" x14ac:dyDescent="0.3">
      <c r="A542" s="50">
        <v>538</v>
      </c>
      <c r="B542" s="51">
        <f t="shared" ca="1" si="8"/>
        <v>0.79195900466838898</v>
      </c>
      <c r="C542" s="48">
        <f t="array" aca="1" ref="C542" ca="1">MAX(0,ROUND(Inputs!$B$10*Inputs!$B$11+NORMSINV(B542)*SQRT(Inputs!$B$10*Inputs!$B$11),0))</f>
        <v>518</v>
      </c>
      <c r="D542" s="52">
        <f ca="1">C542*Inputs!$B$12</f>
        <v>62160000</v>
      </c>
    </row>
    <row r="543" spans="1:4" ht="13.5" customHeight="1" x14ac:dyDescent="0.3">
      <c r="A543" s="46">
        <v>539</v>
      </c>
      <c r="B543" s="47">
        <f t="shared" ca="1" si="8"/>
        <v>0.86122131929853329</v>
      </c>
      <c r="C543" s="48">
        <f t="array" aca="1" ref="C543" ca="1">MAX(0,ROUND(Inputs!$B$10*Inputs!$B$11+NORMSINV(B543)*SQRT(Inputs!$B$10*Inputs!$B$11),0))</f>
        <v>524</v>
      </c>
      <c r="D543" s="49">
        <f ca="1">C543*Inputs!$B$12</f>
        <v>62880000</v>
      </c>
    </row>
    <row r="544" spans="1:4" ht="13.5" customHeight="1" x14ac:dyDescent="0.3">
      <c r="A544" s="50">
        <v>540</v>
      </c>
      <c r="B544" s="51">
        <f t="shared" ca="1" si="8"/>
        <v>7.0485430049721853E-2</v>
      </c>
      <c r="C544" s="48">
        <f t="array" aca="1" ref="C544" ca="1">MAX(0,ROUND(Inputs!$B$10*Inputs!$B$11+NORMSINV(B544)*SQRT(Inputs!$B$10*Inputs!$B$11),0))</f>
        <v>467</v>
      </c>
      <c r="D544" s="52">
        <f ca="1">C544*Inputs!$B$12</f>
        <v>56040000</v>
      </c>
    </row>
    <row r="545" spans="1:4" ht="13.5" customHeight="1" x14ac:dyDescent="0.3">
      <c r="A545" s="46">
        <v>541</v>
      </c>
      <c r="B545" s="47">
        <f t="shared" ca="1" si="8"/>
        <v>0.79684584991173779</v>
      </c>
      <c r="C545" s="48">
        <f t="array" aca="1" ref="C545" ca="1">MAX(0,ROUND(Inputs!$B$10*Inputs!$B$11+NORMSINV(B545)*SQRT(Inputs!$B$10*Inputs!$B$11),0))</f>
        <v>519</v>
      </c>
      <c r="D545" s="49">
        <f ca="1">C545*Inputs!$B$12</f>
        <v>62280000</v>
      </c>
    </row>
    <row r="546" spans="1:4" ht="13.5" customHeight="1" x14ac:dyDescent="0.3">
      <c r="A546" s="50">
        <v>542</v>
      </c>
      <c r="B546" s="51">
        <f t="shared" ca="1" si="8"/>
        <v>0.80746796617731875</v>
      </c>
      <c r="C546" s="48">
        <f t="array" aca="1" ref="C546" ca="1">MAX(0,ROUND(Inputs!$B$10*Inputs!$B$11+NORMSINV(B546)*SQRT(Inputs!$B$10*Inputs!$B$11),0))</f>
        <v>519</v>
      </c>
      <c r="D546" s="52">
        <f ca="1">C546*Inputs!$B$12</f>
        <v>62280000</v>
      </c>
    </row>
    <row r="547" spans="1:4" ht="13.5" customHeight="1" x14ac:dyDescent="0.3">
      <c r="A547" s="46">
        <v>543</v>
      </c>
      <c r="B547" s="47">
        <f t="shared" ca="1" si="8"/>
        <v>0.92737139456477846</v>
      </c>
      <c r="C547" s="48">
        <f t="array" aca="1" ref="C547" ca="1">MAX(0,ROUND(Inputs!$B$10*Inputs!$B$11+NORMSINV(B547)*SQRT(Inputs!$B$10*Inputs!$B$11),0))</f>
        <v>533</v>
      </c>
      <c r="D547" s="49">
        <f ca="1">C547*Inputs!$B$12</f>
        <v>63960000</v>
      </c>
    </row>
    <row r="548" spans="1:4" ht="13.5" customHeight="1" x14ac:dyDescent="0.3">
      <c r="A548" s="50">
        <v>544</v>
      </c>
      <c r="B548" s="51">
        <f t="shared" ca="1" si="8"/>
        <v>0.41422281013643203</v>
      </c>
      <c r="C548" s="48">
        <f t="array" aca="1" ref="C548" ca="1">MAX(0,ROUND(Inputs!$B$10*Inputs!$B$11+NORMSINV(B548)*SQRT(Inputs!$B$10*Inputs!$B$11),0))</f>
        <v>495</v>
      </c>
      <c r="D548" s="52">
        <f ca="1">C548*Inputs!$B$12</f>
        <v>59400000</v>
      </c>
    </row>
    <row r="549" spans="1:4" ht="13.5" customHeight="1" x14ac:dyDescent="0.3">
      <c r="A549" s="46">
        <v>545</v>
      </c>
      <c r="B549" s="47">
        <f t="shared" ca="1" si="8"/>
        <v>8.2039995678796829E-2</v>
      </c>
      <c r="C549" s="48">
        <f t="array" aca="1" ref="C549" ca="1">MAX(0,ROUND(Inputs!$B$10*Inputs!$B$11+NORMSINV(B549)*SQRT(Inputs!$B$10*Inputs!$B$11),0))</f>
        <v>469</v>
      </c>
      <c r="D549" s="49">
        <f ca="1">C549*Inputs!$B$12</f>
        <v>56280000</v>
      </c>
    </row>
    <row r="550" spans="1:4" ht="13.5" customHeight="1" x14ac:dyDescent="0.3">
      <c r="A550" s="50">
        <v>546</v>
      </c>
      <c r="B550" s="51">
        <f t="shared" ca="1" si="8"/>
        <v>0.29672889739515507</v>
      </c>
      <c r="C550" s="48">
        <f t="array" aca="1" ref="C550" ca="1">MAX(0,ROUND(Inputs!$B$10*Inputs!$B$11+NORMSINV(B550)*SQRT(Inputs!$B$10*Inputs!$B$11),0))</f>
        <v>488</v>
      </c>
      <c r="D550" s="52">
        <f ca="1">C550*Inputs!$B$12</f>
        <v>58560000</v>
      </c>
    </row>
    <row r="551" spans="1:4" ht="13.5" customHeight="1" x14ac:dyDescent="0.3">
      <c r="A551" s="46">
        <v>547</v>
      </c>
      <c r="B551" s="47">
        <f t="shared" ca="1" si="8"/>
        <v>0.85119246040056762</v>
      </c>
      <c r="C551" s="48">
        <f t="array" aca="1" ref="C551" ca="1">MAX(0,ROUND(Inputs!$B$10*Inputs!$B$11+NORMSINV(B551)*SQRT(Inputs!$B$10*Inputs!$B$11),0))</f>
        <v>523</v>
      </c>
      <c r="D551" s="49">
        <f ca="1">C551*Inputs!$B$12</f>
        <v>62760000</v>
      </c>
    </row>
    <row r="552" spans="1:4" ht="13.5" customHeight="1" x14ac:dyDescent="0.3">
      <c r="A552" s="50">
        <v>548</v>
      </c>
      <c r="B552" s="51">
        <f t="shared" ca="1" si="8"/>
        <v>0.7306399068600945</v>
      </c>
      <c r="C552" s="48">
        <f t="array" aca="1" ref="C552" ca="1">MAX(0,ROUND(Inputs!$B$10*Inputs!$B$11+NORMSINV(B552)*SQRT(Inputs!$B$10*Inputs!$B$11),0))</f>
        <v>514</v>
      </c>
      <c r="D552" s="52">
        <f ca="1">C552*Inputs!$B$12</f>
        <v>61680000</v>
      </c>
    </row>
    <row r="553" spans="1:4" ht="13.5" customHeight="1" x14ac:dyDescent="0.3">
      <c r="A553" s="46">
        <v>549</v>
      </c>
      <c r="B553" s="47">
        <f t="shared" ca="1" si="8"/>
        <v>0.93939909675543687</v>
      </c>
      <c r="C553" s="48">
        <f t="array" aca="1" ref="C553" ca="1">MAX(0,ROUND(Inputs!$B$10*Inputs!$B$11+NORMSINV(B553)*SQRT(Inputs!$B$10*Inputs!$B$11),0))</f>
        <v>535</v>
      </c>
      <c r="D553" s="49">
        <f ca="1">C553*Inputs!$B$12</f>
        <v>64200000</v>
      </c>
    </row>
    <row r="554" spans="1:4" ht="13.5" customHeight="1" x14ac:dyDescent="0.3">
      <c r="A554" s="50">
        <v>550</v>
      </c>
      <c r="B554" s="51">
        <f t="shared" ca="1" si="8"/>
        <v>0.96673685465240622</v>
      </c>
      <c r="C554" s="48">
        <f t="array" aca="1" ref="C554" ca="1">MAX(0,ROUND(Inputs!$B$10*Inputs!$B$11+NORMSINV(B554)*SQRT(Inputs!$B$10*Inputs!$B$11),0))</f>
        <v>541</v>
      </c>
      <c r="D554" s="52">
        <f ca="1">C554*Inputs!$B$12</f>
        <v>64920000</v>
      </c>
    </row>
    <row r="555" spans="1:4" ht="13.5" customHeight="1" x14ac:dyDescent="0.3">
      <c r="A555" s="46">
        <v>551</v>
      </c>
      <c r="B555" s="47">
        <f t="shared" ca="1" si="8"/>
        <v>0.29835762695326351</v>
      </c>
      <c r="C555" s="48">
        <f t="array" aca="1" ref="C555" ca="1">MAX(0,ROUND(Inputs!$B$10*Inputs!$B$11+NORMSINV(B555)*SQRT(Inputs!$B$10*Inputs!$B$11),0))</f>
        <v>488</v>
      </c>
      <c r="D555" s="49">
        <f ca="1">C555*Inputs!$B$12</f>
        <v>58560000</v>
      </c>
    </row>
    <row r="556" spans="1:4" ht="13.5" customHeight="1" x14ac:dyDescent="0.3">
      <c r="A556" s="50">
        <v>552</v>
      </c>
      <c r="B556" s="51">
        <f t="shared" ca="1" si="8"/>
        <v>0.58639383515863364</v>
      </c>
      <c r="C556" s="48">
        <f t="array" aca="1" ref="C556" ca="1">MAX(0,ROUND(Inputs!$B$10*Inputs!$B$11+NORMSINV(B556)*SQRT(Inputs!$B$10*Inputs!$B$11),0))</f>
        <v>505</v>
      </c>
      <c r="D556" s="52">
        <f ca="1">C556*Inputs!$B$12</f>
        <v>60600000</v>
      </c>
    </row>
    <row r="557" spans="1:4" ht="13.5" customHeight="1" x14ac:dyDescent="0.3">
      <c r="A557" s="46">
        <v>553</v>
      </c>
      <c r="B557" s="47">
        <f t="shared" ca="1" si="8"/>
        <v>0.13099630304818888</v>
      </c>
      <c r="C557" s="48">
        <f t="array" aca="1" ref="C557" ca="1">MAX(0,ROUND(Inputs!$B$10*Inputs!$B$11+NORMSINV(B557)*SQRT(Inputs!$B$10*Inputs!$B$11),0))</f>
        <v>475</v>
      </c>
      <c r="D557" s="49">
        <f ca="1">C557*Inputs!$B$12</f>
        <v>57000000</v>
      </c>
    </row>
    <row r="558" spans="1:4" ht="13.5" customHeight="1" x14ac:dyDescent="0.3">
      <c r="A558" s="50">
        <v>554</v>
      </c>
      <c r="B558" s="51">
        <f t="shared" ca="1" si="8"/>
        <v>0.20942560988213099</v>
      </c>
      <c r="C558" s="48">
        <f t="array" aca="1" ref="C558" ca="1">MAX(0,ROUND(Inputs!$B$10*Inputs!$B$11+NORMSINV(B558)*SQRT(Inputs!$B$10*Inputs!$B$11),0))</f>
        <v>482</v>
      </c>
      <c r="D558" s="52">
        <f ca="1">C558*Inputs!$B$12</f>
        <v>57840000</v>
      </c>
    </row>
    <row r="559" spans="1:4" ht="13.5" customHeight="1" x14ac:dyDescent="0.3">
      <c r="A559" s="46">
        <v>555</v>
      </c>
      <c r="B559" s="47">
        <f t="shared" ca="1" si="8"/>
        <v>0.38093341405913483</v>
      </c>
      <c r="C559" s="48">
        <f t="array" aca="1" ref="C559" ca="1">MAX(0,ROUND(Inputs!$B$10*Inputs!$B$11+NORMSINV(B559)*SQRT(Inputs!$B$10*Inputs!$B$11),0))</f>
        <v>493</v>
      </c>
      <c r="D559" s="49">
        <f ca="1">C559*Inputs!$B$12</f>
        <v>59160000</v>
      </c>
    </row>
    <row r="560" spans="1:4" ht="13.5" customHeight="1" x14ac:dyDescent="0.3">
      <c r="A560" s="50">
        <v>556</v>
      </c>
      <c r="B560" s="51">
        <f t="shared" ca="1" si="8"/>
        <v>0.7614032755112331</v>
      </c>
      <c r="C560" s="48">
        <f t="array" aca="1" ref="C560" ca="1">MAX(0,ROUND(Inputs!$B$10*Inputs!$B$11+NORMSINV(B560)*SQRT(Inputs!$B$10*Inputs!$B$11),0))</f>
        <v>516</v>
      </c>
      <c r="D560" s="52">
        <f ca="1">C560*Inputs!$B$12</f>
        <v>61920000</v>
      </c>
    </row>
    <row r="561" spans="1:4" ht="13.5" customHeight="1" x14ac:dyDescent="0.3">
      <c r="A561" s="46">
        <v>557</v>
      </c>
      <c r="B561" s="47">
        <f t="shared" ca="1" si="8"/>
        <v>0.29785898491147278</v>
      </c>
      <c r="C561" s="48">
        <f t="array" aca="1" ref="C561" ca="1">MAX(0,ROUND(Inputs!$B$10*Inputs!$B$11+NORMSINV(B561)*SQRT(Inputs!$B$10*Inputs!$B$11),0))</f>
        <v>488</v>
      </c>
      <c r="D561" s="49">
        <f ca="1">C561*Inputs!$B$12</f>
        <v>58560000</v>
      </c>
    </row>
    <row r="562" spans="1:4" ht="13.5" customHeight="1" x14ac:dyDescent="0.3">
      <c r="A562" s="50">
        <v>558</v>
      </c>
      <c r="B562" s="51">
        <f t="shared" ca="1" si="8"/>
        <v>0.66186961179574311</v>
      </c>
      <c r="C562" s="48">
        <f t="array" aca="1" ref="C562" ca="1">MAX(0,ROUND(Inputs!$B$10*Inputs!$B$11+NORMSINV(B562)*SQRT(Inputs!$B$10*Inputs!$B$11),0))</f>
        <v>509</v>
      </c>
      <c r="D562" s="52">
        <f ca="1">C562*Inputs!$B$12</f>
        <v>61080000</v>
      </c>
    </row>
    <row r="563" spans="1:4" ht="13.5" customHeight="1" x14ac:dyDescent="0.3">
      <c r="A563" s="46">
        <v>559</v>
      </c>
      <c r="B563" s="47">
        <f t="shared" ca="1" si="8"/>
        <v>0.3098254476162009</v>
      </c>
      <c r="C563" s="48">
        <f t="array" aca="1" ref="C563" ca="1">MAX(0,ROUND(Inputs!$B$10*Inputs!$B$11+NORMSINV(B563)*SQRT(Inputs!$B$10*Inputs!$B$11),0))</f>
        <v>489</v>
      </c>
      <c r="D563" s="49">
        <f ca="1">C563*Inputs!$B$12</f>
        <v>58680000</v>
      </c>
    </row>
    <row r="564" spans="1:4" ht="13.5" customHeight="1" x14ac:dyDescent="0.3">
      <c r="A564" s="50">
        <v>560</v>
      </c>
      <c r="B564" s="51">
        <f t="shared" ca="1" si="8"/>
        <v>0.33050327705414229</v>
      </c>
      <c r="C564" s="48">
        <f t="array" aca="1" ref="C564" ca="1">MAX(0,ROUND(Inputs!$B$10*Inputs!$B$11+NORMSINV(B564)*SQRT(Inputs!$B$10*Inputs!$B$11),0))</f>
        <v>490</v>
      </c>
      <c r="D564" s="52">
        <f ca="1">C564*Inputs!$B$12</f>
        <v>58800000</v>
      </c>
    </row>
    <row r="565" spans="1:4" ht="13.5" customHeight="1" x14ac:dyDescent="0.3">
      <c r="A565" s="46">
        <v>561</v>
      </c>
      <c r="B565" s="47">
        <f t="shared" ca="1" si="8"/>
        <v>0.69854773139238191</v>
      </c>
      <c r="C565" s="48">
        <f t="array" aca="1" ref="C565" ca="1">MAX(0,ROUND(Inputs!$B$10*Inputs!$B$11+NORMSINV(B565)*SQRT(Inputs!$B$10*Inputs!$B$11),0))</f>
        <v>512</v>
      </c>
      <c r="D565" s="49">
        <f ca="1">C565*Inputs!$B$12</f>
        <v>61440000</v>
      </c>
    </row>
    <row r="566" spans="1:4" ht="13.5" customHeight="1" x14ac:dyDescent="0.3">
      <c r="A566" s="50">
        <v>562</v>
      </c>
      <c r="B566" s="51">
        <f t="shared" ca="1" si="8"/>
        <v>3.1228079957952515E-2</v>
      </c>
      <c r="C566" s="48">
        <f t="array" aca="1" ref="C566" ca="1">MAX(0,ROUND(Inputs!$B$10*Inputs!$B$11+NORMSINV(B566)*SQRT(Inputs!$B$10*Inputs!$B$11),0))</f>
        <v>458</v>
      </c>
      <c r="D566" s="52">
        <f ca="1">C566*Inputs!$B$12</f>
        <v>54960000</v>
      </c>
    </row>
    <row r="567" spans="1:4" ht="13.5" customHeight="1" x14ac:dyDescent="0.3">
      <c r="A567" s="46">
        <v>563</v>
      </c>
      <c r="B567" s="47">
        <f t="shared" ca="1" si="8"/>
        <v>0.59709779712784716</v>
      </c>
      <c r="C567" s="48">
        <f t="array" aca="1" ref="C567" ca="1">MAX(0,ROUND(Inputs!$B$10*Inputs!$B$11+NORMSINV(B567)*SQRT(Inputs!$B$10*Inputs!$B$11),0))</f>
        <v>505</v>
      </c>
      <c r="D567" s="49">
        <f ca="1">C567*Inputs!$B$12</f>
        <v>60600000</v>
      </c>
    </row>
    <row r="568" spans="1:4" ht="13.5" customHeight="1" x14ac:dyDescent="0.3">
      <c r="A568" s="50">
        <v>564</v>
      </c>
      <c r="B568" s="51">
        <f t="shared" ca="1" si="8"/>
        <v>0.38486493391692755</v>
      </c>
      <c r="C568" s="48">
        <f t="array" aca="1" ref="C568" ca="1">MAX(0,ROUND(Inputs!$B$10*Inputs!$B$11+NORMSINV(B568)*SQRT(Inputs!$B$10*Inputs!$B$11),0))</f>
        <v>493</v>
      </c>
      <c r="D568" s="52">
        <f ca="1">C568*Inputs!$B$12</f>
        <v>59160000</v>
      </c>
    </row>
    <row r="569" spans="1:4" ht="13.5" customHeight="1" x14ac:dyDescent="0.3">
      <c r="A569" s="46">
        <v>565</v>
      </c>
      <c r="B569" s="47">
        <f t="shared" ca="1" si="8"/>
        <v>0.24952835318483313</v>
      </c>
      <c r="C569" s="48">
        <f t="array" aca="1" ref="C569" ca="1">MAX(0,ROUND(Inputs!$B$10*Inputs!$B$11+NORMSINV(B569)*SQRT(Inputs!$B$10*Inputs!$B$11),0))</f>
        <v>485</v>
      </c>
      <c r="D569" s="49">
        <f ca="1">C569*Inputs!$B$12</f>
        <v>58200000</v>
      </c>
    </row>
    <row r="570" spans="1:4" ht="13.5" customHeight="1" x14ac:dyDescent="0.3">
      <c r="A570" s="50">
        <v>566</v>
      </c>
      <c r="B570" s="51">
        <f t="shared" ca="1" si="8"/>
        <v>0.94215606067657098</v>
      </c>
      <c r="C570" s="48">
        <f t="array" aca="1" ref="C570" ca="1">MAX(0,ROUND(Inputs!$B$10*Inputs!$B$11+NORMSINV(B570)*SQRT(Inputs!$B$10*Inputs!$B$11),0))</f>
        <v>535</v>
      </c>
      <c r="D570" s="52">
        <f ca="1">C570*Inputs!$B$12</f>
        <v>64200000</v>
      </c>
    </row>
    <row r="571" spans="1:4" ht="13.5" customHeight="1" x14ac:dyDescent="0.3">
      <c r="A571" s="46">
        <v>567</v>
      </c>
      <c r="B571" s="47">
        <f t="shared" ca="1" si="8"/>
        <v>0.4392774564787072</v>
      </c>
      <c r="C571" s="48">
        <f t="array" aca="1" ref="C571" ca="1">MAX(0,ROUND(Inputs!$B$10*Inputs!$B$11+NORMSINV(B571)*SQRT(Inputs!$B$10*Inputs!$B$11),0))</f>
        <v>497</v>
      </c>
      <c r="D571" s="49">
        <f ca="1">C571*Inputs!$B$12</f>
        <v>59640000</v>
      </c>
    </row>
    <row r="572" spans="1:4" ht="13.5" customHeight="1" x14ac:dyDescent="0.3">
      <c r="A572" s="50">
        <v>568</v>
      </c>
      <c r="B572" s="51">
        <f t="shared" ca="1" si="8"/>
        <v>0.72970379441145605</v>
      </c>
      <c r="C572" s="48">
        <f t="array" aca="1" ref="C572" ca="1">MAX(0,ROUND(Inputs!$B$10*Inputs!$B$11+NORMSINV(B572)*SQRT(Inputs!$B$10*Inputs!$B$11),0))</f>
        <v>514</v>
      </c>
      <c r="D572" s="52">
        <f ca="1">C572*Inputs!$B$12</f>
        <v>61680000</v>
      </c>
    </row>
    <row r="573" spans="1:4" ht="13.5" customHeight="1" x14ac:dyDescent="0.3">
      <c r="A573" s="46">
        <v>569</v>
      </c>
      <c r="B573" s="47">
        <f t="shared" ca="1" si="8"/>
        <v>0.2449323922574782</v>
      </c>
      <c r="C573" s="48">
        <f t="array" aca="1" ref="C573" ca="1">MAX(0,ROUND(Inputs!$B$10*Inputs!$B$11+NORMSINV(B573)*SQRT(Inputs!$B$10*Inputs!$B$11),0))</f>
        <v>485</v>
      </c>
      <c r="D573" s="49">
        <f ca="1">C573*Inputs!$B$12</f>
        <v>58200000</v>
      </c>
    </row>
    <row r="574" spans="1:4" ht="13.5" customHeight="1" x14ac:dyDescent="0.3">
      <c r="A574" s="50">
        <v>570</v>
      </c>
      <c r="B574" s="51">
        <f t="shared" ca="1" si="8"/>
        <v>8.7020452163929285E-2</v>
      </c>
      <c r="C574" s="48">
        <f t="array" aca="1" ref="C574" ca="1">MAX(0,ROUND(Inputs!$B$10*Inputs!$B$11+NORMSINV(B574)*SQRT(Inputs!$B$10*Inputs!$B$11),0))</f>
        <v>470</v>
      </c>
      <c r="D574" s="52">
        <f ca="1">C574*Inputs!$B$12</f>
        <v>56400000</v>
      </c>
    </row>
    <row r="575" spans="1:4" ht="13.5" customHeight="1" x14ac:dyDescent="0.3">
      <c r="A575" s="46">
        <v>571</v>
      </c>
      <c r="B575" s="47">
        <f t="shared" ca="1" si="8"/>
        <v>0.28011135505761431</v>
      </c>
      <c r="C575" s="48">
        <f t="array" aca="1" ref="C575" ca="1">MAX(0,ROUND(Inputs!$B$10*Inputs!$B$11+NORMSINV(B575)*SQRT(Inputs!$B$10*Inputs!$B$11),0))</f>
        <v>487</v>
      </c>
      <c r="D575" s="49">
        <f ca="1">C575*Inputs!$B$12</f>
        <v>58440000</v>
      </c>
    </row>
    <row r="576" spans="1:4" ht="13.5" customHeight="1" x14ac:dyDescent="0.3">
      <c r="A576" s="50">
        <v>572</v>
      </c>
      <c r="B576" s="51">
        <f t="shared" ca="1" si="8"/>
        <v>0.37550612563981212</v>
      </c>
      <c r="C576" s="48">
        <f t="array" aca="1" ref="C576" ca="1">MAX(0,ROUND(Inputs!$B$10*Inputs!$B$11+NORMSINV(B576)*SQRT(Inputs!$B$10*Inputs!$B$11),0))</f>
        <v>493</v>
      </c>
      <c r="D576" s="52">
        <f ca="1">C576*Inputs!$B$12</f>
        <v>59160000</v>
      </c>
    </row>
    <row r="577" spans="1:4" ht="13.5" customHeight="1" x14ac:dyDescent="0.3">
      <c r="A577" s="46">
        <v>573</v>
      </c>
      <c r="B577" s="47">
        <f t="shared" ca="1" si="8"/>
        <v>0.69267579750076802</v>
      </c>
      <c r="C577" s="48">
        <f t="array" aca="1" ref="C577" ca="1">MAX(0,ROUND(Inputs!$B$10*Inputs!$B$11+NORMSINV(B577)*SQRT(Inputs!$B$10*Inputs!$B$11),0))</f>
        <v>511</v>
      </c>
      <c r="D577" s="49">
        <f ca="1">C577*Inputs!$B$12</f>
        <v>61320000</v>
      </c>
    </row>
    <row r="578" spans="1:4" ht="13.5" customHeight="1" x14ac:dyDescent="0.3">
      <c r="A578" s="50">
        <v>574</v>
      </c>
      <c r="B578" s="51">
        <f t="shared" ca="1" si="8"/>
        <v>0.93210017736747497</v>
      </c>
      <c r="C578" s="48">
        <f t="array" aca="1" ref="C578" ca="1">MAX(0,ROUND(Inputs!$B$10*Inputs!$B$11+NORMSINV(B578)*SQRT(Inputs!$B$10*Inputs!$B$11),0))</f>
        <v>533</v>
      </c>
      <c r="D578" s="52">
        <f ca="1">C578*Inputs!$B$12</f>
        <v>63960000</v>
      </c>
    </row>
    <row r="579" spans="1:4" ht="13.5" customHeight="1" x14ac:dyDescent="0.3">
      <c r="A579" s="46">
        <v>575</v>
      </c>
      <c r="B579" s="47">
        <f t="shared" ca="1" si="8"/>
        <v>0.57579483858012703</v>
      </c>
      <c r="C579" s="48">
        <f t="array" aca="1" ref="C579" ca="1">MAX(0,ROUND(Inputs!$B$10*Inputs!$B$11+NORMSINV(B579)*SQRT(Inputs!$B$10*Inputs!$B$11),0))</f>
        <v>504</v>
      </c>
      <c r="D579" s="49">
        <f ca="1">C579*Inputs!$B$12</f>
        <v>60480000</v>
      </c>
    </row>
    <row r="580" spans="1:4" ht="13.5" customHeight="1" x14ac:dyDescent="0.3">
      <c r="A580" s="50">
        <v>576</v>
      </c>
      <c r="B580" s="51">
        <f t="shared" ca="1" si="8"/>
        <v>4.7080241855201654E-2</v>
      </c>
      <c r="C580" s="48">
        <f t="array" aca="1" ref="C580" ca="1">MAX(0,ROUND(Inputs!$B$10*Inputs!$B$11+NORMSINV(B580)*SQRT(Inputs!$B$10*Inputs!$B$11),0))</f>
        <v>463</v>
      </c>
      <c r="D580" s="52">
        <f ca="1">C580*Inputs!$B$12</f>
        <v>55560000</v>
      </c>
    </row>
    <row r="581" spans="1:4" ht="13.5" customHeight="1" x14ac:dyDescent="0.3">
      <c r="A581" s="46">
        <v>577</v>
      </c>
      <c r="B581" s="47">
        <f t="shared" ref="B581:B644" ca="1" si="9">RAND()</f>
        <v>0.26827190028691894</v>
      </c>
      <c r="C581" s="48">
        <f t="array" aca="1" ref="C581" ca="1">MAX(0,ROUND(Inputs!$B$10*Inputs!$B$11+NORMSINV(B581)*SQRT(Inputs!$B$10*Inputs!$B$11),0))</f>
        <v>486</v>
      </c>
      <c r="D581" s="49">
        <f ca="1">C581*Inputs!$B$12</f>
        <v>58320000</v>
      </c>
    </row>
    <row r="582" spans="1:4" ht="13.5" customHeight="1" x14ac:dyDescent="0.3">
      <c r="A582" s="50">
        <v>578</v>
      </c>
      <c r="B582" s="51">
        <f t="shared" ca="1" si="9"/>
        <v>0.93786021187222879</v>
      </c>
      <c r="C582" s="48">
        <f t="array" aca="1" ref="C582" ca="1">MAX(0,ROUND(Inputs!$B$10*Inputs!$B$11+NORMSINV(B582)*SQRT(Inputs!$B$10*Inputs!$B$11),0))</f>
        <v>534</v>
      </c>
      <c r="D582" s="52">
        <f ca="1">C582*Inputs!$B$12</f>
        <v>64080000</v>
      </c>
    </row>
    <row r="583" spans="1:4" ht="13.5" customHeight="1" x14ac:dyDescent="0.3">
      <c r="A583" s="46">
        <v>579</v>
      </c>
      <c r="B583" s="47">
        <f t="shared" ca="1" si="9"/>
        <v>0.83512878004461688</v>
      </c>
      <c r="C583" s="48">
        <f t="array" aca="1" ref="C583" ca="1">MAX(0,ROUND(Inputs!$B$10*Inputs!$B$11+NORMSINV(B583)*SQRT(Inputs!$B$10*Inputs!$B$11),0))</f>
        <v>522</v>
      </c>
      <c r="D583" s="49">
        <f ca="1">C583*Inputs!$B$12</f>
        <v>62640000</v>
      </c>
    </row>
    <row r="584" spans="1:4" ht="13.5" customHeight="1" x14ac:dyDescent="0.3">
      <c r="A584" s="50">
        <v>580</v>
      </c>
      <c r="B584" s="51">
        <f t="shared" ca="1" si="9"/>
        <v>0.62493749600226667</v>
      </c>
      <c r="C584" s="48">
        <f t="array" aca="1" ref="C584" ca="1">MAX(0,ROUND(Inputs!$B$10*Inputs!$B$11+NORMSINV(B584)*SQRT(Inputs!$B$10*Inputs!$B$11),0))</f>
        <v>507</v>
      </c>
      <c r="D584" s="52">
        <f ca="1">C584*Inputs!$B$12</f>
        <v>60840000</v>
      </c>
    </row>
    <row r="585" spans="1:4" ht="13.5" customHeight="1" x14ac:dyDescent="0.3">
      <c r="A585" s="46">
        <v>581</v>
      </c>
      <c r="B585" s="47">
        <f t="shared" ca="1" si="9"/>
        <v>0.31841531959829583</v>
      </c>
      <c r="C585" s="48">
        <f t="array" aca="1" ref="C585" ca="1">MAX(0,ROUND(Inputs!$B$10*Inputs!$B$11+NORMSINV(B585)*SQRT(Inputs!$B$10*Inputs!$B$11),0))</f>
        <v>489</v>
      </c>
      <c r="D585" s="49">
        <f ca="1">C585*Inputs!$B$12</f>
        <v>58680000</v>
      </c>
    </row>
    <row r="586" spans="1:4" ht="13.5" customHeight="1" x14ac:dyDescent="0.3">
      <c r="A586" s="50">
        <v>582</v>
      </c>
      <c r="B586" s="51">
        <f t="shared" ca="1" si="9"/>
        <v>0.83915815297048257</v>
      </c>
      <c r="C586" s="48">
        <f t="array" aca="1" ref="C586" ca="1">MAX(0,ROUND(Inputs!$B$10*Inputs!$B$11+NORMSINV(B586)*SQRT(Inputs!$B$10*Inputs!$B$11),0))</f>
        <v>522</v>
      </c>
      <c r="D586" s="52">
        <f ca="1">C586*Inputs!$B$12</f>
        <v>62640000</v>
      </c>
    </row>
    <row r="587" spans="1:4" ht="13.5" customHeight="1" x14ac:dyDescent="0.3">
      <c r="A587" s="46">
        <v>583</v>
      </c>
      <c r="B587" s="47">
        <f t="shared" ca="1" si="9"/>
        <v>0.50057130066990319</v>
      </c>
      <c r="C587" s="48">
        <f t="array" aca="1" ref="C587" ca="1">MAX(0,ROUND(Inputs!$B$10*Inputs!$B$11+NORMSINV(B587)*SQRT(Inputs!$B$10*Inputs!$B$11),0))</f>
        <v>500</v>
      </c>
      <c r="D587" s="49">
        <f ca="1">C587*Inputs!$B$12</f>
        <v>60000000</v>
      </c>
    </row>
    <row r="588" spans="1:4" ht="13.5" customHeight="1" x14ac:dyDescent="0.3">
      <c r="A588" s="50">
        <v>584</v>
      </c>
      <c r="B588" s="51">
        <f t="shared" ca="1" si="9"/>
        <v>0.65412250616724166</v>
      </c>
      <c r="C588" s="48">
        <f t="array" aca="1" ref="C588" ca="1">MAX(0,ROUND(Inputs!$B$10*Inputs!$B$11+NORMSINV(B588)*SQRT(Inputs!$B$10*Inputs!$B$11),0))</f>
        <v>509</v>
      </c>
      <c r="D588" s="52">
        <f ca="1">C588*Inputs!$B$12</f>
        <v>61080000</v>
      </c>
    </row>
    <row r="589" spans="1:4" ht="13.5" customHeight="1" x14ac:dyDescent="0.3">
      <c r="A589" s="46">
        <v>585</v>
      </c>
      <c r="B589" s="47">
        <f t="shared" ca="1" si="9"/>
        <v>0.70836537423577794</v>
      </c>
      <c r="C589" s="48">
        <f t="array" aca="1" ref="C589" ca="1">MAX(0,ROUND(Inputs!$B$10*Inputs!$B$11+NORMSINV(B589)*SQRT(Inputs!$B$10*Inputs!$B$11),0))</f>
        <v>512</v>
      </c>
      <c r="D589" s="49">
        <f ca="1">C589*Inputs!$B$12</f>
        <v>61440000</v>
      </c>
    </row>
    <row r="590" spans="1:4" ht="13.5" customHeight="1" x14ac:dyDescent="0.3">
      <c r="A590" s="50">
        <v>586</v>
      </c>
      <c r="B590" s="51">
        <f t="shared" ca="1" si="9"/>
        <v>0.92355872396299821</v>
      </c>
      <c r="C590" s="48">
        <f t="array" aca="1" ref="C590" ca="1">MAX(0,ROUND(Inputs!$B$10*Inputs!$B$11+NORMSINV(B590)*SQRT(Inputs!$B$10*Inputs!$B$11),0))</f>
        <v>532</v>
      </c>
      <c r="D590" s="52">
        <f ca="1">C590*Inputs!$B$12</f>
        <v>63840000</v>
      </c>
    </row>
    <row r="591" spans="1:4" ht="13.5" customHeight="1" x14ac:dyDescent="0.3">
      <c r="A591" s="46">
        <v>587</v>
      </c>
      <c r="B591" s="47">
        <f t="shared" ca="1" si="9"/>
        <v>0.53870219038491918</v>
      </c>
      <c r="C591" s="48">
        <f t="array" aca="1" ref="C591" ca="1">MAX(0,ROUND(Inputs!$B$10*Inputs!$B$11+NORMSINV(B591)*SQRT(Inputs!$B$10*Inputs!$B$11),0))</f>
        <v>502</v>
      </c>
      <c r="D591" s="49">
        <f ca="1">C591*Inputs!$B$12</f>
        <v>60240000</v>
      </c>
    </row>
    <row r="592" spans="1:4" ht="13.5" customHeight="1" x14ac:dyDescent="0.3">
      <c r="A592" s="50">
        <v>588</v>
      </c>
      <c r="B592" s="51">
        <f t="shared" ca="1" si="9"/>
        <v>0.43183588734581724</v>
      </c>
      <c r="C592" s="48">
        <f t="array" aca="1" ref="C592" ca="1">MAX(0,ROUND(Inputs!$B$10*Inputs!$B$11+NORMSINV(B592)*SQRT(Inputs!$B$10*Inputs!$B$11),0))</f>
        <v>496</v>
      </c>
      <c r="D592" s="52">
        <f ca="1">C592*Inputs!$B$12</f>
        <v>59520000</v>
      </c>
    </row>
    <row r="593" spans="1:4" ht="13.5" customHeight="1" x14ac:dyDescent="0.3">
      <c r="A593" s="46">
        <v>589</v>
      </c>
      <c r="B593" s="47">
        <f t="shared" ca="1" si="9"/>
        <v>0.20687086188162229</v>
      </c>
      <c r="C593" s="48">
        <f t="array" aca="1" ref="C593" ca="1">MAX(0,ROUND(Inputs!$B$10*Inputs!$B$11+NORMSINV(B593)*SQRT(Inputs!$B$10*Inputs!$B$11),0))</f>
        <v>482</v>
      </c>
      <c r="D593" s="49">
        <f ca="1">C593*Inputs!$B$12</f>
        <v>57840000</v>
      </c>
    </row>
    <row r="594" spans="1:4" ht="13.5" customHeight="1" x14ac:dyDescent="0.3">
      <c r="A594" s="50">
        <v>590</v>
      </c>
      <c r="B594" s="51">
        <f t="shared" ca="1" si="9"/>
        <v>0.22592874640970428</v>
      </c>
      <c r="C594" s="48">
        <f t="array" aca="1" ref="C594" ca="1">MAX(0,ROUND(Inputs!$B$10*Inputs!$B$11+NORMSINV(B594)*SQRT(Inputs!$B$10*Inputs!$B$11),0))</f>
        <v>483</v>
      </c>
      <c r="D594" s="52">
        <f ca="1">C594*Inputs!$B$12</f>
        <v>57960000</v>
      </c>
    </row>
    <row r="595" spans="1:4" ht="13.5" customHeight="1" x14ac:dyDescent="0.3">
      <c r="A595" s="46">
        <v>591</v>
      </c>
      <c r="B595" s="47">
        <f t="shared" ca="1" si="9"/>
        <v>7.5083842204703988E-3</v>
      </c>
      <c r="C595" s="48">
        <f t="array" aca="1" ref="C595" ca="1">MAX(0,ROUND(Inputs!$B$10*Inputs!$B$11+NORMSINV(B595)*SQRT(Inputs!$B$10*Inputs!$B$11),0))</f>
        <v>446</v>
      </c>
      <c r="D595" s="49">
        <f ca="1">C595*Inputs!$B$12</f>
        <v>53520000</v>
      </c>
    </row>
    <row r="596" spans="1:4" ht="13.5" customHeight="1" x14ac:dyDescent="0.3">
      <c r="A596" s="50">
        <v>592</v>
      </c>
      <c r="B596" s="51">
        <f t="shared" ca="1" si="9"/>
        <v>0.7602795156292621</v>
      </c>
      <c r="C596" s="48">
        <f t="array" aca="1" ref="C596" ca="1">MAX(0,ROUND(Inputs!$B$10*Inputs!$B$11+NORMSINV(B596)*SQRT(Inputs!$B$10*Inputs!$B$11),0))</f>
        <v>516</v>
      </c>
      <c r="D596" s="52">
        <f ca="1">C596*Inputs!$B$12</f>
        <v>61920000</v>
      </c>
    </row>
    <row r="597" spans="1:4" ht="13.5" customHeight="1" x14ac:dyDescent="0.3">
      <c r="A597" s="46">
        <v>593</v>
      </c>
      <c r="B597" s="47">
        <f t="shared" ca="1" si="9"/>
        <v>0.91228226793365585</v>
      </c>
      <c r="C597" s="48">
        <f t="array" aca="1" ref="C597" ca="1">MAX(0,ROUND(Inputs!$B$10*Inputs!$B$11+NORMSINV(B597)*SQRT(Inputs!$B$10*Inputs!$B$11),0))</f>
        <v>530</v>
      </c>
      <c r="D597" s="49">
        <f ca="1">C597*Inputs!$B$12</f>
        <v>63600000</v>
      </c>
    </row>
    <row r="598" spans="1:4" ht="13.5" customHeight="1" x14ac:dyDescent="0.3">
      <c r="A598" s="50">
        <v>594</v>
      </c>
      <c r="B598" s="51">
        <f t="shared" ca="1" si="9"/>
        <v>0.80201318866083626</v>
      </c>
      <c r="C598" s="48">
        <f t="array" aca="1" ref="C598" ca="1">MAX(0,ROUND(Inputs!$B$10*Inputs!$B$11+NORMSINV(B598)*SQRT(Inputs!$B$10*Inputs!$B$11),0))</f>
        <v>519</v>
      </c>
      <c r="D598" s="52">
        <f ca="1">C598*Inputs!$B$12</f>
        <v>62280000</v>
      </c>
    </row>
    <row r="599" spans="1:4" ht="13.5" customHeight="1" x14ac:dyDescent="0.3">
      <c r="A599" s="46">
        <v>595</v>
      </c>
      <c r="B599" s="47">
        <f t="shared" ca="1" si="9"/>
        <v>1.3072239591502721E-2</v>
      </c>
      <c r="C599" s="48">
        <f t="array" aca="1" ref="C599" ca="1">MAX(0,ROUND(Inputs!$B$10*Inputs!$B$11+NORMSINV(B599)*SQRT(Inputs!$B$10*Inputs!$B$11),0))</f>
        <v>450</v>
      </c>
      <c r="D599" s="49">
        <f ca="1">C599*Inputs!$B$12</f>
        <v>54000000</v>
      </c>
    </row>
    <row r="600" spans="1:4" ht="13.5" customHeight="1" x14ac:dyDescent="0.3">
      <c r="A600" s="50">
        <v>596</v>
      </c>
      <c r="B600" s="51">
        <f t="shared" ca="1" si="9"/>
        <v>0.74573421289835129</v>
      </c>
      <c r="C600" s="48">
        <f t="array" aca="1" ref="C600" ca="1">MAX(0,ROUND(Inputs!$B$10*Inputs!$B$11+NORMSINV(B600)*SQRT(Inputs!$B$10*Inputs!$B$11),0))</f>
        <v>515</v>
      </c>
      <c r="D600" s="52">
        <f ca="1">C600*Inputs!$B$12</f>
        <v>61800000</v>
      </c>
    </row>
    <row r="601" spans="1:4" ht="13.5" customHeight="1" x14ac:dyDescent="0.3">
      <c r="A601" s="46">
        <v>597</v>
      </c>
      <c r="B601" s="47">
        <f t="shared" ca="1" si="9"/>
        <v>0.35322850049016896</v>
      </c>
      <c r="C601" s="48">
        <f t="array" aca="1" ref="C601" ca="1">MAX(0,ROUND(Inputs!$B$10*Inputs!$B$11+NORMSINV(B601)*SQRT(Inputs!$B$10*Inputs!$B$11),0))</f>
        <v>492</v>
      </c>
      <c r="D601" s="49">
        <f ca="1">C601*Inputs!$B$12</f>
        <v>59040000</v>
      </c>
    </row>
    <row r="602" spans="1:4" ht="13.5" customHeight="1" x14ac:dyDescent="0.3">
      <c r="A602" s="50">
        <v>598</v>
      </c>
      <c r="B602" s="51">
        <f t="shared" ca="1" si="9"/>
        <v>0.95414320435681821</v>
      </c>
      <c r="C602" s="48">
        <f t="array" aca="1" ref="C602" ca="1">MAX(0,ROUND(Inputs!$B$10*Inputs!$B$11+NORMSINV(B602)*SQRT(Inputs!$B$10*Inputs!$B$11),0))</f>
        <v>538</v>
      </c>
      <c r="D602" s="52">
        <f ca="1">C602*Inputs!$B$12</f>
        <v>64560000</v>
      </c>
    </row>
    <row r="603" spans="1:4" ht="13.5" customHeight="1" x14ac:dyDescent="0.3">
      <c r="A603" s="46">
        <v>599</v>
      </c>
      <c r="B603" s="47">
        <f t="shared" ca="1" si="9"/>
        <v>0.52692401723559723</v>
      </c>
      <c r="C603" s="48">
        <f t="array" aca="1" ref="C603" ca="1">MAX(0,ROUND(Inputs!$B$10*Inputs!$B$11+NORMSINV(B603)*SQRT(Inputs!$B$10*Inputs!$B$11),0))</f>
        <v>502</v>
      </c>
      <c r="D603" s="49">
        <f ca="1">C603*Inputs!$B$12</f>
        <v>60240000</v>
      </c>
    </row>
    <row r="604" spans="1:4" ht="13.5" customHeight="1" x14ac:dyDescent="0.3">
      <c r="A604" s="50">
        <v>600</v>
      </c>
      <c r="B604" s="51">
        <f t="shared" ca="1" si="9"/>
        <v>0.65326500880414673</v>
      </c>
      <c r="C604" s="48">
        <f t="array" aca="1" ref="C604" ca="1">MAX(0,ROUND(Inputs!$B$10*Inputs!$B$11+NORMSINV(B604)*SQRT(Inputs!$B$10*Inputs!$B$11),0))</f>
        <v>509</v>
      </c>
      <c r="D604" s="52">
        <f ca="1">C604*Inputs!$B$12</f>
        <v>61080000</v>
      </c>
    </row>
    <row r="605" spans="1:4" ht="13.5" customHeight="1" x14ac:dyDescent="0.3">
      <c r="A605" s="46">
        <v>601</v>
      </c>
      <c r="B605" s="47">
        <f t="shared" ca="1" si="9"/>
        <v>0.19818328328705681</v>
      </c>
      <c r="C605" s="48">
        <f t="array" aca="1" ref="C605" ca="1">MAX(0,ROUND(Inputs!$B$10*Inputs!$B$11+NORMSINV(B605)*SQRT(Inputs!$B$10*Inputs!$B$11),0))</f>
        <v>481</v>
      </c>
      <c r="D605" s="49">
        <f ca="1">C605*Inputs!$B$12</f>
        <v>57720000</v>
      </c>
    </row>
    <row r="606" spans="1:4" ht="13.5" customHeight="1" x14ac:dyDescent="0.3">
      <c r="A606" s="50">
        <v>602</v>
      </c>
      <c r="B606" s="51">
        <f t="shared" ca="1" si="9"/>
        <v>0.15409656315648868</v>
      </c>
      <c r="C606" s="48">
        <f t="array" aca="1" ref="C606" ca="1">MAX(0,ROUND(Inputs!$B$10*Inputs!$B$11+NORMSINV(B606)*SQRT(Inputs!$B$10*Inputs!$B$11),0))</f>
        <v>477</v>
      </c>
      <c r="D606" s="52">
        <f ca="1">C606*Inputs!$B$12</f>
        <v>57240000</v>
      </c>
    </row>
    <row r="607" spans="1:4" ht="13.5" customHeight="1" x14ac:dyDescent="0.3">
      <c r="A607" s="46">
        <v>603</v>
      </c>
      <c r="B607" s="47">
        <f t="shared" ca="1" si="9"/>
        <v>0.56926871281875757</v>
      </c>
      <c r="C607" s="48">
        <f t="array" aca="1" ref="C607" ca="1">MAX(0,ROUND(Inputs!$B$10*Inputs!$B$11+NORMSINV(B607)*SQRT(Inputs!$B$10*Inputs!$B$11),0))</f>
        <v>504</v>
      </c>
      <c r="D607" s="49">
        <f ca="1">C607*Inputs!$B$12</f>
        <v>60480000</v>
      </c>
    </row>
    <row r="608" spans="1:4" ht="13.5" customHeight="1" x14ac:dyDescent="0.3">
      <c r="A608" s="50">
        <v>604</v>
      </c>
      <c r="B608" s="51">
        <f t="shared" ca="1" si="9"/>
        <v>0.8586423181266194</v>
      </c>
      <c r="C608" s="48">
        <f t="array" aca="1" ref="C608" ca="1">MAX(0,ROUND(Inputs!$B$10*Inputs!$B$11+NORMSINV(B608)*SQRT(Inputs!$B$10*Inputs!$B$11),0))</f>
        <v>524</v>
      </c>
      <c r="D608" s="52">
        <f ca="1">C608*Inputs!$B$12</f>
        <v>62880000</v>
      </c>
    </row>
    <row r="609" spans="1:4" ht="13.5" customHeight="1" x14ac:dyDescent="0.3">
      <c r="A609" s="46">
        <v>605</v>
      </c>
      <c r="B609" s="47">
        <f t="shared" ca="1" si="9"/>
        <v>0.31901878143606621</v>
      </c>
      <c r="C609" s="48">
        <f t="array" aca="1" ref="C609" ca="1">MAX(0,ROUND(Inputs!$B$10*Inputs!$B$11+NORMSINV(B609)*SQRT(Inputs!$B$10*Inputs!$B$11),0))</f>
        <v>489</v>
      </c>
      <c r="D609" s="49">
        <f ca="1">C609*Inputs!$B$12</f>
        <v>58680000</v>
      </c>
    </row>
    <row r="610" spans="1:4" ht="13.5" customHeight="1" x14ac:dyDescent="0.3">
      <c r="A610" s="50">
        <v>606</v>
      </c>
      <c r="B610" s="51">
        <f t="shared" ca="1" si="9"/>
        <v>0.42276334427632023</v>
      </c>
      <c r="C610" s="48">
        <f t="array" aca="1" ref="C610" ca="1">MAX(0,ROUND(Inputs!$B$10*Inputs!$B$11+NORMSINV(B610)*SQRT(Inputs!$B$10*Inputs!$B$11),0))</f>
        <v>496</v>
      </c>
      <c r="D610" s="52">
        <f ca="1">C610*Inputs!$B$12</f>
        <v>59520000</v>
      </c>
    </row>
    <row r="611" spans="1:4" ht="13.5" customHeight="1" x14ac:dyDescent="0.3">
      <c r="A611" s="46">
        <v>607</v>
      </c>
      <c r="B611" s="47">
        <f t="shared" ca="1" si="9"/>
        <v>0.11768094407872698</v>
      </c>
      <c r="C611" s="48">
        <f t="array" aca="1" ref="C611" ca="1">MAX(0,ROUND(Inputs!$B$10*Inputs!$B$11+NORMSINV(B611)*SQRT(Inputs!$B$10*Inputs!$B$11),0))</f>
        <v>473</v>
      </c>
      <c r="D611" s="49">
        <f ca="1">C611*Inputs!$B$12</f>
        <v>56760000</v>
      </c>
    </row>
    <row r="612" spans="1:4" ht="13.5" customHeight="1" x14ac:dyDescent="0.3">
      <c r="A612" s="50">
        <v>608</v>
      </c>
      <c r="B612" s="51">
        <f t="shared" ca="1" si="9"/>
        <v>0.9926549922805632</v>
      </c>
      <c r="C612" s="48">
        <f t="array" aca="1" ref="C612" ca="1">MAX(0,ROUND(Inputs!$B$10*Inputs!$B$11+NORMSINV(B612)*SQRT(Inputs!$B$10*Inputs!$B$11),0))</f>
        <v>555</v>
      </c>
      <c r="D612" s="52">
        <f ca="1">C612*Inputs!$B$12</f>
        <v>66600000</v>
      </c>
    </row>
    <row r="613" spans="1:4" ht="13.5" customHeight="1" x14ac:dyDescent="0.3">
      <c r="A613" s="46">
        <v>609</v>
      </c>
      <c r="B613" s="47">
        <f t="shared" ca="1" si="9"/>
        <v>0.77115973309415364</v>
      </c>
      <c r="C613" s="48">
        <f t="array" aca="1" ref="C613" ca="1">MAX(0,ROUND(Inputs!$B$10*Inputs!$B$11+NORMSINV(B613)*SQRT(Inputs!$B$10*Inputs!$B$11),0))</f>
        <v>517</v>
      </c>
      <c r="D613" s="49">
        <f ca="1">C613*Inputs!$B$12</f>
        <v>62040000</v>
      </c>
    </row>
    <row r="614" spans="1:4" ht="13.5" customHeight="1" x14ac:dyDescent="0.3">
      <c r="A614" s="50">
        <v>610</v>
      </c>
      <c r="B614" s="51">
        <f t="shared" ca="1" si="9"/>
        <v>0.12041489985556963</v>
      </c>
      <c r="C614" s="48">
        <f t="array" aca="1" ref="C614" ca="1">MAX(0,ROUND(Inputs!$B$10*Inputs!$B$11+NORMSINV(B614)*SQRT(Inputs!$B$10*Inputs!$B$11),0))</f>
        <v>474</v>
      </c>
      <c r="D614" s="52">
        <f ca="1">C614*Inputs!$B$12</f>
        <v>56880000</v>
      </c>
    </row>
    <row r="615" spans="1:4" ht="13.5" customHeight="1" x14ac:dyDescent="0.3">
      <c r="A615" s="46">
        <v>611</v>
      </c>
      <c r="B615" s="47">
        <f t="shared" ca="1" si="9"/>
        <v>0.92706247403599407</v>
      </c>
      <c r="C615" s="48">
        <f t="array" aca="1" ref="C615" ca="1">MAX(0,ROUND(Inputs!$B$10*Inputs!$B$11+NORMSINV(B615)*SQRT(Inputs!$B$10*Inputs!$B$11),0))</f>
        <v>533</v>
      </c>
      <c r="D615" s="49">
        <f ca="1">C615*Inputs!$B$12</f>
        <v>63960000</v>
      </c>
    </row>
    <row r="616" spans="1:4" ht="13.5" customHeight="1" x14ac:dyDescent="0.3">
      <c r="A616" s="50">
        <v>612</v>
      </c>
      <c r="B616" s="51">
        <f t="shared" ca="1" si="9"/>
        <v>0.97527772312919159</v>
      </c>
      <c r="C616" s="48">
        <f t="array" aca="1" ref="C616" ca="1">MAX(0,ROUND(Inputs!$B$10*Inputs!$B$11+NORMSINV(B616)*SQRT(Inputs!$B$10*Inputs!$B$11),0))</f>
        <v>544</v>
      </c>
      <c r="D616" s="52">
        <f ca="1">C616*Inputs!$B$12</f>
        <v>65280000</v>
      </c>
    </row>
    <row r="617" spans="1:4" ht="13.5" customHeight="1" x14ac:dyDescent="0.3">
      <c r="A617" s="46">
        <v>613</v>
      </c>
      <c r="B617" s="47">
        <f t="shared" ca="1" si="9"/>
        <v>0.27794413219388503</v>
      </c>
      <c r="C617" s="48">
        <f t="array" aca="1" ref="C617" ca="1">MAX(0,ROUND(Inputs!$B$10*Inputs!$B$11+NORMSINV(B617)*SQRT(Inputs!$B$10*Inputs!$B$11),0))</f>
        <v>487</v>
      </c>
      <c r="D617" s="49">
        <f ca="1">C617*Inputs!$B$12</f>
        <v>58440000</v>
      </c>
    </row>
    <row r="618" spans="1:4" ht="13.5" customHeight="1" x14ac:dyDescent="0.3">
      <c r="A618" s="50">
        <v>614</v>
      </c>
      <c r="B618" s="51">
        <f t="shared" ca="1" si="9"/>
        <v>0.24403556680859562</v>
      </c>
      <c r="C618" s="48">
        <f t="array" aca="1" ref="C618" ca="1">MAX(0,ROUND(Inputs!$B$10*Inputs!$B$11+NORMSINV(B618)*SQRT(Inputs!$B$10*Inputs!$B$11),0))</f>
        <v>484</v>
      </c>
      <c r="D618" s="52">
        <f ca="1">C618*Inputs!$B$12</f>
        <v>58080000</v>
      </c>
    </row>
    <row r="619" spans="1:4" ht="13.5" customHeight="1" x14ac:dyDescent="0.3">
      <c r="A619" s="46">
        <v>615</v>
      </c>
      <c r="B619" s="47">
        <f t="shared" ca="1" si="9"/>
        <v>0.84611658569673631</v>
      </c>
      <c r="C619" s="48">
        <f t="array" aca="1" ref="C619" ca="1">MAX(0,ROUND(Inputs!$B$10*Inputs!$B$11+NORMSINV(B619)*SQRT(Inputs!$B$10*Inputs!$B$11),0))</f>
        <v>523</v>
      </c>
      <c r="D619" s="49">
        <f ca="1">C619*Inputs!$B$12</f>
        <v>62760000</v>
      </c>
    </row>
    <row r="620" spans="1:4" ht="13.5" customHeight="1" x14ac:dyDescent="0.3">
      <c r="A620" s="50">
        <v>616</v>
      </c>
      <c r="B620" s="51">
        <f t="shared" ca="1" si="9"/>
        <v>0.56533487255827586</v>
      </c>
      <c r="C620" s="48">
        <f t="array" aca="1" ref="C620" ca="1">MAX(0,ROUND(Inputs!$B$10*Inputs!$B$11+NORMSINV(B620)*SQRT(Inputs!$B$10*Inputs!$B$11),0))</f>
        <v>504</v>
      </c>
      <c r="D620" s="52">
        <f ca="1">C620*Inputs!$B$12</f>
        <v>60480000</v>
      </c>
    </row>
    <row r="621" spans="1:4" ht="13.5" customHeight="1" x14ac:dyDescent="0.3">
      <c r="A621" s="46">
        <v>617</v>
      </c>
      <c r="B621" s="47">
        <f t="shared" ca="1" si="9"/>
        <v>1.9752818761422652E-2</v>
      </c>
      <c r="C621" s="48">
        <f t="array" aca="1" ref="C621" ca="1">MAX(0,ROUND(Inputs!$B$10*Inputs!$B$11+NORMSINV(B621)*SQRT(Inputs!$B$10*Inputs!$B$11),0))</f>
        <v>454</v>
      </c>
      <c r="D621" s="49">
        <f ca="1">C621*Inputs!$B$12</f>
        <v>54480000</v>
      </c>
    </row>
    <row r="622" spans="1:4" ht="13.5" customHeight="1" x14ac:dyDescent="0.3">
      <c r="A622" s="50">
        <v>618</v>
      </c>
      <c r="B622" s="51">
        <f t="shared" ca="1" si="9"/>
        <v>0.47928271478532947</v>
      </c>
      <c r="C622" s="48">
        <f t="array" aca="1" ref="C622" ca="1">MAX(0,ROUND(Inputs!$B$10*Inputs!$B$11+NORMSINV(B622)*SQRT(Inputs!$B$10*Inputs!$B$11),0))</f>
        <v>499</v>
      </c>
      <c r="D622" s="52">
        <f ca="1">C622*Inputs!$B$12</f>
        <v>59880000</v>
      </c>
    </row>
    <row r="623" spans="1:4" ht="13.5" customHeight="1" x14ac:dyDescent="0.3">
      <c r="A623" s="46">
        <v>619</v>
      </c>
      <c r="B623" s="47">
        <f t="shared" ca="1" si="9"/>
        <v>0.85059652935979746</v>
      </c>
      <c r="C623" s="48">
        <f t="array" aca="1" ref="C623" ca="1">MAX(0,ROUND(Inputs!$B$10*Inputs!$B$11+NORMSINV(B623)*SQRT(Inputs!$B$10*Inputs!$B$11),0))</f>
        <v>523</v>
      </c>
      <c r="D623" s="49">
        <f ca="1">C623*Inputs!$B$12</f>
        <v>62760000</v>
      </c>
    </row>
    <row r="624" spans="1:4" ht="13.5" customHeight="1" x14ac:dyDescent="0.3">
      <c r="A624" s="50">
        <v>620</v>
      </c>
      <c r="B624" s="51">
        <f t="shared" ca="1" si="9"/>
        <v>0.29227017932973509</v>
      </c>
      <c r="C624" s="48">
        <f t="array" aca="1" ref="C624" ca="1">MAX(0,ROUND(Inputs!$B$10*Inputs!$B$11+NORMSINV(B624)*SQRT(Inputs!$B$10*Inputs!$B$11),0))</f>
        <v>488</v>
      </c>
      <c r="D624" s="52">
        <f ca="1">C624*Inputs!$B$12</f>
        <v>58560000</v>
      </c>
    </row>
    <row r="625" spans="1:4" ht="13.5" customHeight="1" x14ac:dyDescent="0.3">
      <c r="A625" s="46">
        <v>621</v>
      </c>
      <c r="B625" s="47">
        <f t="shared" ca="1" si="9"/>
        <v>0.58906056054869393</v>
      </c>
      <c r="C625" s="48">
        <f t="array" aca="1" ref="C625" ca="1">MAX(0,ROUND(Inputs!$B$10*Inputs!$B$11+NORMSINV(B625)*SQRT(Inputs!$B$10*Inputs!$B$11),0))</f>
        <v>505</v>
      </c>
      <c r="D625" s="49">
        <f ca="1">C625*Inputs!$B$12</f>
        <v>60600000</v>
      </c>
    </row>
    <row r="626" spans="1:4" ht="13.5" customHeight="1" x14ac:dyDescent="0.3">
      <c r="A626" s="50">
        <v>622</v>
      </c>
      <c r="B626" s="51">
        <f t="shared" ca="1" si="9"/>
        <v>0.21523303160878449</v>
      </c>
      <c r="C626" s="48">
        <f t="array" aca="1" ref="C626" ca="1">MAX(0,ROUND(Inputs!$B$10*Inputs!$B$11+NORMSINV(B626)*SQRT(Inputs!$B$10*Inputs!$B$11),0))</f>
        <v>482</v>
      </c>
      <c r="D626" s="52">
        <f ca="1">C626*Inputs!$B$12</f>
        <v>57840000</v>
      </c>
    </row>
    <row r="627" spans="1:4" ht="13.5" customHeight="1" x14ac:dyDescent="0.3">
      <c r="A627" s="46">
        <v>623</v>
      </c>
      <c r="B627" s="47">
        <f t="shared" ca="1" si="9"/>
        <v>0.6122277794837333</v>
      </c>
      <c r="C627" s="48">
        <f t="array" aca="1" ref="C627" ca="1">MAX(0,ROUND(Inputs!$B$10*Inputs!$B$11+NORMSINV(B627)*SQRT(Inputs!$B$10*Inputs!$B$11),0))</f>
        <v>506</v>
      </c>
      <c r="D627" s="49">
        <f ca="1">C627*Inputs!$B$12</f>
        <v>60720000</v>
      </c>
    </row>
    <row r="628" spans="1:4" ht="13.5" customHeight="1" x14ac:dyDescent="0.3">
      <c r="A628" s="50">
        <v>624</v>
      </c>
      <c r="B628" s="51">
        <f t="shared" ca="1" si="9"/>
        <v>0.43449780120485604</v>
      </c>
      <c r="C628" s="48">
        <f t="array" aca="1" ref="C628" ca="1">MAX(0,ROUND(Inputs!$B$10*Inputs!$B$11+NORMSINV(B628)*SQRT(Inputs!$B$10*Inputs!$B$11),0))</f>
        <v>496</v>
      </c>
      <c r="D628" s="52">
        <f ca="1">C628*Inputs!$B$12</f>
        <v>59520000</v>
      </c>
    </row>
    <row r="629" spans="1:4" ht="13.5" customHeight="1" x14ac:dyDescent="0.3">
      <c r="A629" s="46">
        <v>625</v>
      </c>
      <c r="B629" s="47">
        <f t="shared" ca="1" si="9"/>
        <v>0.37505179298020674</v>
      </c>
      <c r="C629" s="48">
        <f t="array" aca="1" ref="C629" ca="1">MAX(0,ROUND(Inputs!$B$10*Inputs!$B$11+NORMSINV(B629)*SQRT(Inputs!$B$10*Inputs!$B$11),0))</f>
        <v>493</v>
      </c>
      <c r="D629" s="49">
        <f ca="1">C629*Inputs!$B$12</f>
        <v>59160000</v>
      </c>
    </row>
    <row r="630" spans="1:4" ht="13.5" customHeight="1" x14ac:dyDescent="0.3">
      <c r="A630" s="50">
        <v>626</v>
      </c>
      <c r="B630" s="51">
        <f t="shared" ca="1" si="9"/>
        <v>0.53881519789598042</v>
      </c>
      <c r="C630" s="48">
        <f t="array" aca="1" ref="C630" ca="1">MAX(0,ROUND(Inputs!$B$10*Inputs!$B$11+NORMSINV(B630)*SQRT(Inputs!$B$10*Inputs!$B$11),0))</f>
        <v>502</v>
      </c>
      <c r="D630" s="52">
        <f ca="1">C630*Inputs!$B$12</f>
        <v>60240000</v>
      </c>
    </row>
    <row r="631" spans="1:4" ht="13.5" customHeight="1" x14ac:dyDescent="0.3">
      <c r="A631" s="46">
        <v>627</v>
      </c>
      <c r="B631" s="47">
        <f t="shared" ca="1" si="9"/>
        <v>0.43752268579760956</v>
      </c>
      <c r="C631" s="48">
        <f t="array" aca="1" ref="C631" ca="1">MAX(0,ROUND(Inputs!$B$10*Inputs!$B$11+NORMSINV(B631)*SQRT(Inputs!$B$10*Inputs!$B$11),0))</f>
        <v>496</v>
      </c>
      <c r="D631" s="49">
        <f ca="1">C631*Inputs!$B$12</f>
        <v>59520000</v>
      </c>
    </row>
    <row r="632" spans="1:4" ht="13.5" customHeight="1" x14ac:dyDescent="0.3">
      <c r="A632" s="50">
        <v>628</v>
      </c>
      <c r="B632" s="51">
        <f t="shared" ca="1" si="9"/>
        <v>0.6130231168157686</v>
      </c>
      <c r="C632" s="48">
        <f t="array" aca="1" ref="C632" ca="1">MAX(0,ROUND(Inputs!$B$10*Inputs!$B$11+NORMSINV(B632)*SQRT(Inputs!$B$10*Inputs!$B$11),0))</f>
        <v>506</v>
      </c>
      <c r="D632" s="52">
        <f ca="1">C632*Inputs!$B$12</f>
        <v>60720000</v>
      </c>
    </row>
    <row r="633" spans="1:4" ht="13.5" customHeight="1" x14ac:dyDescent="0.3">
      <c r="A633" s="46">
        <v>629</v>
      </c>
      <c r="B633" s="47">
        <f t="shared" ca="1" si="9"/>
        <v>0.1833572978523077</v>
      </c>
      <c r="C633" s="48">
        <f t="array" aca="1" ref="C633" ca="1">MAX(0,ROUND(Inputs!$B$10*Inputs!$B$11+NORMSINV(B633)*SQRT(Inputs!$B$10*Inputs!$B$11),0))</f>
        <v>480</v>
      </c>
      <c r="D633" s="49">
        <f ca="1">C633*Inputs!$B$12</f>
        <v>57600000</v>
      </c>
    </row>
    <row r="634" spans="1:4" ht="13.5" customHeight="1" x14ac:dyDescent="0.3">
      <c r="A634" s="50">
        <v>630</v>
      </c>
      <c r="B634" s="51">
        <f t="shared" ca="1" si="9"/>
        <v>0.65851421326958748</v>
      </c>
      <c r="C634" s="48">
        <f t="array" aca="1" ref="C634" ca="1">MAX(0,ROUND(Inputs!$B$10*Inputs!$B$11+NORMSINV(B634)*SQRT(Inputs!$B$10*Inputs!$B$11),0))</f>
        <v>509</v>
      </c>
      <c r="D634" s="52">
        <f ca="1">C634*Inputs!$B$12</f>
        <v>61080000</v>
      </c>
    </row>
    <row r="635" spans="1:4" ht="13.5" customHeight="1" x14ac:dyDescent="0.3">
      <c r="A635" s="46">
        <v>631</v>
      </c>
      <c r="B635" s="47">
        <f t="shared" ca="1" si="9"/>
        <v>0.14352719599803521</v>
      </c>
      <c r="C635" s="48">
        <f t="array" aca="1" ref="C635" ca="1">MAX(0,ROUND(Inputs!$B$10*Inputs!$B$11+NORMSINV(B635)*SQRT(Inputs!$B$10*Inputs!$B$11),0))</f>
        <v>476</v>
      </c>
      <c r="D635" s="49">
        <f ca="1">C635*Inputs!$B$12</f>
        <v>57120000</v>
      </c>
    </row>
    <row r="636" spans="1:4" ht="13.5" customHeight="1" x14ac:dyDescent="0.3">
      <c r="A636" s="50">
        <v>632</v>
      </c>
      <c r="B636" s="51">
        <f t="shared" ca="1" si="9"/>
        <v>0.19146824212857316</v>
      </c>
      <c r="C636" s="48">
        <f t="array" aca="1" ref="C636" ca="1">MAX(0,ROUND(Inputs!$B$10*Inputs!$B$11+NORMSINV(B636)*SQRT(Inputs!$B$10*Inputs!$B$11),0))</f>
        <v>480</v>
      </c>
      <c r="D636" s="52">
        <f ca="1">C636*Inputs!$B$12</f>
        <v>57600000</v>
      </c>
    </row>
    <row r="637" spans="1:4" ht="13.5" customHeight="1" x14ac:dyDescent="0.3">
      <c r="A637" s="46">
        <v>633</v>
      </c>
      <c r="B637" s="47">
        <f t="shared" ca="1" si="9"/>
        <v>0.75989982041309978</v>
      </c>
      <c r="C637" s="48">
        <f t="array" aca="1" ref="C637" ca="1">MAX(0,ROUND(Inputs!$B$10*Inputs!$B$11+NORMSINV(B637)*SQRT(Inputs!$B$10*Inputs!$B$11),0))</f>
        <v>516</v>
      </c>
      <c r="D637" s="49">
        <f ca="1">C637*Inputs!$B$12</f>
        <v>61920000</v>
      </c>
    </row>
    <row r="638" spans="1:4" ht="13.5" customHeight="1" x14ac:dyDescent="0.3">
      <c r="A638" s="50">
        <v>634</v>
      </c>
      <c r="B638" s="51">
        <f t="shared" ca="1" si="9"/>
        <v>0.56590176643551593</v>
      </c>
      <c r="C638" s="48">
        <f t="array" aca="1" ref="C638" ca="1">MAX(0,ROUND(Inputs!$B$10*Inputs!$B$11+NORMSINV(B638)*SQRT(Inputs!$B$10*Inputs!$B$11),0))</f>
        <v>504</v>
      </c>
      <c r="D638" s="52">
        <f ca="1">C638*Inputs!$B$12</f>
        <v>60480000</v>
      </c>
    </row>
    <row r="639" spans="1:4" ht="13.5" customHeight="1" x14ac:dyDescent="0.3">
      <c r="A639" s="46">
        <v>635</v>
      </c>
      <c r="B639" s="47">
        <f t="shared" ca="1" si="9"/>
        <v>0.16179192297795897</v>
      </c>
      <c r="C639" s="48">
        <f t="array" aca="1" ref="C639" ca="1">MAX(0,ROUND(Inputs!$B$10*Inputs!$B$11+NORMSINV(B639)*SQRT(Inputs!$B$10*Inputs!$B$11),0))</f>
        <v>478</v>
      </c>
      <c r="D639" s="49">
        <f ca="1">C639*Inputs!$B$12</f>
        <v>57360000</v>
      </c>
    </row>
    <row r="640" spans="1:4" ht="13.5" customHeight="1" x14ac:dyDescent="0.3">
      <c r="A640" s="50">
        <v>636</v>
      </c>
      <c r="B640" s="51">
        <f t="shared" ca="1" si="9"/>
        <v>0.71200450578171093</v>
      </c>
      <c r="C640" s="48">
        <f t="array" aca="1" ref="C640" ca="1">MAX(0,ROUND(Inputs!$B$10*Inputs!$B$11+NORMSINV(B640)*SQRT(Inputs!$B$10*Inputs!$B$11),0))</f>
        <v>513</v>
      </c>
      <c r="D640" s="52">
        <f ca="1">C640*Inputs!$B$12</f>
        <v>61560000</v>
      </c>
    </row>
    <row r="641" spans="1:4" ht="13.5" customHeight="1" x14ac:dyDescent="0.3">
      <c r="A641" s="46">
        <v>637</v>
      </c>
      <c r="B641" s="47">
        <f t="shared" ca="1" si="9"/>
        <v>0.68482534767284609</v>
      </c>
      <c r="C641" s="48">
        <f t="array" aca="1" ref="C641" ca="1">MAX(0,ROUND(Inputs!$B$10*Inputs!$B$11+NORMSINV(B641)*SQRT(Inputs!$B$10*Inputs!$B$11),0))</f>
        <v>511</v>
      </c>
      <c r="D641" s="49">
        <f ca="1">C641*Inputs!$B$12</f>
        <v>61320000</v>
      </c>
    </row>
    <row r="642" spans="1:4" ht="13.5" customHeight="1" x14ac:dyDescent="0.3">
      <c r="A642" s="50">
        <v>638</v>
      </c>
      <c r="B642" s="51">
        <f t="shared" ca="1" si="9"/>
        <v>0.47672256368914356</v>
      </c>
      <c r="C642" s="48">
        <f t="array" aca="1" ref="C642" ca="1">MAX(0,ROUND(Inputs!$B$10*Inputs!$B$11+NORMSINV(B642)*SQRT(Inputs!$B$10*Inputs!$B$11),0))</f>
        <v>499</v>
      </c>
      <c r="D642" s="52">
        <f ca="1">C642*Inputs!$B$12</f>
        <v>59880000</v>
      </c>
    </row>
    <row r="643" spans="1:4" ht="13.5" customHeight="1" x14ac:dyDescent="0.3">
      <c r="A643" s="46">
        <v>639</v>
      </c>
      <c r="B643" s="47">
        <f t="shared" ca="1" si="9"/>
        <v>0.57211924023182836</v>
      </c>
      <c r="C643" s="48">
        <f t="array" aca="1" ref="C643" ca="1">MAX(0,ROUND(Inputs!$B$10*Inputs!$B$11+NORMSINV(B643)*SQRT(Inputs!$B$10*Inputs!$B$11),0))</f>
        <v>504</v>
      </c>
      <c r="D643" s="49">
        <f ca="1">C643*Inputs!$B$12</f>
        <v>60480000</v>
      </c>
    </row>
    <row r="644" spans="1:4" ht="13.5" customHeight="1" x14ac:dyDescent="0.3">
      <c r="A644" s="50">
        <v>640</v>
      </c>
      <c r="B644" s="51">
        <f t="shared" ca="1" si="9"/>
        <v>0.33382861756622573</v>
      </c>
      <c r="C644" s="48">
        <f t="array" aca="1" ref="C644" ca="1">MAX(0,ROUND(Inputs!$B$10*Inputs!$B$11+NORMSINV(B644)*SQRT(Inputs!$B$10*Inputs!$B$11),0))</f>
        <v>490</v>
      </c>
      <c r="D644" s="52">
        <f ca="1">C644*Inputs!$B$12</f>
        <v>58800000</v>
      </c>
    </row>
    <row r="645" spans="1:4" ht="13.5" customHeight="1" x14ac:dyDescent="0.3">
      <c r="A645" s="46">
        <v>641</v>
      </c>
      <c r="B645" s="47">
        <f t="shared" ref="B645:B708" ca="1" si="10">RAND()</f>
        <v>0.888247144589841</v>
      </c>
      <c r="C645" s="48">
        <f t="array" aca="1" ref="C645" ca="1">MAX(0,ROUND(Inputs!$B$10*Inputs!$B$11+NORMSINV(B645)*SQRT(Inputs!$B$10*Inputs!$B$11),0))</f>
        <v>527</v>
      </c>
      <c r="D645" s="49">
        <f ca="1">C645*Inputs!$B$12</f>
        <v>63240000</v>
      </c>
    </row>
    <row r="646" spans="1:4" ht="13.5" customHeight="1" x14ac:dyDescent="0.3">
      <c r="A646" s="50">
        <v>642</v>
      </c>
      <c r="B646" s="51">
        <f t="shared" ca="1" si="10"/>
        <v>0.22488229191719999</v>
      </c>
      <c r="C646" s="48">
        <f t="array" aca="1" ref="C646" ca="1">MAX(0,ROUND(Inputs!$B$10*Inputs!$B$11+NORMSINV(B646)*SQRT(Inputs!$B$10*Inputs!$B$11),0))</f>
        <v>483</v>
      </c>
      <c r="D646" s="52">
        <f ca="1">C646*Inputs!$B$12</f>
        <v>57960000</v>
      </c>
    </row>
    <row r="647" spans="1:4" ht="13.5" customHeight="1" x14ac:dyDescent="0.3">
      <c r="A647" s="46">
        <v>643</v>
      </c>
      <c r="B647" s="47">
        <f t="shared" ca="1" si="10"/>
        <v>0.31005959346144574</v>
      </c>
      <c r="C647" s="48">
        <f t="array" aca="1" ref="C647" ca="1">MAX(0,ROUND(Inputs!$B$10*Inputs!$B$11+NORMSINV(B647)*SQRT(Inputs!$B$10*Inputs!$B$11),0))</f>
        <v>489</v>
      </c>
      <c r="D647" s="49">
        <f ca="1">C647*Inputs!$B$12</f>
        <v>58680000</v>
      </c>
    </row>
    <row r="648" spans="1:4" ht="13.5" customHeight="1" x14ac:dyDescent="0.3">
      <c r="A648" s="50">
        <v>644</v>
      </c>
      <c r="B648" s="51">
        <f t="shared" ca="1" si="10"/>
        <v>0.33559629561193327</v>
      </c>
      <c r="C648" s="48">
        <f t="array" aca="1" ref="C648" ca="1">MAX(0,ROUND(Inputs!$B$10*Inputs!$B$11+NORMSINV(B648)*SQRT(Inputs!$B$10*Inputs!$B$11),0))</f>
        <v>491</v>
      </c>
      <c r="D648" s="52">
        <f ca="1">C648*Inputs!$B$12</f>
        <v>58920000</v>
      </c>
    </row>
    <row r="649" spans="1:4" ht="13.5" customHeight="1" x14ac:dyDescent="0.3">
      <c r="A649" s="46">
        <v>645</v>
      </c>
      <c r="B649" s="47">
        <f t="shared" ca="1" si="10"/>
        <v>0.5156604182594845</v>
      </c>
      <c r="C649" s="48">
        <f t="array" aca="1" ref="C649" ca="1">MAX(0,ROUND(Inputs!$B$10*Inputs!$B$11+NORMSINV(B649)*SQRT(Inputs!$B$10*Inputs!$B$11),0))</f>
        <v>501</v>
      </c>
      <c r="D649" s="49">
        <f ca="1">C649*Inputs!$B$12</f>
        <v>60120000</v>
      </c>
    </row>
    <row r="650" spans="1:4" ht="13.5" customHeight="1" x14ac:dyDescent="0.3">
      <c r="A650" s="50">
        <v>646</v>
      </c>
      <c r="B650" s="51">
        <f t="shared" ca="1" si="10"/>
        <v>0.33011563725047777</v>
      </c>
      <c r="C650" s="48">
        <f t="array" aca="1" ref="C650" ca="1">MAX(0,ROUND(Inputs!$B$10*Inputs!$B$11+NORMSINV(B650)*SQRT(Inputs!$B$10*Inputs!$B$11),0))</f>
        <v>490</v>
      </c>
      <c r="D650" s="52">
        <f ca="1">C650*Inputs!$B$12</f>
        <v>58800000</v>
      </c>
    </row>
    <row r="651" spans="1:4" ht="13.5" customHeight="1" x14ac:dyDescent="0.3">
      <c r="A651" s="46">
        <v>647</v>
      </c>
      <c r="B651" s="47">
        <f t="shared" ca="1" si="10"/>
        <v>0.13729053442439987</v>
      </c>
      <c r="C651" s="48">
        <f t="array" aca="1" ref="C651" ca="1">MAX(0,ROUND(Inputs!$B$10*Inputs!$B$11+NORMSINV(B651)*SQRT(Inputs!$B$10*Inputs!$B$11),0))</f>
        <v>476</v>
      </c>
      <c r="D651" s="49">
        <f ca="1">C651*Inputs!$B$12</f>
        <v>57120000</v>
      </c>
    </row>
    <row r="652" spans="1:4" ht="13.5" customHeight="1" x14ac:dyDescent="0.3">
      <c r="A652" s="50">
        <v>648</v>
      </c>
      <c r="B652" s="51">
        <f t="shared" ca="1" si="10"/>
        <v>0.16467560045331953</v>
      </c>
      <c r="C652" s="48">
        <f t="array" aca="1" ref="C652" ca="1">MAX(0,ROUND(Inputs!$B$10*Inputs!$B$11+NORMSINV(B652)*SQRT(Inputs!$B$10*Inputs!$B$11),0))</f>
        <v>478</v>
      </c>
      <c r="D652" s="52">
        <f ca="1">C652*Inputs!$B$12</f>
        <v>57360000</v>
      </c>
    </row>
    <row r="653" spans="1:4" ht="13.5" customHeight="1" x14ac:dyDescent="0.3">
      <c r="A653" s="46">
        <v>649</v>
      </c>
      <c r="B653" s="47">
        <f t="shared" ca="1" si="10"/>
        <v>0.60962219572096377</v>
      </c>
      <c r="C653" s="48">
        <f t="array" aca="1" ref="C653" ca="1">MAX(0,ROUND(Inputs!$B$10*Inputs!$B$11+NORMSINV(B653)*SQRT(Inputs!$B$10*Inputs!$B$11),0))</f>
        <v>506</v>
      </c>
      <c r="D653" s="49">
        <f ca="1">C653*Inputs!$B$12</f>
        <v>60720000</v>
      </c>
    </row>
    <row r="654" spans="1:4" ht="13.5" customHeight="1" x14ac:dyDescent="0.3">
      <c r="A654" s="50">
        <v>650</v>
      </c>
      <c r="B654" s="51">
        <f t="shared" ca="1" si="10"/>
        <v>0.61399160808931574</v>
      </c>
      <c r="C654" s="48">
        <f t="array" aca="1" ref="C654" ca="1">MAX(0,ROUND(Inputs!$B$10*Inputs!$B$11+NORMSINV(B654)*SQRT(Inputs!$B$10*Inputs!$B$11),0))</f>
        <v>506</v>
      </c>
      <c r="D654" s="52">
        <f ca="1">C654*Inputs!$B$12</f>
        <v>60720000</v>
      </c>
    </row>
    <row r="655" spans="1:4" ht="13.5" customHeight="1" x14ac:dyDescent="0.3">
      <c r="A655" s="46">
        <v>651</v>
      </c>
      <c r="B655" s="47">
        <f t="shared" ca="1" si="10"/>
        <v>0.97322180725345708</v>
      </c>
      <c r="C655" s="48">
        <f t="array" aca="1" ref="C655" ca="1">MAX(0,ROUND(Inputs!$B$10*Inputs!$B$11+NORMSINV(B655)*SQRT(Inputs!$B$10*Inputs!$B$11),0))</f>
        <v>543</v>
      </c>
      <c r="D655" s="49">
        <f ca="1">C655*Inputs!$B$12</f>
        <v>65160000</v>
      </c>
    </row>
    <row r="656" spans="1:4" ht="13.5" customHeight="1" x14ac:dyDescent="0.3">
      <c r="A656" s="50">
        <v>652</v>
      </c>
      <c r="B656" s="51">
        <f t="shared" ca="1" si="10"/>
        <v>0.99447498592129435</v>
      </c>
      <c r="C656" s="48">
        <f t="array" aca="1" ref="C656" ca="1">MAX(0,ROUND(Inputs!$B$10*Inputs!$B$11+NORMSINV(B656)*SQRT(Inputs!$B$10*Inputs!$B$11),0))</f>
        <v>557</v>
      </c>
      <c r="D656" s="52">
        <f ca="1">C656*Inputs!$B$12</f>
        <v>66840000</v>
      </c>
    </row>
    <row r="657" spans="1:4" ht="13.5" customHeight="1" x14ac:dyDescent="0.3">
      <c r="A657" s="46">
        <v>653</v>
      </c>
      <c r="B657" s="47">
        <f t="shared" ca="1" si="10"/>
        <v>0.6237744674418999</v>
      </c>
      <c r="C657" s="48">
        <f t="array" aca="1" ref="C657" ca="1">MAX(0,ROUND(Inputs!$B$10*Inputs!$B$11+NORMSINV(B657)*SQRT(Inputs!$B$10*Inputs!$B$11),0))</f>
        <v>507</v>
      </c>
      <c r="D657" s="49">
        <f ca="1">C657*Inputs!$B$12</f>
        <v>60840000</v>
      </c>
    </row>
    <row r="658" spans="1:4" ht="13.5" customHeight="1" x14ac:dyDescent="0.3">
      <c r="A658" s="50">
        <v>654</v>
      </c>
      <c r="B658" s="51">
        <f t="shared" ca="1" si="10"/>
        <v>0.79555364709454379</v>
      </c>
      <c r="C658" s="48">
        <f t="array" aca="1" ref="C658" ca="1">MAX(0,ROUND(Inputs!$B$10*Inputs!$B$11+NORMSINV(B658)*SQRT(Inputs!$B$10*Inputs!$B$11),0))</f>
        <v>518</v>
      </c>
      <c r="D658" s="52">
        <f ca="1">C658*Inputs!$B$12</f>
        <v>62160000</v>
      </c>
    </row>
    <row r="659" spans="1:4" ht="13.5" customHeight="1" x14ac:dyDescent="0.3">
      <c r="A659" s="46">
        <v>655</v>
      </c>
      <c r="B659" s="47">
        <f t="shared" ca="1" si="10"/>
        <v>0.36313077251285064</v>
      </c>
      <c r="C659" s="48">
        <f t="array" aca="1" ref="C659" ca="1">MAX(0,ROUND(Inputs!$B$10*Inputs!$B$11+NORMSINV(B659)*SQRT(Inputs!$B$10*Inputs!$B$11),0))</f>
        <v>492</v>
      </c>
      <c r="D659" s="49">
        <f ca="1">C659*Inputs!$B$12</f>
        <v>59040000</v>
      </c>
    </row>
    <row r="660" spans="1:4" ht="13.5" customHeight="1" x14ac:dyDescent="0.3">
      <c r="A660" s="50">
        <v>656</v>
      </c>
      <c r="B660" s="51">
        <f t="shared" ca="1" si="10"/>
        <v>0.90815388848609413</v>
      </c>
      <c r="C660" s="48">
        <f t="array" aca="1" ref="C660" ca="1">MAX(0,ROUND(Inputs!$B$10*Inputs!$B$11+NORMSINV(B660)*SQRT(Inputs!$B$10*Inputs!$B$11),0))</f>
        <v>530</v>
      </c>
      <c r="D660" s="52">
        <f ca="1">C660*Inputs!$B$12</f>
        <v>63600000</v>
      </c>
    </row>
    <row r="661" spans="1:4" ht="13.5" customHeight="1" x14ac:dyDescent="0.3">
      <c r="A661" s="46">
        <v>657</v>
      </c>
      <c r="B661" s="47">
        <f t="shared" ca="1" si="10"/>
        <v>0.79109222981211136</v>
      </c>
      <c r="C661" s="48">
        <f t="array" aca="1" ref="C661" ca="1">MAX(0,ROUND(Inputs!$B$10*Inputs!$B$11+NORMSINV(B661)*SQRT(Inputs!$B$10*Inputs!$B$11),0))</f>
        <v>518</v>
      </c>
      <c r="D661" s="49">
        <f ca="1">C661*Inputs!$B$12</f>
        <v>62160000</v>
      </c>
    </row>
    <row r="662" spans="1:4" ht="13.5" customHeight="1" x14ac:dyDescent="0.3">
      <c r="A662" s="50">
        <v>658</v>
      </c>
      <c r="B662" s="51">
        <f t="shared" ca="1" si="10"/>
        <v>0.33311631894940907</v>
      </c>
      <c r="C662" s="48">
        <f t="array" aca="1" ref="C662" ca="1">MAX(0,ROUND(Inputs!$B$10*Inputs!$B$11+NORMSINV(B662)*SQRT(Inputs!$B$10*Inputs!$B$11),0))</f>
        <v>490</v>
      </c>
      <c r="D662" s="52">
        <f ca="1">C662*Inputs!$B$12</f>
        <v>58800000</v>
      </c>
    </row>
    <row r="663" spans="1:4" ht="13.5" customHeight="1" x14ac:dyDescent="0.3">
      <c r="A663" s="46">
        <v>659</v>
      </c>
      <c r="B663" s="47">
        <f t="shared" ca="1" si="10"/>
        <v>0.91762419055558575</v>
      </c>
      <c r="C663" s="48">
        <f t="array" aca="1" ref="C663" ca="1">MAX(0,ROUND(Inputs!$B$10*Inputs!$B$11+NORMSINV(B663)*SQRT(Inputs!$B$10*Inputs!$B$11),0))</f>
        <v>531</v>
      </c>
      <c r="D663" s="49">
        <f ca="1">C663*Inputs!$B$12</f>
        <v>63720000</v>
      </c>
    </row>
    <row r="664" spans="1:4" ht="13.5" customHeight="1" x14ac:dyDescent="0.3">
      <c r="A664" s="50">
        <v>660</v>
      </c>
      <c r="B664" s="51">
        <f t="shared" ca="1" si="10"/>
        <v>0.92396262975460908</v>
      </c>
      <c r="C664" s="48">
        <f t="array" aca="1" ref="C664" ca="1">MAX(0,ROUND(Inputs!$B$10*Inputs!$B$11+NORMSINV(B664)*SQRT(Inputs!$B$10*Inputs!$B$11),0))</f>
        <v>532</v>
      </c>
      <c r="D664" s="52">
        <f ca="1">C664*Inputs!$B$12</f>
        <v>63840000</v>
      </c>
    </row>
    <row r="665" spans="1:4" ht="13.5" customHeight="1" x14ac:dyDescent="0.3">
      <c r="A665" s="46">
        <v>661</v>
      </c>
      <c r="B665" s="47">
        <f t="shared" ca="1" si="10"/>
        <v>0.31274540980015142</v>
      </c>
      <c r="C665" s="48">
        <f t="array" aca="1" ref="C665" ca="1">MAX(0,ROUND(Inputs!$B$10*Inputs!$B$11+NORMSINV(B665)*SQRT(Inputs!$B$10*Inputs!$B$11),0))</f>
        <v>489</v>
      </c>
      <c r="D665" s="49">
        <f ca="1">C665*Inputs!$B$12</f>
        <v>58680000</v>
      </c>
    </row>
    <row r="666" spans="1:4" ht="13.5" customHeight="1" x14ac:dyDescent="0.3">
      <c r="A666" s="50">
        <v>662</v>
      </c>
      <c r="B666" s="51">
        <f t="shared" ca="1" si="10"/>
        <v>0.8217936192477916</v>
      </c>
      <c r="C666" s="48">
        <f t="array" aca="1" ref="C666" ca="1">MAX(0,ROUND(Inputs!$B$10*Inputs!$B$11+NORMSINV(B666)*SQRT(Inputs!$B$10*Inputs!$B$11),0))</f>
        <v>521</v>
      </c>
      <c r="D666" s="52">
        <f ca="1">C666*Inputs!$B$12</f>
        <v>62520000</v>
      </c>
    </row>
    <row r="667" spans="1:4" ht="13.5" customHeight="1" x14ac:dyDescent="0.3">
      <c r="A667" s="46">
        <v>663</v>
      </c>
      <c r="B667" s="47">
        <f t="shared" ca="1" si="10"/>
        <v>0.71675317917180803</v>
      </c>
      <c r="C667" s="48">
        <f t="array" aca="1" ref="C667" ca="1">MAX(0,ROUND(Inputs!$B$10*Inputs!$B$11+NORMSINV(B667)*SQRT(Inputs!$B$10*Inputs!$B$11),0))</f>
        <v>513</v>
      </c>
      <c r="D667" s="49">
        <f ca="1">C667*Inputs!$B$12</f>
        <v>61560000</v>
      </c>
    </row>
    <row r="668" spans="1:4" ht="13.5" customHeight="1" x14ac:dyDescent="0.3">
      <c r="A668" s="50">
        <v>664</v>
      </c>
      <c r="B668" s="51">
        <f t="shared" ca="1" si="10"/>
        <v>0.46122824892695025</v>
      </c>
      <c r="C668" s="48">
        <f t="array" aca="1" ref="C668" ca="1">MAX(0,ROUND(Inputs!$B$10*Inputs!$B$11+NORMSINV(B668)*SQRT(Inputs!$B$10*Inputs!$B$11),0))</f>
        <v>498</v>
      </c>
      <c r="D668" s="52">
        <f ca="1">C668*Inputs!$B$12</f>
        <v>59760000</v>
      </c>
    </row>
    <row r="669" spans="1:4" ht="13.5" customHeight="1" x14ac:dyDescent="0.3">
      <c r="A669" s="46">
        <v>665</v>
      </c>
      <c r="B669" s="47">
        <f t="shared" ca="1" si="10"/>
        <v>0.91451576434513038</v>
      </c>
      <c r="C669" s="48">
        <f t="array" aca="1" ref="C669" ca="1">MAX(0,ROUND(Inputs!$B$10*Inputs!$B$11+NORMSINV(B669)*SQRT(Inputs!$B$10*Inputs!$B$11),0))</f>
        <v>531</v>
      </c>
      <c r="D669" s="49">
        <f ca="1">C669*Inputs!$B$12</f>
        <v>63720000</v>
      </c>
    </row>
    <row r="670" spans="1:4" ht="13.5" customHeight="1" x14ac:dyDescent="0.3">
      <c r="A670" s="50">
        <v>666</v>
      </c>
      <c r="B670" s="51">
        <f t="shared" ca="1" si="10"/>
        <v>0.88118260609320276</v>
      </c>
      <c r="C670" s="48">
        <f t="array" aca="1" ref="C670" ca="1">MAX(0,ROUND(Inputs!$B$10*Inputs!$B$11+NORMSINV(B670)*SQRT(Inputs!$B$10*Inputs!$B$11),0))</f>
        <v>526</v>
      </c>
      <c r="D670" s="52">
        <f ca="1">C670*Inputs!$B$12</f>
        <v>63120000</v>
      </c>
    </row>
    <row r="671" spans="1:4" ht="13.5" customHeight="1" x14ac:dyDescent="0.3">
      <c r="A671" s="46">
        <v>667</v>
      </c>
      <c r="B671" s="47">
        <f t="shared" ca="1" si="10"/>
        <v>0.72873373966109223</v>
      </c>
      <c r="C671" s="48">
        <f t="array" aca="1" ref="C671" ca="1">MAX(0,ROUND(Inputs!$B$10*Inputs!$B$11+NORMSINV(B671)*SQRT(Inputs!$B$10*Inputs!$B$11),0))</f>
        <v>514</v>
      </c>
      <c r="D671" s="49">
        <f ca="1">C671*Inputs!$B$12</f>
        <v>61680000</v>
      </c>
    </row>
    <row r="672" spans="1:4" ht="13.5" customHeight="1" x14ac:dyDescent="0.3">
      <c r="A672" s="50">
        <v>668</v>
      </c>
      <c r="B672" s="51">
        <f t="shared" ca="1" si="10"/>
        <v>0.44104926348163698</v>
      </c>
      <c r="C672" s="48">
        <f t="array" aca="1" ref="C672" ca="1">MAX(0,ROUND(Inputs!$B$10*Inputs!$B$11+NORMSINV(B672)*SQRT(Inputs!$B$10*Inputs!$B$11),0))</f>
        <v>497</v>
      </c>
      <c r="D672" s="52">
        <f ca="1">C672*Inputs!$B$12</f>
        <v>59640000</v>
      </c>
    </row>
    <row r="673" spans="1:4" ht="13.5" customHeight="1" x14ac:dyDescent="0.3">
      <c r="A673" s="46">
        <v>669</v>
      </c>
      <c r="B673" s="47">
        <f t="shared" ca="1" si="10"/>
        <v>0.44537307692691352</v>
      </c>
      <c r="C673" s="48">
        <f t="array" aca="1" ref="C673" ca="1">MAX(0,ROUND(Inputs!$B$10*Inputs!$B$11+NORMSINV(B673)*SQRT(Inputs!$B$10*Inputs!$B$11),0))</f>
        <v>497</v>
      </c>
      <c r="D673" s="49">
        <f ca="1">C673*Inputs!$B$12</f>
        <v>59640000</v>
      </c>
    </row>
    <row r="674" spans="1:4" ht="13.5" customHeight="1" x14ac:dyDescent="0.3">
      <c r="A674" s="50">
        <v>670</v>
      </c>
      <c r="B674" s="51">
        <f t="shared" ca="1" si="10"/>
        <v>0.95488260837284888</v>
      </c>
      <c r="C674" s="48">
        <f t="array" aca="1" ref="C674" ca="1">MAX(0,ROUND(Inputs!$B$10*Inputs!$B$11+NORMSINV(B674)*SQRT(Inputs!$B$10*Inputs!$B$11),0))</f>
        <v>538</v>
      </c>
      <c r="D674" s="52">
        <f ca="1">C674*Inputs!$B$12</f>
        <v>64560000</v>
      </c>
    </row>
    <row r="675" spans="1:4" ht="13.5" customHeight="1" x14ac:dyDescent="0.3">
      <c r="A675" s="46">
        <v>671</v>
      </c>
      <c r="B675" s="47">
        <f t="shared" ca="1" si="10"/>
        <v>9.1785576878295472E-2</v>
      </c>
      <c r="C675" s="48">
        <f t="array" aca="1" ref="C675" ca="1">MAX(0,ROUND(Inputs!$B$10*Inputs!$B$11+NORMSINV(B675)*SQRT(Inputs!$B$10*Inputs!$B$11),0))</f>
        <v>470</v>
      </c>
      <c r="D675" s="49">
        <f ca="1">C675*Inputs!$B$12</f>
        <v>56400000</v>
      </c>
    </row>
    <row r="676" spans="1:4" ht="13.5" customHeight="1" x14ac:dyDescent="0.3">
      <c r="A676" s="50">
        <v>672</v>
      </c>
      <c r="B676" s="51">
        <f t="shared" ca="1" si="10"/>
        <v>0.16371500650807735</v>
      </c>
      <c r="C676" s="48">
        <f t="array" aca="1" ref="C676" ca="1">MAX(0,ROUND(Inputs!$B$10*Inputs!$B$11+NORMSINV(B676)*SQRT(Inputs!$B$10*Inputs!$B$11),0))</f>
        <v>478</v>
      </c>
      <c r="D676" s="52">
        <f ca="1">C676*Inputs!$B$12</f>
        <v>57360000</v>
      </c>
    </row>
    <row r="677" spans="1:4" ht="13.5" customHeight="1" x14ac:dyDescent="0.3">
      <c r="A677" s="46">
        <v>673</v>
      </c>
      <c r="B677" s="47">
        <f t="shared" ca="1" si="10"/>
        <v>0.67429774399913778</v>
      </c>
      <c r="C677" s="48">
        <f t="array" aca="1" ref="C677" ca="1">MAX(0,ROUND(Inputs!$B$10*Inputs!$B$11+NORMSINV(B677)*SQRT(Inputs!$B$10*Inputs!$B$11),0))</f>
        <v>510</v>
      </c>
      <c r="D677" s="49">
        <f ca="1">C677*Inputs!$B$12</f>
        <v>61200000</v>
      </c>
    </row>
    <row r="678" spans="1:4" ht="13.5" customHeight="1" x14ac:dyDescent="0.3">
      <c r="A678" s="50">
        <v>674</v>
      </c>
      <c r="B678" s="51">
        <f t="shared" ca="1" si="10"/>
        <v>0.23048453203936292</v>
      </c>
      <c r="C678" s="48">
        <f t="array" aca="1" ref="C678" ca="1">MAX(0,ROUND(Inputs!$B$10*Inputs!$B$11+NORMSINV(B678)*SQRT(Inputs!$B$10*Inputs!$B$11),0))</f>
        <v>484</v>
      </c>
      <c r="D678" s="52">
        <f ca="1">C678*Inputs!$B$12</f>
        <v>58080000</v>
      </c>
    </row>
    <row r="679" spans="1:4" ht="13.5" customHeight="1" x14ac:dyDescent="0.3">
      <c r="A679" s="46">
        <v>675</v>
      </c>
      <c r="B679" s="47">
        <f t="shared" ca="1" si="10"/>
        <v>0.40382493819713061</v>
      </c>
      <c r="C679" s="48">
        <f t="array" aca="1" ref="C679" ca="1">MAX(0,ROUND(Inputs!$B$10*Inputs!$B$11+NORMSINV(B679)*SQRT(Inputs!$B$10*Inputs!$B$11),0))</f>
        <v>495</v>
      </c>
      <c r="D679" s="49">
        <f ca="1">C679*Inputs!$B$12</f>
        <v>59400000</v>
      </c>
    </row>
    <row r="680" spans="1:4" ht="13.5" customHeight="1" x14ac:dyDescent="0.3">
      <c r="A680" s="50">
        <v>676</v>
      </c>
      <c r="B680" s="51">
        <f t="shared" ca="1" si="10"/>
        <v>0.16723318666819686</v>
      </c>
      <c r="C680" s="48">
        <f t="array" aca="1" ref="C680" ca="1">MAX(0,ROUND(Inputs!$B$10*Inputs!$B$11+NORMSINV(B680)*SQRT(Inputs!$B$10*Inputs!$B$11),0))</f>
        <v>478</v>
      </c>
      <c r="D680" s="52">
        <f ca="1">C680*Inputs!$B$12</f>
        <v>57360000</v>
      </c>
    </row>
    <row r="681" spans="1:4" ht="13.5" customHeight="1" x14ac:dyDescent="0.3">
      <c r="A681" s="46">
        <v>677</v>
      </c>
      <c r="B681" s="47">
        <f t="shared" ca="1" si="10"/>
        <v>0.13359986091817511</v>
      </c>
      <c r="C681" s="48">
        <f t="array" aca="1" ref="C681" ca="1">MAX(0,ROUND(Inputs!$B$10*Inputs!$B$11+NORMSINV(B681)*SQRT(Inputs!$B$10*Inputs!$B$11),0))</f>
        <v>475</v>
      </c>
      <c r="D681" s="49">
        <f ca="1">C681*Inputs!$B$12</f>
        <v>57000000</v>
      </c>
    </row>
    <row r="682" spans="1:4" ht="13.5" customHeight="1" x14ac:dyDescent="0.3">
      <c r="A682" s="50">
        <v>678</v>
      </c>
      <c r="B682" s="51">
        <f t="shared" ca="1" si="10"/>
        <v>0.77987578951793413</v>
      </c>
      <c r="C682" s="48">
        <f t="array" aca="1" ref="C682" ca="1">MAX(0,ROUND(Inputs!$B$10*Inputs!$B$11+NORMSINV(B682)*SQRT(Inputs!$B$10*Inputs!$B$11),0))</f>
        <v>517</v>
      </c>
      <c r="D682" s="52">
        <f ca="1">C682*Inputs!$B$12</f>
        <v>62040000</v>
      </c>
    </row>
    <row r="683" spans="1:4" ht="13.5" customHeight="1" x14ac:dyDescent="0.3">
      <c r="A683" s="46">
        <v>679</v>
      </c>
      <c r="B683" s="47">
        <f t="shared" ca="1" si="10"/>
        <v>3.1248256870617608E-2</v>
      </c>
      <c r="C683" s="48">
        <f t="array" aca="1" ref="C683" ca="1">MAX(0,ROUND(Inputs!$B$10*Inputs!$B$11+NORMSINV(B683)*SQRT(Inputs!$B$10*Inputs!$B$11),0))</f>
        <v>458</v>
      </c>
      <c r="D683" s="49">
        <f ca="1">C683*Inputs!$B$12</f>
        <v>54960000</v>
      </c>
    </row>
    <row r="684" spans="1:4" ht="13.5" customHeight="1" x14ac:dyDescent="0.3">
      <c r="A684" s="50">
        <v>680</v>
      </c>
      <c r="B684" s="51">
        <f t="shared" ca="1" si="10"/>
        <v>0.80767417168285316</v>
      </c>
      <c r="C684" s="48">
        <f t="array" aca="1" ref="C684" ca="1">MAX(0,ROUND(Inputs!$B$10*Inputs!$B$11+NORMSINV(B684)*SQRT(Inputs!$B$10*Inputs!$B$11),0))</f>
        <v>519</v>
      </c>
      <c r="D684" s="52">
        <f ca="1">C684*Inputs!$B$12</f>
        <v>62280000</v>
      </c>
    </row>
    <row r="685" spans="1:4" ht="13.5" customHeight="1" x14ac:dyDescent="0.3">
      <c r="A685" s="46">
        <v>681</v>
      </c>
      <c r="B685" s="47">
        <f t="shared" ca="1" si="10"/>
        <v>0.55659019591582848</v>
      </c>
      <c r="C685" s="48">
        <f t="array" aca="1" ref="C685" ca="1">MAX(0,ROUND(Inputs!$B$10*Inputs!$B$11+NORMSINV(B685)*SQRT(Inputs!$B$10*Inputs!$B$11),0))</f>
        <v>503</v>
      </c>
      <c r="D685" s="49">
        <f ca="1">C685*Inputs!$B$12</f>
        <v>60360000</v>
      </c>
    </row>
    <row r="686" spans="1:4" ht="13.5" customHeight="1" x14ac:dyDescent="0.3">
      <c r="A686" s="50">
        <v>682</v>
      </c>
      <c r="B686" s="51">
        <f t="shared" ca="1" si="10"/>
        <v>0.72414842101885057</v>
      </c>
      <c r="C686" s="48">
        <f t="array" aca="1" ref="C686" ca="1">MAX(0,ROUND(Inputs!$B$10*Inputs!$B$11+NORMSINV(B686)*SQRT(Inputs!$B$10*Inputs!$B$11),0))</f>
        <v>513</v>
      </c>
      <c r="D686" s="52">
        <f ca="1">C686*Inputs!$B$12</f>
        <v>61560000</v>
      </c>
    </row>
    <row r="687" spans="1:4" ht="13.5" customHeight="1" x14ac:dyDescent="0.3">
      <c r="A687" s="46">
        <v>683</v>
      </c>
      <c r="B687" s="47">
        <f t="shared" ca="1" si="10"/>
        <v>0.81377026372990124</v>
      </c>
      <c r="C687" s="48">
        <f t="array" aca="1" ref="C687" ca="1">MAX(0,ROUND(Inputs!$B$10*Inputs!$B$11+NORMSINV(B687)*SQRT(Inputs!$B$10*Inputs!$B$11),0))</f>
        <v>520</v>
      </c>
      <c r="D687" s="49">
        <f ca="1">C687*Inputs!$B$12</f>
        <v>62400000</v>
      </c>
    </row>
    <row r="688" spans="1:4" ht="13.5" customHeight="1" x14ac:dyDescent="0.3">
      <c r="A688" s="50">
        <v>684</v>
      </c>
      <c r="B688" s="51">
        <f t="shared" ca="1" si="10"/>
        <v>0.81343205580177402</v>
      </c>
      <c r="C688" s="48">
        <f t="array" aca="1" ref="C688" ca="1">MAX(0,ROUND(Inputs!$B$10*Inputs!$B$11+NORMSINV(B688)*SQRT(Inputs!$B$10*Inputs!$B$11),0))</f>
        <v>520</v>
      </c>
      <c r="D688" s="52">
        <f ca="1">C688*Inputs!$B$12</f>
        <v>62400000</v>
      </c>
    </row>
    <row r="689" spans="1:4" ht="13.5" customHeight="1" x14ac:dyDescent="0.3">
      <c r="A689" s="46">
        <v>685</v>
      </c>
      <c r="B689" s="47">
        <f t="shared" ca="1" si="10"/>
        <v>0.7762143780186096</v>
      </c>
      <c r="C689" s="48">
        <f t="array" aca="1" ref="C689" ca="1">MAX(0,ROUND(Inputs!$B$10*Inputs!$B$11+NORMSINV(B689)*SQRT(Inputs!$B$10*Inputs!$B$11),0))</f>
        <v>517</v>
      </c>
      <c r="D689" s="49">
        <f ca="1">C689*Inputs!$B$12</f>
        <v>62040000</v>
      </c>
    </row>
    <row r="690" spans="1:4" ht="13.5" customHeight="1" x14ac:dyDescent="0.3">
      <c r="A690" s="50">
        <v>686</v>
      </c>
      <c r="B690" s="51">
        <f t="shared" ca="1" si="10"/>
        <v>0.22704053445753702</v>
      </c>
      <c r="C690" s="48">
        <f t="array" aca="1" ref="C690" ca="1">MAX(0,ROUND(Inputs!$B$10*Inputs!$B$11+NORMSINV(B690)*SQRT(Inputs!$B$10*Inputs!$B$11),0))</f>
        <v>483</v>
      </c>
      <c r="D690" s="52">
        <f ca="1">C690*Inputs!$B$12</f>
        <v>57960000</v>
      </c>
    </row>
    <row r="691" spans="1:4" ht="13.5" customHeight="1" x14ac:dyDescent="0.3">
      <c r="A691" s="46">
        <v>687</v>
      </c>
      <c r="B691" s="47">
        <f t="shared" ca="1" si="10"/>
        <v>0.86500449587130945</v>
      </c>
      <c r="C691" s="48">
        <f t="array" aca="1" ref="C691" ca="1">MAX(0,ROUND(Inputs!$B$10*Inputs!$B$11+NORMSINV(B691)*SQRT(Inputs!$B$10*Inputs!$B$11),0))</f>
        <v>525</v>
      </c>
      <c r="D691" s="49">
        <f ca="1">C691*Inputs!$B$12</f>
        <v>63000000</v>
      </c>
    </row>
    <row r="692" spans="1:4" ht="13.5" customHeight="1" x14ac:dyDescent="0.3">
      <c r="A692" s="50">
        <v>688</v>
      </c>
      <c r="B692" s="51">
        <f t="shared" ca="1" si="10"/>
        <v>0.54927396941557938</v>
      </c>
      <c r="C692" s="48">
        <f t="array" aca="1" ref="C692" ca="1">MAX(0,ROUND(Inputs!$B$10*Inputs!$B$11+NORMSINV(B692)*SQRT(Inputs!$B$10*Inputs!$B$11),0))</f>
        <v>503</v>
      </c>
      <c r="D692" s="52">
        <f ca="1">C692*Inputs!$B$12</f>
        <v>60360000</v>
      </c>
    </row>
    <row r="693" spans="1:4" ht="13.5" customHeight="1" x14ac:dyDescent="0.3">
      <c r="A693" s="46">
        <v>689</v>
      </c>
      <c r="B693" s="47">
        <f t="shared" ca="1" si="10"/>
        <v>0.87721491407068997</v>
      </c>
      <c r="C693" s="48">
        <f t="array" aca="1" ref="C693" ca="1">MAX(0,ROUND(Inputs!$B$10*Inputs!$B$11+NORMSINV(B693)*SQRT(Inputs!$B$10*Inputs!$B$11),0))</f>
        <v>526</v>
      </c>
      <c r="D693" s="49">
        <f ca="1">C693*Inputs!$B$12</f>
        <v>63120000</v>
      </c>
    </row>
    <row r="694" spans="1:4" ht="13.5" customHeight="1" x14ac:dyDescent="0.3">
      <c r="A694" s="50">
        <v>690</v>
      </c>
      <c r="B694" s="51">
        <f t="shared" ca="1" si="10"/>
        <v>0.95052963775730914</v>
      </c>
      <c r="C694" s="48">
        <f t="array" aca="1" ref="C694" ca="1">MAX(0,ROUND(Inputs!$B$10*Inputs!$B$11+NORMSINV(B694)*SQRT(Inputs!$B$10*Inputs!$B$11),0))</f>
        <v>537</v>
      </c>
      <c r="D694" s="52">
        <f ca="1">C694*Inputs!$B$12</f>
        <v>64440000</v>
      </c>
    </row>
    <row r="695" spans="1:4" ht="13.5" customHeight="1" x14ac:dyDescent="0.3">
      <c r="A695" s="46">
        <v>691</v>
      </c>
      <c r="B695" s="47">
        <f t="shared" ca="1" si="10"/>
        <v>0.11676934255487914</v>
      </c>
      <c r="C695" s="48">
        <f t="array" aca="1" ref="C695" ca="1">MAX(0,ROUND(Inputs!$B$10*Inputs!$B$11+NORMSINV(B695)*SQRT(Inputs!$B$10*Inputs!$B$11),0))</f>
        <v>473</v>
      </c>
      <c r="D695" s="49">
        <f ca="1">C695*Inputs!$B$12</f>
        <v>56760000</v>
      </c>
    </row>
    <row r="696" spans="1:4" ht="13.5" customHeight="1" x14ac:dyDescent="0.3">
      <c r="A696" s="50">
        <v>692</v>
      </c>
      <c r="B696" s="51">
        <f t="shared" ca="1" si="10"/>
        <v>0.21416499473080042</v>
      </c>
      <c r="C696" s="48">
        <f t="array" aca="1" ref="C696" ca="1">MAX(0,ROUND(Inputs!$B$10*Inputs!$B$11+NORMSINV(B696)*SQRT(Inputs!$B$10*Inputs!$B$11),0))</f>
        <v>482</v>
      </c>
      <c r="D696" s="52">
        <f ca="1">C696*Inputs!$B$12</f>
        <v>57840000</v>
      </c>
    </row>
    <row r="697" spans="1:4" ht="13.5" customHeight="1" x14ac:dyDescent="0.3">
      <c r="A697" s="46">
        <v>693</v>
      </c>
      <c r="B697" s="47">
        <f t="shared" ca="1" si="10"/>
        <v>0.52166551595252542</v>
      </c>
      <c r="C697" s="48">
        <f t="array" aca="1" ref="C697" ca="1">MAX(0,ROUND(Inputs!$B$10*Inputs!$B$11+NORMSINV(B697)*SQRT(Inputs!$B$10*Inputs!$B$11),0))</f>
        <v>501</v>
      </c>
      <c r="D697" s="49">
        <f ca="1">C697*Inputs!$B$12</f>
        <v>60120000</v>
      </c>
    </row>
    <row r="698" spans="1:4" ht="13.5" customHeight="1" x14ac:dyDescent="0.3">
      <c r="A698" s="50">
        <v>694</v>
      </c>
      <c r="B698" s="51">
        <f t="shared" ca="1" si="10"/>
        <v>0.68071345917772486</v>
      </c>
      <c r="C698" s="48">
        <f t="array" aca="1" ref="C698" ca="1">MAX(0,ROUND(Inputs!$B$10*Inputs!$B$11+NORMSINV(B698)*SQRT(Inputs!$B$10*Inputs!$B$11),0))</f>
        <v>511</v>
      </c>
      <c r="D698" s="52">
        <f ca="1">C698*Inputs!$B$12</f>
        <v>61320000</v>
      </c>
    </row>
    <row r="699" spans="1:4" ht="13.5" customHeight="1" x14ac:dyDescent="0.3">
      <c r="A699" s="46">
        <v>695</v>
      </c>
      <c r="B699" s="47">
        <f t="shared" ca="1" si="10"/>
        <v>0.52168743246687133</v>
      </c>
      <c r="C699" s="48">
        <f t="array" aca="1" ref="C699" ca="1">MAX(0,ROUND(Inputs!$B$10*Inputs!$B$11+NORMSINV(B699)*SQRT(Inputs!$B$10*Inputs!$B$11),0))</f>
        <v>501</v>
      </c>
      <c r="D699" s="49">
        <f ca="1">C699*Inputs!$B$12</f>
        <v>60120000</v>
      </c>
    </row>
    <row r="700" spans="1:4" ht="13.5" customHeight="1" x14ac:dyDescent="0.3">
      <c r="A700" s="50">
        <v>696</v>
      </c>
      <c r="B700" s="51">
        <f t="shared" ca="1" si="10"/>
        <v>0.37796883755936117</v>
      </c>
      <c r="C700" s="48">
        <f t="array" aca="1" ref="C700" ca="1">MAX(0,ROUND(Inputs!$B$10*Inputs!$B$11+NORMSINV(B700)*SQRT(Inputs!$B$10*Inputs!$B$11),0))</f>
        <v>493</v>
      </c>
      <c r="D700" s="52">
        <f ca="1">C700*Inputs!$B$12</f>
        <v>59160000</v>
      </c>
    </row>
    <row r="701" spans="1:4" ht="13.5" customHeight="1" x14ac:dyDescent="0.3">
      <c r="A701" s="46">
        <v>697</v>
      </c>
      <c r="B701" s="47">
        <f t="shared" ca="1" si="10"/>
        <v>0.16855148818869137</v>
      </c>
      <c r="C701" s="48">
        <f t="array" aca="1" ref="C701" ca="1">MAX(0,ROUND(Inputs!$B$10*Inputs!$B$11+NORMSINV(B701)*SQRT(Inputs!$B$10*Inputs!$B$11),0))</f>
        <v>479</v>
      </c>
      <c r="D701" s="49">
        <f ca="1">C701*Inputs!$B$12</f>
        <v>57480000</v>
      </c>
    </row>
    <row r="702" spans="1:4" ht="13.5" customHeight="1" x14ac:dyDescent="0.3">
      <c r="A702" s="50">
        <v>698</v>
      </c>
      <c r="B702" s="51">
        <f t="shared" ca="1" si="10"/>
        <v>0.86374124085503823</v>
      </c>
      <c r="C702" s="48">
        <f t="array" aca="1" ref="C702" ca="1">MAX(0,ROUND(Inputs!$B$10*Inputs!$B$11+NORMSINV(B702)*SQRT(Inputs!$B$10*Inputs!$B$11),0))</f>
        <v>525</v>
      </c>
      <c r="D702" s="52">
        <f ca="1">C702*Inputs!$B$12</f>
        <v>63000000</v>
      </c>
    </row>
    <row r="703" spans="1:4" ht="13.5" customHeight="1" x14ac:dyDescent="0.3">
      <c r="A703" s="46">
        <v>699</v>
      </c>
      <c r="B703" s="47">
        <f t="shared" ca="1" si="10"/>
        <v>0.71814788779254701</v>
      </c>
      <c r="C703" s="48">
        <f t="array" aca="1" ref="C703" ca="1">MAX(0,ROUND(Inputs!$B$10*Inputs!$B$11+NORMSINV(B703)*SQRT(Inputs!$B$10*Inputs!$B$11),0))</f>
        <v>513</v>
      </c>
      <c r="D703" s="49">
        <f ca="1">C703*Inputs!$B$12</f>
        <v>61560000</v>
      </c>
    </row>
    <row r="704" spans="1:4" ht="13.5" customHeight="1" x14ac:dyDescent="0.3">
      <c r="A704" s="50">
        <v>700</v>
      </c>
      <c r="B704" s="51">
        <f t="shared" ca="1" si="10"/>
        <v>0.32637071519531358</v>
      </c>
      <c r="C704" s="48">
        <f t="array" aca="1" ref="C704" ca="1">MAX(0,ROUND(Inputs!$B$10*Inputs!$B$11+NORMSINV(B704)*SQRT(Inputs!$B$10*Inputs!$B$11),0))</f>
        <v>490</v>
      </c>
      <c r="D704" s="52">
        <f ca="1">C704*Inputs!$B$12</f>
        <v>58800000</v>
      </c>
    </row>
    <row r="705" spans="1:4" ht="13.5" customHeight="1" x14ac:dyDescent="0.3">
      <c r="A705" s="46">
        <v>701</v>
      </c>
      <c r="B705" s="47">
        <f t="shared" ca="1" si="10"/>
        <v>0.52685897437992013</v>
      </c>
      <c r="C705" s="48">
        <f t="array" aca="1" ref="C705" ca="1">MAX(0,ROUND(Inputs!$B$10*Inputs!$B$11+NORMSINV(B705)*SQRT(Inputs!$B$10*Inputs!$B$11),0))</f>
        <v>502</v>
      </c>
      <c r="D705" s="49">
        <f ca="1">C705*Inputs!$B$12</f>
        <v>60240000</v>
      </c>
    </row>
    <row r="706" spans="1:4" ht="13.5" customHeight="1" x14ac:dyDescent="0.3">
      <c r="A706" s="50">
        <v>702</v>
      </c>
      <c r="B706" s="51">
        <f t="shared" ca="1" si="10"/>
        <v>0.64135263649312713</v>
      </c>
      <c r="C706" s="48">
        <f t="array" aca="1" ref="C706" ca="1">MAX(0,ROUND(Inputs!$B$10*Inputs!$B$11+NORMSINV(B706)*SQRT(Inputs!$B$10*Inputs!$B$11),0))</f>
        <v>508</v>
      </c>
      <c r="D706" s="52">
        <f ca="1">C706*Inputs!$B$12</f>
        <v>60960000</v>
      </c>
    </row>
    <row r="707" spans="1:4" ht="13.5" customHeight="1" x14ac:dyDescent="0.3">
      <c r="A707" s="46">
        <v>703</v>
      </c>
      <c r="B707" s="47">
        <f t="shared" ca="1" si="10"/>
        <v>0.50522935431166838</v>
      </c>
      <c r="C707" s="48">
        <f t="array" aca="1" ref="C707" ca="1">MAX(0,ROUND(Inputs!$B$10*Inputs!$B$11+NORMSINV(B707)*SQRT(Inputs!$B$10*Inputs!$B$11),0))</f>
        <v>500</v>
      </c>
      <c r="D707" s="49">
        <f ca="1">C707*Inputs!$B$12</f>
        <v>60000000</v>
      </c>
    </row>
    <row r="708" spans="1:4" ht="13.5" customHeight="1" x14ac:dyDescent="0.3">
      <c r="A708" s="50">
        <v>704</v>
      </c>
      <c r="B708" s="51">
        <f t="shared" ca="1" si="10"/>
        <v>0.36409501839764746</v>
      </c>
      <c r="C708" s="48">
        <f t="array" aca="1" ref="C708" ca="1">MAX(0,ROUND(Inputs!$B$10*Inputs!$B$11+NORMSINV(B708)*SQRT(Inputs!$B$10*Inputs!$B$11),0))</f>
        <v>492</v>
      </c>
      <c r="D708" s="52">
        <f ca="1">C708*Inputs!$B$12</f>
        <v>59040000</v>
      </c>
    </row>
    <row r="709" spans="1:4" ht="13.5" customHeight="1" x14ac:dyDescent="0.3">
      <c r="A709" s="46">
        <v>705</v>
      </c>
      <c r="B709" s="47">
        <f t="shared" ref="B709:B772" ca="1" si="11">RAND()</f>
        <v>0.11193080905800168</v>
      </c>
      <c r="C709" s="48">
        <f t="array" aca="1" ref="C709" ca="1">MAX(0,ROUND(Inputs!$B$10*Inputs!$B$11+NORMSINV(B709)*SQRT(Inputs!$B$10*Inputs!$B$11),0))</f>
        <v>473</v>
      </c>
      <c r="D709" s="49">
        <f ca="1">C709*Inputs!$B$12</f>
        <v>56760000</v>
      </c>
    </row>
    <row r="710" spans="1:4" ht="13.5" customHeight="1" x14ac:dyDescent="0.3">
      <c r="A710" s="50">
        <v>706</v>
      </c>
      <c r="B710" s="51">
        <f t="shared" ca="1" si="11"/>
        <v>0.9613874958704921</v>
      </c>
      <c r="C710" s="48">
        <f t="array" aca="1" ref="C710" ca="1">MAX(0,ROUND(Inputs!$B$10*Inputs!$B$11+NORMSINV(B710)*SQRT(Inputs!$B$10*Inputs!$B$11),0))</f>
        <v>540</v>
      </c>
      <c r="D710" s="52">
        <f ca="1">C710*Inputs!$B$12</f>
        <v>64800000</v>
      </c>
    </row>
    <row r="711" spans="1:4" ht="13.5" customHeight="1" x14ac:dyDescent="0.3">
      <c r="A711" s="46">
        <v>707</v>
      </c>
      <c r="B711" s="47">
        <f t="shared" ca="1" si="11"/>
        <v>0.46509417487283777</v>
      </c>
      <c r="C711" s="48">
        <f t="array" aca="1" ref="C711" ca="1">MAX(0,ROUND(Inputs!$B$10*Inputs!$B$11+NORMSINV(B711)*SQRT(Inputs!$B$10*Inputs!$B$11),0))</f>
        <v>498</v>
      </c>
      <c r="D711" s="49">
        <f ca="1">C711*Inputs!$B$12</f>
        <v>59760000</v>
      </c>
    </row>
    <row r="712" spans="1:4" ht="13.5" customHeight="1" x14ac:dyDescent="0.3">
      <c r="A712" s="50">
        <v>708</v>
      </c>
      <c r="B712" s="51">
        <f t="shared" ca="1" si="11"/>
        <v>0.27128413987818967</v>
      </c>
      <c r="C712" s="48">
        <f t="array" aca="1" ref="C712" ca="1">MAX(0,ROUND(Inputs!$B$10*Inputs!$B$11+NORMSINV(B712)*SQRT(Inputs!$B$10*Inputs!$B$11),0))</f>
        <v>486</v>
      </c>
      <c r="D712" s="52">
        <f ca="1">C712*Inputs!$B$12</f>
        <v>58320000</v>
      </c>
    </row>
    <row r="713" spans="1:4" ht="13.5" customHeight="1" x14ac:dyDescent="0.3">
      <c r="A713" s="46">
        <v>709</v>
      </c>
      <c r="B713" s="47">
        <f t="shared" ca="1" si="11"/>
        <v>0.94267496834130904</v>
      </c>
      <c r="C713" s="48">
        <f t="array" aca="1" ref="C713" ca="1">MAX(0,ROUND(Inputs!$B$10*Inputs!$B$11+NORMSINV(B713)*SQRT(Inputs!$B$10*Inputs!$B$11),0))</f>
        <v>535</v>
      </c>
      <c r="D713" s="49">
        <f ca="1">C713*Inputs!$B$12</f>
        <v>64200000</v>
      </c>
    </row>
    <row r="714" spans="1:4" ht="13.5" customHeight="1" x14ac:dyDescent="0.3">
      <c r="A714" s="50">
        <v>710</v>
      </c>
      <c r="B714" s="51">
        <f t="shared" ca="1" si="11"/>
        <v>0.77436776166382748</v>
      </c>
      <c r="C714" s="48">
        <f t="array" aca="1" ref="C714" ca="1">MAX(0,ROUND(Inputs!$B$10*Inputs!$B$11+NORMSINV(B714)*SQRT(Inputs!$B$10*Inputs!$B$11),0))</f>
        <v>517</v>
      </c>
      <c r="D714" s="52">
        <f ca="1">C714*Inputs!$B$12</f>
        <v>62040000</v>
      </c>
    </row>
    <row r="715" spans="1:4" ht="13.5" customHeight="1" x14ac:dyDescent="0.3">
      <c r="A715" s="46">
        <v>711</v>
      </c>
      <c r="B715" s="47">
        <f t="shared" ca="1" si="11"/>
        <v>0.94720626493744864</v>
      </c>
      <c r="C715" s="48">
        <f t="array" aca="1" ref="C715" ca="1">MAX(0,ROUND(Inputs!$B$10*Inputs!$B$11+NORMSINV(B715)*SQRT(Inputs!$B$10*Inputs!$B$11),0))</f>
        <v>536</v>
      </c>
      <c r="D715" s="49">
        <f ca="1">C715*Inputs!$B$12</f>
        <v>64320000</v>
      </c>
    </row>
    <row r="716" spans="1:4" ht="13.5" customHeight="1" x14ac:dyDescent="0.3">
      <c r="A716" s="50">
        <v>712</v>
      </c>
      <c r="B716" s="51">
        <f t="shared" ca="1" si="11"/>
        <v>6.3583557722657891E-2</v>
      </c>
      <c r="C716" s="48">
        <f t="array" aca="1" ref="C716" ca="1">MAX(0,ROUND(Inputs!$B$10*Inputs!$B$11+NORMSINV(B716)*SQRT(Inputs!$B$10*Inputs!$B$11),0))</f>
        <v>466</v>
      </c>
      <c r="D716" s="52">
        <f ca="1">C716*Inputs!$B$12</f>
        <v>55920000</v>
      </c>
    </row>
    <row r="717" spans="1:4" ht="13.5" customHeight="1" x14ac:dyDescent="0.3">
      <c r="A717" s="46">
        <v>713</v>
      </c>
      <c r="B717" s="47">
        <f t="shared" ca="1" si="11"/>
        <v>0.36662379213227636</v>
      </c>
      <c r="C717" s="48">
        <f t="array" aca="1" ref="C717" ca="1">MAX(0,ROUND(Inputs!$B$10*Inputs!$B$11+NORMSINV(B717)*SQRT(Inputs!$B$10*Inputs!$B$11),0))</f>
        <v>492</v>
      </c>
      <c r="D717" s="49">
        <f ca="1">C717*Inputs!$B$12</f>
        <v>59040000</v>
      </c>
    </row>
    <row r="718" spans="1:4" ht="13.5" customHeight="1" x14ac:dyDescent="0.3">
      <c r="A718" s="50">
        <v>714</v>
      </c>
      <c r="B718" s="51">
        <f t="shared" ca="1" si="11"/>
        <v>0.64663370315988256</v>
      </c>
      <c r="C718" s="48">
        <f t="array" aca="1" ref="C718" ca="1">MAX(0,ROUND(Inputs!$B$10*Inputs!$B$11+NORMSINV(B718)*SQRT(Inputs!$B$10*Inputs!$B$11),0))</f>
        <v>508</v>
      </c>
      <c r="D718" s="52">
        <f ca="1">C718*Inputs!$B$12</f>
        <v>60960000</v>
      </c>
    </row>
    <row r="719" spans="1:4" ht="13.5" customHeight="1" x14ac:dyDescent="0.3">
      <c r="A719" s="46">
        <v>715</v>
      </c>
      <c r="B719" s="47">
        <f t="shared" ca="1" si="11"/>
        <v>0.45223735323473402</v>
      </c>
      <c r="C719" s="48">
        <f t="array" aca="1" ref="C719" ca="1">MAX(0,ROUND(Inputs!$B$10*Inputs!$B$11+NORMSINV(B719)*SQRT(Inputs!$B$10*Inputs!$B$11),0))</f>
        <v>497</v>
      </c>
      <c r="D719" s="49">
        <f ca="1">C719*Inputs!$B$12</f>
        <v>59640000</v>
      </c>
    </row>
    <row r="720" spans="1:4" ht="13.5" customHeight="1" x14ac:dyDescent="0.3">
      <c r="A720" s="50">
        <v>716</v>
      </c>
      <c r="B720" s="51">
        <f t="shared" ca="1" si="11"/>
        <v>0.90754538035193477</v>
      </c>
      <c r="C720" s="48">
        <f t="array" aca="1" ref="C720" ca="1">MAX(0,ROUND(Inputs!$B$10*Inputs!$B$11+NORMSINV(B720)*SQRT(Inputs!$B$10*Inputs!$B$11),0))</f>
        <v>530</v>
      </c>
      <c r="D720" s="52">
        <f ca="1">C720*Inputs!$B$12</f>
        <v>63600000</v>
      </c>
    </row>
    <row r="721" spans="1:4" ht="13.5" customHeight="1" x14ac:dyDescent="0.3">
      <c r="A721" s="46">
        <v>717</v>
      </c>
      <c r="B721" s="47">
        <f t="shared" ca="1" si="11"/>
        <v>0.35051072767822211</v>
      </c>
      <c r="C721" s="48">
        <f t="array" aca="1" ref="C721" ca="1">MAX(0,ROUND(Inputs!$B$10*Inputs!$B$11+NORMSINV(B721)*SQRT(Inputs!$B$10*Inputs!$B$11),0))</f>
        <v>491</v>
      </c>
      <c r="D721" s="49">
        <f ca="1">C721*Inputs!$B$12</f>
        <v>58920000</v>
      </c>
    </row>
    <row r="722" spans="1:4" ht="13.5" customHeight="1" x14ac:dyDescent="0.3">
      <c r="A722" s="50">
        <v>718</v>
      </c>
      <c r="B722" s="51">
        <f t="shared" ca="1" si="11"/>
        <v>0.26935385243435828</v>
      </c>
      <c r="C722" s="48">
        <f t="array" aca="1" ref="C722" ca="1">MAX(0,ROUND(Inputs!$B$10*Inputs!$B$11+NORMSINV(B722)*SQRT(Inputs!$B$10*Inputs!$B$11),0))</f>
        <v>486</v>
      </c>
      <c r="D722" s="52">
        <f ca="1">C722*Inputs!$B$12</f>
        <v>58320000</v>
      </c>
    </row>
    <row r="723" spans="1:4" ht="13.5" customHeight="1" x14ac:dyDescent="0.3">
      <c r="A723" s="46">
        <v>719</v>
      </c>
      <c r="B723" s="47">
        <f t="shared" ca="1" si="11"/>
        <v>0.91750405445083083</v>
      </c>
      <c r="C723" s="48">
        <f t="array" aca="1" ref="C723" ca="1">MAX(0,ROUND(Inputs!$B$10*Inputs!$B$11+NORMSINV(B723)*SQRT(Inputs!$B$10*Inputs!$B$11),0))</f>
        <v>531</v>
      </c>
      <c r="D723" s="49">
        <f ca="1">C723*Inputs!$B$12</f>
        <v>63720000</v>
      </c>
    </row>
    <row r="724" spans="1:4" ht="13.5" customHeight="1" x14ac:dyDescent="0.3">
      <c r="A724" s="50">
        <v>720</v>
      </c>
      <c r="B724" s="51">
        <f t="shared" ca="1" si="11"/>
        <v>0.2802986573099755</v>
      </c>
      <c r="C724" s="48">
        <f t="array" aca="1" ref="C724" ca="1">MAX(0,ROUND(Inputs!$B$10*Inputs!$B$11+NORMSINV(B724)*SQRT(Inputs!$B$10*Inputs!$B$11),0))</f>
        <v>487</v>
      </c>
      <c r="D724" s="52">
        <f ca="1">C724*Inputs!$B$12</f>
        <v>58440000</v>
      </c>
    </row>
    <row r="725" spans="1:4" ht="13.5" customHeight="1" x14ac:dyDescent="0.3">
      <c r="A725" s="46">
        <v>721</v>
      </c>
      <c r="B725" s="47">
        <f t="shared" ca="1" si="11"/>
        <v>7.1576587187768603E-2</v>
      </c>
      <c r="C725" s="48">
        <f t="array" aca="1" ref="C725" ca="1">MAX(0,ROUND(Inputs!$B$10*Inputs!$B$11+NORMSINV(B725)*SQRT(Inputs!$B$10*Inputs!$B$11),0))</f>
        <v>467</v>
      </c>
      <c r="D725" s="49">
        <f ca="1">C725*Inputs!$B$12</f>
        <v>56040000</v>
      </c>
    </row>
    <row r="726" spans="1:4" ht="13.5" customHeight="1" x14ac:dyDescent="0.3">
      <c r="A726" s="50">
        <v>722</v>
      </c>
      <c r="B726" s="51">
        <f t="shared" ca="1" si="11"/>
        <v>0.36384200811472622</v>
      </c>
      <c r="C726" s="48">
        <f t="array" aca="1" ref="C726" ca="1">MAX(0,ROUND(Inputs!$B$10*Inputs!$B$11+NORMSINV(B726)*SQRT(Inputs!$B$10*Inputs!$B$11),0))</f>
        <v>492</v>
      </c>
      <c r="D726" s="52">
        <f ca="1">C726*Inputs!$B$12</f>
        <v>59040000</v>
      </c>
    </row>
    <row r="727" spans="1:4" ht="13.5" customHeight="1" x14ac:dyDescent="0.3">
      <c r="A727" s="46">
        <v>723</v>
      </c>
      <c r="B727" s="47">
        <f t="shared" ca="1" si="11"/>
        <v>6.6478152616121777E-2</v>
      </c>
      <c r="C727" s="48">
        <f t="array" aca="1" ref="C727" ca="1">MAX(0,ROUND(Inputs!$B$10*Inputs!$B$11+NORMSINV(B727)*SQRT(Inputs!$B$10*Inputs!$B$11),0))</f>
        <v>466</v>
      </c>
      <c r="D727" s="49">
        <f ca="1">C727*Inputs!$B$12</f>
        <v>55920000</v>
      </c>
    </row>
    <row r="728" spans="1:4" ht="13.5" customHeight="1" x14ac:dyDescent="0.3">
      <c r="A728" s="50">
        <v>724</v>
      </c>
      <c r="B728" s="51">
        <f t="shared" ca="1" si="11"/>
        <v>0.56720217181709143</v>
      </c>
      <c r="C728" s="48">
        <f t="array" aca="1" ref="C728" ca="1">MAX(0,ROUND(Inputs!$B$10*Inputs!$B$11+NORMSINV(B728)*SQRT(Inputs!$B$10*Inputs!$B$11),0))</f>
        <v>504</v>
      </c>
      <c r="D728" s="52">
        <f ca="1">C728*Inputs!$B$12</f>
        <v>60480000</v>
      </c>
    </row>
    <row r="729" spans="1:4" ht="13.5" customHeight="1" x14ac:dyDescent="0.3">
      <c r="A729" s="46">
        <v>725</v>
      </c>
      <c r="B729" s="47">
        <f t="shared" ca="1" si="11"/>
        <v>0.49015777937167726</v>
      </c>
      <c r="C729" s="48">
        <f t="array" aca="1" ref="C729" ca="1">MAX(0,ROUND(Inputs!$B$10*Inputs!$B$11+NORMSINV(B729)*SQRT(Inputs!$B$10*Inputs!$B$11),0))</f>
        <v>499</v>
      </c>
      <c r="D729" s="49">
        <f ca="1">C729*Inputs!$B$12</f>
        <v>59880000</v>
      </c>
    </row>
    <row r="730" spans="1:4" ht="13.5" customHeight="1" x14ac:dyDescent="0.3">
      <c r="A730" s="50">
        <v>726</v>
      </c>
      <c r="B730" s="51">
        <f t="shared" ca="1" si="11"/>
        <v>7.4710597557081648E-2</v>
      </c>
      <c r="C730" s="48">
        <f t="array" aca="1" ref="C730" ca="1">MAX(0,ROUND(Inputs!$B$10*Inputs!$B$11+NORMSINV(B730)*SQRT(Inputs!$B$10*Inputs!$B$11),0))</f>
        <v>468</v>
      </c>
      <c r="D730" s="52">
        <f ca="1">C730*Inputs!$B$12</f>
        <v>56160000</v>
      </c>
    </row>
    <row r="731" spans="1:4" ht="13.5" customHeight="1" x14ac:dyDescent="0.3">
      <c r="A731" s="46">
        <v>727</v>
      </c>
      <c r="B731" s="47">
        <f t="shared" ca="1" si="11"/>
        <v>0.24875817927254806</v>
      </c>
      <c r="C731" s="48">
        <f t="array" aca="1" ref="C731" ca="1">MAX(0,ROUND(Inputs!$B$10*Inputs!$B$11+NORMSINV(B731)*SQRT(Inputs!$B$10*Inputs!$B$11),0))</f>
        <v>485</v>
      </c>
      <c r="D731" s="49">
        <f ca="1">C731*Inputs!$B$12</f>
        <v>58200000</v>
      </c>
    </row>
    <row r="732" spans="1:4" ht="13.5" customHeight="1" x14ac:dyDescent="0.3">
      <c r="A732" s="50">
        <v>728</v>
      </c>
      <c r="B732" s="51">
        <f t="shared" ca="1" si="11"/>
        <v>0.80480056996141713</v>
      </c>
      <c r="C732" s="48">
        <f t="array" aca="1" ref="C732" ca="1">MAX(0,ROUND(Inputs!$B$10*Inputs!$B$11+NORMSINV(B732)*SQRT(Inputs!$B$10*Inputs!$B$11),0))</f>
        <v>519</v>
      </c>
      <c r="D732" s="52">
        <f ca="1">C732*Inputs!$B$12</f>
        <v>62280000</v>
      </c>
    </row>
    <row r="733" spans="1:4" ht="13.5" customHeight="1" x14ac:dyDescent="0.3">
      <c r="A733" s="46">
        <v>729</v>
      </c>
      <c r="B733" s="47">
        <f t="shared" ca="1" si="11"/>
        <v>4.9609147863455161E-2</v>
      </c>
      <c r="C733" s="48">
        <f t="array" aca="1" ref="C733" ca="1">MAX(0,ROUND(Inputs!$B$10*Inputs!$B$11+NORMSINV(B733)*SQRT(Inputs!$B$10*Inputs!$B$11),0))</f>
        <v>463</v>
      </c>
      <c r="D733" s="49">
        <f ca="1">C733*Inputs!$B$12</f>
        <v>55560000</v>
      </c>
    </row>
    <row r="734" spans="1:4" ht="13.5" customHeight="1" x14ac:dyDescent="0.3">
      <c r="A734" s="50">
        <v>730</v>
      </c>
      <c r="B734" s="51">
        <f t="shared" ca="1" si="11"/>
        <v>0.36358481141542009</v>
      </c>
      <c r="C734" s="48">
        <f t="array" aca="1" ref="C734" ca="1">MAX(0,ROUND(Inputs!$B$10*Inputs!$B$11+NORMSINV(B734)*SQRT(Inputs!$B$10*Inputs!$B$11),0))</f>
        <v>492</v>
      </c>
      <c r="D734" s="52">
        <f ca="1">C734*Inputs!$B$12</f>
        <v>59040000</v>
      </c>
    </row>
    <row r="735" spans="1:4" ht="13.5" customHeight="1" x14ac:dyDescent="0.3">
      <c r="A735" s="46">
        <v>731</v>
      </c>
      <c r="B735" s="47">
        <f t="shared" ca="1" si="11"/>
        <v>0.29712093097712422</v>
      </c>
      <c r="C735" s="48">
        <f t="array" aca="1" ref="C735" ca="1">MAX(0,ROUND(Inputs!$B$10*Inputs!$B$11+NORMSINV(B735)*SQRT(Inputs!$B$10*Inputs!$B$11),0))</f>
        <v>488</v>
      </c>
      <c r="D735" s="49">
        <f ca="1">C735*Inputs!$B$12</f>
        <v>58560000</v>
      </c>
    </row>
    <row r="736" spans="1:4" ht="13.5" customHeight="1" x14ac:dyDescent="0.3">
      <c r="A736" s="50">
        <v>732</v>
      </c>
      <c r="B736" s="51">
        <f t="shared" ca="1" si="11"/>
        <v>2.9817940652197894E-2</v>
      </c>
      <c r="C736" s="48">
        <f t="array" aca="1" ref="C736" ca="1">MAX(0,ROUND(Inputs!$B$10*Inputs!$B$11+NORMSINV(B736)*SQRT(Inputs!$B$10*Inputs!$B$11),0))</f>
        <v>458</v>
      </c>
      <c r="D736" s="52">
        <f ca="1">C736*Inputs!$B$12</f>
        <v>54960000</v>
      </c>
    </row>
    <row r="737" spans="1:4" ht="13.5" customHeight="1" x14ac:dyDescent="0.3">
      <c r="A737" s="46">
        <v>733</v>
      </c>
      <c r="B737" s="47">
        <f t="shared" ca="1" si="11"/>
        <v>0.80470284684046933</v>
      </c>
      <c r="C737" s="48">
        <f t="array" aca="1" ref="C737" ca="1">MAX(0,ROUND(Inputs!$B$10*Inputs!$B$11+NORMSINV(B737)*SQRT(Inputs!$B$10*Inputs!$B$11),0))</f>
        <v>519</v>
      </c>
      <c r="D737" s="49">
        <f ca="1">C737*Inputs!$B$12</f>
        <v>62280000</v>
      </c>
    </row>
    <row r="738" spans="1:4" ht="13.5" customHeight="1" x14ac:dyDescent="0.3">
      <c r="A738" s="50">
        <v>734</v>
      </c>
      <c r="B738" s="51">
        <f t="shared" ca="1" si="11"/>
        <v>0.97562688454859925</v>
      </c>
      <c r="C738" s="48">
        <f t="array" aca="1" ref="C738" ca="1">MAX(0,ROUND(Inputs!$B$10*Inputs!$B$11+NORMSINV(B738)*SQRT(Inputs!$B$10*Inputs!$B$11),0))</f>
        <v>544</v>
      </c>
      <c r="D738" s="52">
        <f ca="1">C738*Inputs!$B$12</f>
        <v>65280000</v>
      </c>
    </row>
    <row r="739" spans="1:4" ht="13.5" customHeight="1" x14ac:dyDescent="0.3">
      <c r="A739" s="46">
        <v>735</v>
      </c>
      <c r="B739" s="47">
        <f t="shared" ca="1" si="11"/>
        <v>0.95398001961765799</v>
      </c>
      <c r="C739" s="48">
        <f t="array" aca="1" ref="C739" ca="1">MAX(0,ROUND(Inputs!$B$10*Inputs!$B$11+NORMSINV(B739)*SQRT(Inputs!$B$10*Inputs!$B$11),0))</f>
        <v>538</v>
      </c>
      <c r="D739" s="49">
        <f ca="1">C739*Inputs!$B$12</f>
        <v>64560000</v>
      </c>
    </row>
    <row r="740" spans="1:4" ht="13.5" customHeight="1" x14ac:dyDescent="0.3">
      <c r="A740" s="50">
        <v>736</v>
      </c>
      <c r="B740" s="51">
        <f t="shared" ca="1" si="11"/>
        <v>0.49969769164890865</v>
      </c>
      <c r="C740" s="48">
        <f t="array" aca="1" ref="C740" ca="1">MAX(0,ROUND(Inputs!$B$10*Inputs!$B$11+NORMSINV(B740)*SQRT(Inputs!$B$10*Inputs!$B$11),0))</f>
        <v>500</v>
      </c>
      <c r="D740" s="52">
        <f ca="1">C740*Inputs!$B$12</f>
        <v>60000000</v>
      </c>
    </row>
    <row r="741" spans="1:4" ht="13.5" customHeight="1" x14ac:dyDescent="0.3">
      <c r="A741" s="46">
        <v>737</v>
      </c>
      <c r="B741" s="47">
        <f t="shared" ca="1" si="11"/>
        <v>0.20309990688388724</v>
      </c>
      <c r="C741" s="48">
        <f t="array" aca="1" ref="C741" ca="1">MAX(0,ROUND(Inputs!$B$10*Inputs!$B$11+NORMSINV(B741)*SQRT(Inputs!$B$10*Inputs!$B$11),0))</f>
        <v>481</v>
      </c>
      <c r="D741" s="49">
        <f ca="1">C741*Inputs!$B$12</f>
        <v>57720000</v>
      </c>
    </row>
    <row r="742" spans="1:4" ht="13.5" customHeight="1" x14ac:dyDescent="0.3">
      <c r="A742" s="50">
        <v>738</v>
      </c>
      <c r="B742" s="51">
        <f t="shared" ca="1" si="11"/>
        <v>0.7194053444185291</v>
      </c>
      <c r="C742" s="48">
        <f t="array" aca="1" ref="C742" ca="1">MAX(0,ROUND(Inputs!$B$10*Inputs!$B$11+NORMSINV(B742)*SQRT(Inputs!$B$10*Inputs!$B$11),0))</f>
        <v>513</v>
      </c>
      <c r="D742" s="52">
        <f ca="1">C742*Inputs!$B$12</f>
        <v>61560000</v>
      </c>
    </row>
    <row r="743" spans="1:4" ht="13.5" customHeight="1" x14ac:dyDescent="0.3">
      <c r="A743" s="46">
        <v>739</v>
      </c>
      <c r="B743" s="47">
        <f t="shared" ca="1" si="11"/>
        <v>0.5271101629382754</v>
      </c>
      <c r="C743" s="48">
        <f t="array" aca="1" ref="C743" ca="1">MAX(0,ROUND(Inputs!$B$10*Inputs!$B$11+NORMSINV(B743)*SQRT(Inputs!$B$10*Inputs!$B$11),0))</f>
        <v>502</v>
      </c>
      <c r="D743" s="49">
        <f ca="1">C743*Inputs!$B$12</f>
        <v>60240000</v>
      </c>
    </row>
    <row r="744" spans="1:4" ht="13.5" customHeight="1" x14ac:dyDescent="0.3">
      <c r="A744" s="50">
        <v>740</v>
      </c>
      <c r="B744" s="51">
        <f t="shared" ca="1" si="11"/>
        <v>4.8172593188865243E-2</v>
      </c>
      <c r="C744" s="48">
        <f t="array" aca="1" ref="C744" ca="1">MAX(0,ROUND(Inputs!$B$10*Inputs!$B$11+NORMSINV(B744)*SQRT(Inputs!$B$10*Inputs!$B$11),0))</f>
        <v>463</v>
      </c>
      <c r="D744" s="52">
        <f ca="1">C744*Inputs!$B$12</f>
        <v>55560000</v>
      </c>
    </row>
    <row r="745" spans="1:4" ht="13.5" customHeight="1" x14ac:dyDescent="0.3">
      <c r="A745" s="46">
        <v>741</v>
      </c>
      <c r="B745" s="47">
        <f t="shared" ca="1" si="11"/>
        <v>0.44269684653256569</v>
      </c>
      <c r="C745" s="48">
        <f t="array" aca="1" ref="C745" ca="1">MAX(0,ROUND(Inputs!$B$10*Inputs!$B$11+NORMSINV(B745)*SQRT(Inputs!$B$10*Inputs!$B$11),0))</f>
        <v>497</v>
      </c>
      <c r="D745" s="49">
        <f ca="1">C745*Inputs!$B$12</f>
        <v>59640000</v>
      </c>
    </row>
    <row r="746" spans="1:4" ht="13.5" customHeight="1" x14ac:dyDescent="0.3">
      <c r="A746" s="50">
        <v>742</v>
      </c>
      <c r="B746" s="51">
        <f t="shared" ca="1" si="11"/>
        <v>0.79512719495245254</v>
      </c>
      <c r="C746" s="48">
        <f t="array" aca="1" ref="C746" ca="1">MAX(0,ROUND(Inputs!$B$10*Inputs!$B$11+NORMSINV(B746)*SQRT(Inputs!$B$10*Inputs!$B$11),0))</f>
        <v>518</v>
      </c>
      <c r="D746" s="52">
        <f ca="1">C746*Inputs!$B$12</f>
        <v>62160000</v>
      </c>
    </row>
    <row r="747" spans="1:4" ht="13.5" customHeight="1" x14ac:dyDescent="0.3">
      <c r="A747" s="46">
        <v>743</v>
      </c>
      <c r="B747" s="47">
        <f t="shared" ca="1" si="11"/>
        <v>0.49670741708258082</v>
      </c>
      <c r="C747" s="48">
        <f t="array" aca="1" ref="C747" ca="1">MAX(0,ROUND(Inputs!$B$10*Inputs!$B$11+NORMSINV(B747)*SQRT(Inputs!$B$10*Inputs!$B$11),0))</f>
        <v>500</v>
      </c>
      <c r="D747" s="49">
        <f ca="1">C747*Inputs!$B$12</f>
        <v>60000000</v>
      </c>
    </row>
    <row r="748" spans="1:4" ht="13.5" customHeight="1" x14ac:dyDescent="0.3">
      <c r="A748" s="50">
        <v>744</v>
      </c>
      <c r="B748" s="51">
        <f t="shared" ca="1" si="11"/>
        <v>0.17407213217979767</v>
      </c>
      <c r="C748" s="48">
        <f t="array" aca="1" ref="C748" ca="1">MAX(0,ROUND(Inputs!$B$10*Inputs!$B$11+NORMSINV(B748)*SQRT(Inputs!$B$10*Inputs!$B$11),0))</f>
        <v>479</v>
      </c>
      <c r="D748" s="52">
        <f ca="1">C748*Inputs!$B$12</f>
        <v>57480000</v>
      </c>
    </row>
    <row r="749" spans="1:4" ht="13.5" customHeight="1" x14ac:dyDescent="0.3">
      <c r="A749" s="46">
        <v>745</v>
      </c>
      <c r="B749" s="47">
        <f t="shared" ca="1" si="11"/>
        <v>0.28608981507277553</v>
      </c>
      <c r="C749" s="48">
        <f t="array" aca="1" ref="C749" ca="1">MAX(0,ROUND(Inputs!$B$10*Inputs!$B$11+NORMSINV(B749)*SQRT(Inputs!$B$10*Inputs!$B$11),0))</f>
        <v>487</v>
      </c>
      <c r="D749" s="49">
        <f ca="1">C749*Inputs!$B$12</f>
        <v>58440000</v>
      </c>
    </row>
    <row r="750" spans="1:4" ht="13.5" customHeight="1" x14ac:dyDescent="0.3">
      <c r="A750" s="50">
        <v>746</v>
      </c>
      <c r="B750" s="51">
        <f t="shared" ca="1" si="11"/>
        <v>0.96218406106779397</v>
      </c>
      <c r="C750" s="48">
        <f t="array" aca="1" ref="C750" ca="1">MAX(0,ROUND(Inputs!$B$10*Inputs!$B$11+NORMSINV(B750)*SQRT(Inputs!$B$10*Inputs!$B$11),0))</f>
        <v>540</v>
      </c>
      <c r="D750" s="52">
        <f ca="1">C750*Inputs!$B$12</f>
        <v>64800000</v>
      </c>
    </row>
    <row r="751" spans="1:4" ht="13.5" customHeight="1" x14ac:dyDescent="0.3">
      <c r="A751" s="46">
        <v>747</v>
      </c>
      <c r="B751" s="47">
        <f t="shared" ca="1" si="11"/>
        <v>0.34038722829650969</v>
      </c>
      <c r="C751" s="48">
        <f t="array" aca="1" ref="C751" ca="1">MAX(0,ROUND(Inputs!$B$10*Inputs!$B$11+NORMSINV(B751)*SQRT(Inputs!$B$10*Inputs!$B$11),0))</f>
        <v>491</v>
      </c>
      <c r="D751" s="49">
        <f ca="1">C751*Inputs!$B$12</f>
        <v>58920000</v>
      </c>
    </row>
    <row r="752" spans="1:4" ht="13.5" customHeight="1" x14ac:dyDescent="0.3">
      <c r="A752" s="50">
        <v>748</v>
      </c>
      <c r="B752" s="51">
        <f t="shared" ca="1" si="11"/>
        <v>0.44788604162961787</v>
      </c>
      <c r="C752" s="48">
        <f t="array" aca="1" ref="C752" ca="1">MAX(0,ROUND(Inputs!$B$10*Inputs!$B$11+NORMSINV(B752)*SQRT(Inputs!$B$10*Inputs!$B$11),0))</f>
        <v>497</v>
      </c>
      <c r="D752" s="52">
        <f ca="1">C752*Inputs!$B$12</f>
        <v>59640000</v>
      </c>
    </row>
    <row r="753" spans="1:4" ht="13.5" customHeight="1" x14ac:dyDescent="0.3">
      <c r="A753" s="46">
        <v>749</v>
      </c>
      <c r="B753" s="47">
        <f t="shared" ca="1" si="11"/>
        <v>0.95971621827908116</v>
      </c>
      <c r="C753" s="48">
        <f t="array" aca="1" ref="C753" ca="1">MAX(0,ROUND(Inputs!$B$10*Inputs!$B$11+NORMSINV(B753)*SQRT(Inputs!$B$10*Inputs!$B$11),0))</f>
        <v>539</v>
      </c>
      <c r="D753" s="49">
        <f ca="1">C753*Inputs!$B$12</f>
        <v>64680000</v>
      </c>
    </row>
    <row r="754" spans="1:4" ht="13.5" customHeight="1" x14ac:dyDescent="0.3">
      <c r="A754" s="50">
        <v>750</v>
      </c>
      <c r="B754" s="51">
        <f t="shared" ca="1" si="11"/>
        <v>0.43458379989397977</v>
      </c>
      <c r="C754" s="48">
        <f t="array" aca="1" ref="C754" ca="1">MAX(0,ROUND(Inputs!$B$10*Inputs!$B$11+NORMSINV(B754)*SQRT(Inputs!$B$10*Inputs!$B$11),0))</f>
        <v>496</v>
      </c>
      <c r="D754" s="52">
        <f ca="1">C754*Inputs!$B$12</f>
        <v>59520000</v>
      </c>
    </row>
    <row r="755" spans="1:4" ht="13.5" customHeight="1" x14ac:dyDescent="0.3">
      <c r="A755" s="46">
        <v>751</v>
      </c>
      <c r="B755" s="47">
        <f t="shared" ca="1" si="11"/>
        <v>0.20065467645634916</v>
      </c>
      <c r="C755" s="48">
        <f t="array" aca="1" ref="C755" ca="1">MAX(0,ROUND(Inputs!$B$10*Inputs!$B$11+NORMSINV(B755)*SQRT(Inputs!$B$10*Inputs!$B$11),0))</f>
        <v>481</v>
      </c>
      <c r="D755" s="49">
        <f ca="1">C755*Inputs!$B$12</f>
        <v>57720000</v>
      </c>
    </row>
    <row r="756" spans="1:4" ht="13.5" customHeight="1" x14ac:dyDescent="0.3">
      <c r="A756" s="50">
        <v>752</v>
      </c>
      <c r="B756" s="51">
        <f t="shared" ca="1" si="11"/>
        <v>0.94358052785246704</v>
      </c>
      <c r="C756" s="48">
        <f t="array" aca="1" ref="C756" ca="1">MAX(0,ROUND(Inputs!$B$10*Inputs!$B$11+NORMSINV(B756)*SQRT(Inputs!$B$10*Inputs!$B$11),0))</f>
        <v>535</v>
      </c>
      <c r="D756" s="52">
        <f ca="1">C756*Inputs!$B$12</f>
        <v>64200000</v>
      </c>
    </row>
    <row r="757" spans="1:4" ht="13.5" customHeight="1" x14ac:dyDescent="0.3">
      <c r="A757" s="46">
        <v>753</v>
      </c>
      <c r="B757" s="47">
        <f t="shared" ca="1" si="11"/>
        <v>0.46294348913132577</v>
      </c>
      <c r="C757" s="48">
        <f t="array" aca="1" ref="C757" ca="1">MAX(0,ROUND(Inputs!$B$10*Inputs!$B$11+NORMSINV(B757)*SQRT(Inputs!$B$10*Inputs!$B$11),0))</f>
        <v>498</v>
      </c>
      <c r="D757" s="49">
        <f ca="1">C757*Inputs!$B$12</f>
        <v>59760000</v>
      </c>
    </row>
    <row r="758" spans="1:4" ht="13.5" customHeight="1" x14ac:dyDescent="0.3">
      <c r="A758" s="50">
        <v>754</v>
      </c>
      <c r="B758" s="51">
        <f t="shared" ca="1" si="11"/>
        <v>0.23891866216477764</v>
      </c>
      <c r="C758" s="48">
        <f t="array" aca="1" ref="C758" ca="1">MAX(0,ROUND(Inputs!$B$10*Inputs!$B$11+NORMSINV(B758)*SQRT(Inputs!$B$10*Inputs!$B$11),0))</f>
        <v>484</v>
      </c>
      <c r="D758" s="52">
        <f ca="1">C758*Inputs!$B$12</f>
        <v>58080000</v>
      </c>
    </row>
    <row r="759" spans="1:4" ht="13.5" customHeight="1" x14ac:dyDescent="0.3">
      <c r="A759" s="46">
        <v>755</v>
      </c>
      <c r="B759" s="47">
        <f t="shared" ca="1" si="11"/>
        <v>3.713060044594374E-2</v>
      </c>
      <c r="C759" s="48">
        <f t="array" aca="1" ref="C759" ca="1">MAX(0,ROUND(Inputs!$B$10*Inputs!$B$11+NORMSINV(B759)*SQRT(Inputs!$B$10*Inputs!$B$11),0))</f>
        <v>460</v>
      </c>
      <c r="D759" s="49">
        <f ca="1">C759*Inputs!$B$12</f>
        <v>55200000</v>
      </c>
    </row>
    <row r="760" spans="1:4" ht="13.5" customHeight="1" x14ac:dyDescent="0.3">
      <c r="A760" s="50">
        <v>756</v>
      </c>
      <c r="B760" s="51">
        <f t="shared" ca="1" si="11"/>
        <v>3.876224109990356E-2</v>
      </c>
      <c r="C760" s="48">
        <f t="array" aca="1" ref="C760" ca="1">MAX(0,ROUND(Inputs!$B$10*Inputs!$B$11+NORMSINV(B760)*SQRT(Inputs!$B$10*Inputs!$B$11),0))</f>
        <v>461</v>
      </c>
      <c r="D760" s="52">
        <f ca="1">C760*Inputs!$B$12</f>
        <v>55320000</v>
      </c>
    </row>
    <row r="761" spans="1:4" ht="13.5" customHeight="1" x14ac:dyDescent="0.3">
      <c r="A761" s="46">
        <v>757</v>
      </c>
      <c r="B761" s="47">
        <f t="shared" ca="1" si="11"/>
        <v>0.50052200809617664</v>
      </c>
      <c r="C761" s="48">
        <f t="array" aca="1" ref="C761" ca="1">MAX(0,ROUND(Inputs!$B$10*Inputs!$B$11+NORMSINV(B761)*SQRT(Inputs!$B$10*Inputs!$B$11),0))</f>
        <v>500</v>
      </c>
      <c r="D761" s="49">
        <f ca="1">C761*Inputs!$B$12</f>
        <v>60000000</v>
      </c>
    </row>
    <row r="762" spans="1:4" ht="13.5" customHeight="1" x14ac:dyDescent="0.3">
      <c r="A762" s="50">
        <v>758</v>
      </c>
      <c r="B762" s="51">
        <f t="shared" ca="1" si="11"/>
        <v>0.18766224091562256</v>
      </c>
      <c r="C762" s="48">
        <f t="array" aca="1" ref="C762" ca="1">MAX(0,ROUND(Inputs!$B$10*Inputs!$B$11+NORMSINV(B762)*SQRT(Inputs!$B$10*Inputs!$B$11),0))</f>
        <v>480</v>
      </c>
      <c r="D762" s="52">
        <f ca="1">C762*Inputs!$B$12</f>
        <v>57600000</v>
      </c>
    </row>
    <row r="763" spans="1:4" ht="13.5" customHeight="1" x14ac:dyDescent="0.3">
      <c r="A763" s="46">
        <v>759</v>
      </c>
      <c r="B763" s="47">
        <f t="shared" ca="1" si="11"/>
        <v>0.32732535916841243</v>
      </c>
      <c r="C763" s="48">
        <f t="array" aca="1" ref="C763" ca="1">MAX(0,ROUND(Inputs!$B$10*Inputs!$B$11+NORMSINV(B763)*SQRT(Inputs!$B$10*Inputs!$B$11),0))</f>
        <v>490</v>
      </c>
      <c r="D763" s="49">
        <f ca="1">C763*Inputs!$B$12</f>
        <v>58800000</v>
      </c>
    </row>
    <row r="764" spans="1:4" ht="13.5" customHeight="1" x14ac:dyDescent="0.3">
      <c r="A764" s="50">
        <v>760</v>
      </c>
      <c r="B764" s="51">
        <f t="shared" ca="1" si="11"/>
        <v>0.60615056513682652</v>
      </c>
      <c r="C764" s="48">
        <f t="array" aca="1" ref="C764" ca="1">MAX(0,ROUND(Inputs!$B$10*Inputs!$B$11+NORMSINV(B764)*SQRT(Inputs!$B$10*Inputs!$B$11),0))</f>
        <v>506</v>
      </c>
      <c r="D764" s="52">
        <f ca="1">C764*Inputs!$B$12</f>
        <v>60720000</v>
      </c>
    </row>
    <row r="765" spans="1:4" ht="13.5" customHeight="1" x14ac:dyDescent="0.3">
      <c r="A765" s="46">
        <v>761</v>
      </c>
      <c r="B765" s="47">
        <f t="shared" ca="1" si="11"/>
        <v>0.74050587425711234</v>
      </c>
      <c r="C765" s="48">
        <f t="array" aca="1" ref="C765" ca="1">MAX(0,ROUND(Inputs!$B$10*Inputs!$B$11+NORMSINV(B765)*SQRT(Inputs!$B$10*Inputs!$B$11),0))</f>
        <v>514</v>
      </c>
      <c r="D765" s="49">
        <f ca="1">C765*Inputs!$B$12</f>
        <v>61680000</v>
      </c>
    </row>
    <row r="766" spans="1:4" ht="13.5" customHeight="1" x14ac:dyDescent="0.3">
      <c r="A766" s="50">
        <v>762</v>
      </c>
      <c r="B766" s="51">
        <f t="shared" ca="1" si="11"/>
        <v>0.48746537936932111</v>
      </c>
      <c r="C766" s="48">
        <f t="array" aca="1" ref="C766" ca="1">MAX(0,ROUND(Inputs!$B$10*Inputs!$B$11+NORMSINV(B766)*SQRT(Inputs!$B$10*Inputs!$B$11),0))</f>
        <v>499</v>
      </c>
      <c r="D766" s="52">
        <f ca="1">C766*Inputs!$B$12</f>
        <v>59880000</v>
      </c>
    </row>
    <row r="767" spans="1:4" ht="13.5" customHeight="1" x14ac:dyDescent="0.3">
      <c r="A767" s="46">
        <v>763</v>
      </c>
      <c r="B767" s="47">
        <f t="shared" ca="1" si="11"/>
        <v>0.36684229710943794</v>
      </c>
      <c r="C767" s="48">
        <f t="array" aca="1" ref="C767" ca="1">MAX(0,ROUND(Inputs!$B$10*Inputs!$B$11+NORMSINV(B767)*SQRT(Inputs!$B$10*Inputs!$B$11),0))</f>
        <v>492</v>
      </c>
      <c r="D767" s="49">
        <f ca="1">C767*Inputs!$B$12</f>
        <v>59040000</v>
      </c>
    </row>
    <row r="768" spans="1:4" ht="13.5" customHeight="1" x14ac:dyDescent="0.3">
      <c r="A768" s="50">
        <v>764</v>
      </c>
      <c r="B768" s="51">
        <f t="shared" ca="1" si="11"/>
        <v>0.31971982617903816</v>
      </c>
      <c r="C768" s="48">
        <f t="array" aca="1" ref="C768" ca="1">MAX(0,ROUND(Inputs!$B$10*Inputs!$B$11+NORMSINV(B768)*SQRT(Inputs!$B$10*Inputs!$B$11),0))</f>
        <v>490</v>
      </c>
      <c r="D768" s="52">
        <f ca="1">C768*Inputs!$B$12</f>
        <v>58800000</v>
      </c>
    </row>
    <row r="769" spans="1:4" ht="13.5" customHeight="1" x14ac:dyDescent="0.3">
      <c r="A769" s="46">
        <v>765</v>
      </c>
      <c r="B769" s="47">
        <f t="shared" ca="1" si="11"/>
        <v>0.9375633228591973</v>
      </c>
      <c r="C769" s="48">
        <f t="array" aca="1" ref="C769" ca="1">MAX(0,ROUND(Inputs!$B$10*Inputs!$B$11+NORMSINV(B769)*SQRT(Inputs!$B$10*Inputs!$B$11),0))</f>
        <v>534</v>
      </c>
      <c r="D769" s="49">
        <f ca="1">C769*Inputs!$B$12</f>
        <v>64080000</v>
      </c>
    </row>
    <row r="770" spans="1:4" ht="13.5" customHeight="1" x14ac:dyDescent="0.3">
      <c r="A770" s="50">
        <v>766</v>
      </c>
      <c r="B770" s="51">
        <f t="shared" ca="1" si="11"/>
        <v>0.72389431208006205</v>
      </c>
      <c r="C770" s="48">
        <f t="array" aca="1" ref="C770" ca="1">MAX(0,ROUND(Inputs!$B$10*Inputs!$B$11+NORMSINV(B770)*SQRT(Inputs!$B$10*Inputs!$B$11),0))</f>
        <v>513</v>
      </c>
      <c r="D770" s="52">
        <f ca="1">C770*Inputs!$B$12</f>
        <v>61560000</v>
      </c>
    </row>
    <row r="771" spans="1:4" ht="13.5" customHeight="1" x14ac:dyDescent="0.3">
      <c r="A771" s="46">
        <v>767</v>
      </c>
      <c r="B771" s="47">
        <f t="shared" ca="1" si="11"/>
        <v>0.7399062449686078</v>
      </c>
      <c r="C771" s="48">
        <f t="array" aca="1" ref="C771" ca="1">MAX(0,ROUND(Inputs!$B$10*Inputs!$B$11+NORMSINV(B771)*SQRT(Inputs!$B$10*Inputs!$B$11),0))</f>
        <v>514</v>
      </c>
      <c r="D771" s="49">
        <f ca="1">C771*Inputs!$B$12</f>
        <v>61680000</v>
      </c>
    </row>
    <row r="772" spans="1:4" ht="13.5" customHeight="1" x14ac:dyDescent="0.3">
      <c r="A772" s="50">
        <v>768</v>
      </c>
      <c r="B772" s="51">
        <f t="shared" ca="1" si="11"/>
        <v>0.3846382665557635</v>
      </c>
      <c r="C772" s="48">
        <f t="array" aca="1" ref="C772" ca="1">MAX(0,ROUND(Inputs!$B$10*Inputs!$B$11+NORMSINV(B772)*SQRT(Inputs!$B$10*Inputs!$B$11),0))</f>
        <v>493</v>
      </c>
      <c r="D772" s="52">
        <f ca="1">C772*Inputs!$B$12</f>
        <v>59160000</v>
      </c>
    </row>
    <row r="773" spans="1:4" ht="13.5" customHeight="1" x14ac:dyDescent="0.3">
      <c r="A773" s="46">
        <v>769</v>
      </c>
      <c r="B773" s="47">
        <f t="shared" ref="B773:B836" ca="1" si="12">RAND()</f>
        <v>0.5720174757583768</v>
      </c>
      <c r="C773" s="48">
        <f t="array" aca="1" ref="C773" ca="1">MAX(0,ROUND(Inputs!$B$10*Inputs!$B$11+NORMSINV(B773)*SQRT(Inputs!$B$10*Inputs!$B$11),0))</f>
        <v>504</v>
      </c>
      <c r="D773" s="49">
        <f ca="1">C773*Inputs!$B$12</f>
        <v>60480000</v>
      </c>
    </row>
    <row r="774" spans="1:4" ht="13.5" customHeight="1" x14ac:dyDescent="0.3">
      <c r="A774" s="50">
        <v>770</v>
      </c>
      <c r="B774" s="51">
        <f t="shared" ca="1" si="12"/>
        <v>0.54778182899134653</v>
      </c>
      <c r="C774" s="48">
        <f t="array" aca="1" ref="C774" ca="1">MAX(0,ROUND(Inputs!$B$10*Inputs!$B$11+NORMSINV(B774)*SQRT(Inputs!$B$10*Inputs!$B$11),0))</f>
        <v>503</v>
      </c>
      <c r="D774" s="52">
        <f ca="1">C774*Inputs!$B$12</f>
        <v>60360000</v>
      </c>
    </row>
    <row r="775" spans="1:4" ht="13.5" customHeight="1" x14ac:dyDescent="0.3">
      <c r="A775" s="46">
        <v>771</v>
      </c>
      <c r="B775" s="47">
        <f t="shared" ca="1" si="12"/>
        <v>0.23128210200158894</v>
      </c>
      <c r="C775" s="48">
        <f t="array" aca="1" ref="C775" ca="1">MAX(0,ROUND(Inputs!$B$10*Inputs!$B$11+NORMSINV(B775)*SQRT(Inputs!$B$10*Inputs!$B$11),0))</f>
        <v>484</v>
      </c>
      <c r="D775" s="49">
        <f ca="1">C775*Inputs!$B$12</f>
        <v>58080000</v>
      </c>
    </row>
    <row r="776" spans="1:4" ht="13.5" customHeight="1" x14ac:dyDescent="0.3">
      <c r="A776" s="50">
        <v>772</v>
      </c>
      <c r="B776" s="51">
        <f t="shared" ca="1" si="12"/>
        <v>0.56841732850299387</v>
      </c>
      <c r="C776" s="48">
        <f t="array" aca="1" ref="C776" ca="1">MAX(0,ROUND(Inputs!$B$10*Inputs!$B$11+NORMSINV(B776)*SQRT(Inputs!$B$10*Inputs!$B$11),0))</f>
        <v>504</v>
      </c>
      <c r="D776" s="52">
        <f ca="1">C776*Inputs!$B$12</f>
        <v>60480000</v>
      </c>
    </row>
    <row r="777" spans="1:4" ht="13.5" customHeight="1" x14ac:dyDescent="0.3">
      <c r="A777" s="46">
        <v>773</v>
      </c>
      <c r="B777" s="47">
        <f t="shared" ca="1" si="12"/>
        <v>0.36290124664203649</v>
      </c>
      <c r="C777" s="48">
        <f t="array" aca="1" ref="C777" ca="1">MAX(0,ROUND(Inputs!$B$10*Inputs!$B$11+NORMSINV(B777)*SQRT(Inputs!$B$10*Inputs!$B$11),0))</f>
        <v>492</v>
      </c>
      <c r="D777" s="49">
        <f ca="1">C777*Inputs!$B$12</f>
        <v>59040000</v>
      </c>
    </row>
    <row r="778" spans="1:4" ht="13.5" customHeight="1" x14ac:dyDescent="0.3">
      <c r="A778" s="50">
        <v>774</v>
      </c>
      <c r="B778" s="51">
        <f t="shared" ca="1" si="12"/>
        <v>0.11757890629155665</v>
      </c>
      <c r="C778" s="48">
        <f t="array" aca="1" ref="C778" ca="1">MAX(0,ROUND(Inputs!$B$10*Inputs!$B$11+NORMSINV(B778)*SQRT(Inputs!$B$10*Inputs!$B$11),0))</f>
        <v>473</v>
      </c>
      <c r="D778" s="52">
        <f ca="1">C778*Inputs!$B$12</f>
        <v>56760000</v>
      </c>
    </row>
    <row r="779" spans="1:4" ht="13.5" customHeight="1" x14ac:dyDescent="0.3">
      <c r="A779" s="46">
        <v>775</v>
      </c>
      <c r="B779" s="47">
        <f t="shared" ca="1" si="12"/>
        <v>0.12809539138662906</v>
      </c>
      <c r="C779" s="48">
        <f t="array" aca="1" ref="C779" ca="1">MAX(0,ROUND(Inputs!$B$10*Inputs!$B$11+NORMSINV(B779)*SQRT(Inputs!$B$10*Inputs!$B$11),0))</f>
        <v>475</v>
      </c>
      <c r="D779" s="49">
        <f ca="1">C779*Inputs!$B$12</f>
        <v>57000000</v>
      </c>
    </row>
    <row r="780" spans="1:4" ht="13.5" customHeight="1" x14ac:dyDescent="0.3">
      <c r="A780" s="50">
        <v>776</v>
      </c>
      <c r="B780" s="51">
        <f t="shared" ca="1" si="12"/>
        <v>0.29617707580367703</v>
      </c>
      <c r="C780" s="48">
        <f t="array" aca="1" ref="C780" ca="1">MAX(0,ROUND(Inputs!$B$10*Inputs!$B$11+NORMSINV(B780)*SQRT(Inputs!$B$10*Inputs!$B$11),0))</f>
        <v>488</v>
      </c>
      <c r="D780" s="52">
        <f ca="1">C780*Inputs!$B$12</f>
        <v>58560000</v>
      </c>
    </row>
    <row r="781" spans="1:4" ht="13.5" customHeight="1" x14ac:dyDescent="0.3">
      <c r="A781" s="46">
        <v>777</v>
      </c>
      <c r="B781" s="47">
        <f t="shared" ca="1" si="12"/>
        <v>0.27476858044479779</v>
      </c>
      <c r="C781" s="48">
        <f t="array" aca="1" ref="C781" ca="1">MAX(0,ROUND(Inputs!$B$10*Inputs!$B$11+NORMSINV(B781)*SQRT(Inputs!$B$10*Inputs!$B$11),0))</f>
        <v>487</v>
      </c>
      <c r="D781" s="49">
        <f ca="1">C781*Inputs!$B$12</f>
        <v>58440000</v>
      </c>
    </row>
    <row r="782" spans="1:4" ht="13.5" customHeight="1" x14ac:dyDescent="0.3">
      <c r="A782" s="50">
        <v>778</v>
      </c>
      <c r="B782" s="51">
        <f t="shared" ca="1" si="12"/>
        <v>0.21366524224068617</v>
      </c>
      <c r="C782" s="48">
        <f t="array" aca="1" ref="C782" ca="1">MAX(0,ROUND(Inputs!$B$10*Inputs!$B$11+NORMSINV(B782)*SQRT(Inputs!$B$10*Inputs!$B$11),0))</f>
        <v>482</v>
      </c>
      <c r="D782" s="52">
        <f ca="1">C782*Inputs!$B$12</f>
        <v>57840000</v>
      </c>
    </row>
    <row r="783" spans="1:4" ht="13.5" customHeight="1" x14ac:dyDescent="0.3">
      <c r="A783" s="46">
        <v>779</v>
      </c>
      <c r="B783" s="47">
        <f t="shared" ca="1" si="12"/>
        <v>0.67611495860917714</v>
      </c>
      <c r="C783" s="48">
        <f t="array" aca="1" ref="C783" ca="1">MAX(0,ROUND(Inputs!$B$10*Inputs!$B$11+NORMSINV(B783)*SQRT(Inputs!$B$10*Inputs!$B$11),0))</f>
        <v>510</v>
      </c>
      <c r="D783" s="49">
        <f ca="1">C783*Inputs!$B$12</f>
        <v>61200000</v>
      </c>
    </row>
    <row r="784" spans="1:4" ht="13.5" customHeight="1" x14ac:dyDescent="0.3">
      <c r="A784" s="50">
        <v>780</v>
      </c>
      <c r="B784" s="51">
        <f t="shared" ca="1" si="12"/>
        <v>0.98992357023152999</v>
      </c>
      <c r="C784" s="48">
        <f t="array" aca="1" ref="C784" ca="1">MAX(0,ROUND(Inputs!$B$10*Inputs!$B$11+NORMSINV(B784)*SQRT(Inputs!$B$10*Inputs!$B$11),0))</f>
        <v>552</v>
      </c>
      <c r="D784" s="52">
        <f ca="1">C784*Inputs!$B$12</f>
        <v>66240000</v>
      </c>
    </row>
    <row r="785" spans="1:4" ht="13.5" customHeight="1" x14ac:dyDescent="0.3">
      <c r="A785" s="46">
        <v>781</v>
      </c>
      <c r="B785" s="47">
        <f t="shared" ca="1" si="12"/>
        <v>0.56060664233973168</v>
      </c>
      <c r="C785" s="48">
        <f t="array" aca="1" ref="C785" ca="1">MAX(0,ROUND(Inputs!$B$10*Inputs!$B$11+NORMSINV(B785)*SQRT(Inputs!$B$10*Inputs!$B$11),0))</f>
        <v>503</v>
      </c>
      <c r="D785" s="49">
        <f ca="1">C785*Inputs!$B$12</f>
        <v>60360000</v>
      </c>
    </row>
    <row r="786" spans="1:4" ht="13.5" customHeight="1" x14ac:dyDescent="0.3">
      <c r="A786" s="50">
        <v>782</v>
      </c>
      <c r="B786" s="51">
        <f t="shared" ca="1" si="12"/>
        <v>0.55106273807389861</v>
      </c>
      <c r="C786" s="48">
        <f t="array" aca="1" ref="C786" ca="1">MAX(0,ROUND(Inputs!$B$10*Inputs!$B$11+NORMSINV(B786)*SQRT(Inputs!$B$10*Inputs!$B$11),0))</f>
        <v>503</v>
      </c>
      <c r="D786" s="52">
        <f ca="1">C786*Inputs!$B$12</f>
        <v>60360000</v>
      </c>
    </row>
    <row r="787" spans="1:4" ht="13.5" customHeight="1" x14ac:dyDescent="0.3">
      <c r="A787" s="46">
        <v>783</v>
      </c>
      <c r="B787" s="47">
        <f t="shared" ca="1" si="12"/>
        <v>0.84465311887952133</v>
      </c>
      <c r="C787" s="48">
        <f t="array" aca="1" ref="C787" ca="1">MAX(0,ROUND(Inputs!$B$10*Inputs!$B$11+NORMSINV(B787)*SQRT(Inputs!$B$10*Inputs!$B$11),0))</f>
        <v>523</v>
      </c>
      <c r="D787" s="49">
        <f ca="1">C787*Inputs!$B$12</f>
        <v>62760000</v>
      </c>
    </row>
    <row r="788" spans="1:4" ht="13.5" customHeight="1" x14ac:dyDescent="0.3">
      <c r="A788" s="50">
        <v>784</v>
      </c>
      <c r="B788" s="51">
        <f t="shared" ca="1" si="12"/>
        <v>0.4177172057665044</v>
      </c>
      <c r="C788" s="48">
        <f t="array" aca="1" ref="C788" ca="1">MAX(0,ROUND(Inputs!$B$10*Inputs!$B$11+NORMSINV(B788)*SQRT(Inputs!$B$10*Inputs!$B$11),0))</f>
        <v>495</v>
      </c>
      <c r="D788" s="52">
        <f ca="1">C788*Inputs!$B$12</f>
        <v>59400000</v>
      </c>
    </row>
    <row r="789" spans="1:4" ht="13.5" customHeight="1" x14ac:dyDescent="0.3">
      <c r="A789" s="46">
        <v>785</v>
      </c>
      <c r="B789" s="47">
        <f t="shared" ca="1" si="12"/>
        <v>0.79055402683180009</v>
      </c>
      <c r="C789" s="48">
        <f t="array" aca="1" ref="C789" ca="1">MAX(0,ROUND(Inputs!$B$10*Inputs!$B$11+NORMSINV(B789)*SQRT(Inputs!$B$10*Inputs!$B$11),0))</f>
        <v>518</v>
      </c>
      <c r="D789" s="49">
        <f ca="1">C789*Inputs!$B$12</f>
        <v>62160000</v>
      </c>
    </row>
    <row r="790" spans="1:4" ht="13.5" customHeight="1" x14ac:dyDescent="0.3">
      <c r="A790" s="50">
        <v>786</v>
      </c>
      <c r="B790" s="51">
        <f t="shared" ca="1" si="12"/>
        <v>0.1215379421636088</v>
      </c>
      <c r="C790" s="48">
        <f t="array" aca="1" ref="C790" ca="1">MAX(0,ROUND(Inputs!$B$10*Inputs!$B$11+NORMSINV(B790)*SQRT(Inputs!$B$10*Inputs!$B$11),0))</f>
        <v>474</v>
      </c>
      <c r="D790" s="52">
        <f ca="1">C790*Inputs!$B$12</f>
        <v>56880000</v>
      </c>
    </row>
    <row r="791" spans="1:4" ht="13.5" customHeight="1" x14ac:dyDescent="0.3">
      <c r="A791" s="46">
        <v>787</v>
      </c>
      <c r="B791" s="47">
        <f t="shared" ca="1" si="12"/>
        <v>0.60893732379593968</v>
      </c>
      <c r="C791" s="48">
        <f t="array" aca="1" ref="C791" ca="1">MAX(0,ROUND(Inputs!$B$10*Inputs!$B$11+NORMSINV(B791)*SQRT(Inputs!$B$10*Inputs!$B$11),0))</f>
        <v>506</v>
      </c>
      <c r="D791" s="49">
        <f ca="1">C791*Inputs!$B$12</f>
        <v>60720000</v>
      </c>
    </row>
    <row r="792" spans="1:4" ht="13.5" customHeight="1" x14ac:dyDescent="0.3">
      <c r="A792" s="50">
        <v>788</v>
      </c>
      <c r="B792" s="51">
        <f t="shared" ca="1" si="12"/>
        <v>0.8121350364134563</v>
      </c>
      <c r="C792" s="48">
        <f t="array" aca="1" ref="C792" ca="1">MAX(0,ROUND(Inputs!$B$10*Inputs!$B$11+NORMSINV(B792)*SQRT(Inputs!$B$10*Inputs!$B$11),0))</f>
        <v>520</v>
      </c>
      <c r="D792" s="52">
        <f ca="1">C792*Inputs!$B$12</f>
        <v>62400000</v>
      </c>
    </row>
    <row r="793" spans="1:4" ht="13.5" customHeight="1" x14ac:dyDescent="0.3">
      <c r="A793" s="46">
        <v>789</v>
      </c>
      <c r="B793" s="47">
        <f t="shared" ca="1" si="12"/>
        <v>0.81588421524128685</v>
      </c>
      <c r="C793" s="48">
        <f t="array" aca="1" ref="C793" ca="1">MAX(0,ROUND(Inputs!$B$10*Inputs!$B$11+NORMSINV(B793)*SQRT(Inputs!$B$10*Inputs!$B$11),0))</f>
        <v>520</v>
      </c>
      <c r="D793" s="49">
        <f ca="1">C793*Inputs!$B$12</f>
        <v>62400000</v>
      </c>
    </row>
    <row r="794" spans="1:4" ht="13.5" customHeight="1" x14ac:dyDescent="0.3">
      <c r="A794" s="50">
        <v>790</v>
      </c>
      <c r="B794" s="51">
        <f t="shared" ca="1" si="12"/>
        <v>0.40781363027994455</v>
      </c>
      <c r="C794" s="48">
        <f t="array" aca="1" ref="C794" ca="1">MAX(0,ROUND(Inputs!$B$10*Inputs!$B$11+NORMSINV(B794)*SQRT(Inputs!$B$10*Inputs!$B$11),0))</f>
        <v>495</v>
      </c>
      <c r="D794" s="52">
        <f ca="1">C794*Inputs!$B$12</f>
        <v>59400000</v>
      </c>
    </row>
    <row r="795" spans="1:4" ht="13.5" customHeight="1" x14ac:dyDescent="0.3">
      <c r="A795" s="46">
        <v>791</v>
      </c>
      <c r="B795" s="47">
        <f t="shared" ca="1" si="12"/>
        <v>0.88524785165687303</v>
      </c>
      <c r="C795" s="48">
        <f t="array" aca="1" ref="C795" ca="1">MAX(0,ROUND(Inputs!$B$10*Inputs!$B$11+NORMSINV(B795)*SQRT(Inputs!$B$10*Inputs!$B$11),0))</f>
        <v>527</v>
      </c>
      <c r="D795" s="49">
        <f ca="1">C795*Inputs!$B$12</f>
        <v>63240000</v>
      </c>
    </row>
    <row r="796" spans="1:4" ht="13.5" customHeight="1" x14ac:dyDescent="0.3">
      <c r="A796" s="50">
        <v>792</v>
      </c>
      <c r="B796" s="51">
        <f t="shared" ca="1" si="12"/>
        <v>0.35835662722117612</v>
      </c>
      <c r="C796" s="48">
        <f t="array" aca="1" ref="C796" ca="1">MAX(0,ROUND(Inputs!$B$10*Inputs!$B$11+NORMSINV(B796)*SQRT(Inputs!$B$10*Inputs!$B$11),0))</f>
        <v>492</v>
      </c>
      <c r="D796" s="52">
        <f ca="1">C796*Inputs!$B$12</f>
        <v>59040000</v>
      </c>
    </row>
    <row r="797" spans="1:4" ht="13.5" customHeight="1" x14ac:dyDescent="0.3">
      <c r="A797" s="46">
        <v>793</v>
      </c>
      <c r="B797" s="47">
        <f t="shared" ca="1" si="12"/>
        <v>0.69113128489971487</v>
      </c>
      <c r="C797" s="48">
        <f t="array" aca="1" ref="C797" ca="1">MAX(0,ROUND(Inputs!$B$10*Inputs!$B$11+NORMSINV(B797)*SQRT(Inputs!$B$10*Inputs!$B$11),0))</f>
        <v>511</v>
      </c>
      <c r="D797" s="49">
        <f ca="1">C797*Inputs!$B$12</f>
        <v>61320000</v>
      </c>
    </row>
    <row r="798" spans="1:4" ht="13.5" customHeight="1" x14ac:dyDescent="0.3">
      <c r="A798" s="50">
        <v>794</v>
      </c>
      <c r="B798" s="51">
        <f t="shared" ca="1" si="12"/>
        <v>0.72145062145722982</v>
      </c>
      <c r="C798" s="48">
        <f t="array" aca="1" ref="C798" ca="1">MAX(0,ROUND(Inputs!$B$10*Inputs!$B$11+NORMSINV(B798)*SQRT(Inputs!$B$10*Inputs!$B$11),0))</f>
        <v>513</v>
      </c>
      <c r="D798" s="52">
        <f ca="1">C798*Inputs!$B$12</f>
        <v>61560000</v>
      </c>
    </row>
    <row r="799" spans="1:4" ht="13.5" customHeight="1" x14ac:dyDescent="0.3">
      <c r="A799" s="46">
        <v>795</v>
      </c>
      <c r="B799" s="47">
        <f t="shared" ca="1" si="12"/>
        <v>0.68429666575892012</v>
      </c>
      <c r="C799" s="48">
        <f t="array" aca="1" ref="C799" ca="1">MAX(0,ROUND(Inputs!$B$10*Inputs!$B$11+NORMSINV(B799)*SQRT(Inputs!$B$10*Inputs!$B$11),0))</f>
        <v>511</v>
      </c>
      <c r="D799" s="49">
        <f ca="1">C799*Inputs!$B$12</f>
        <v>61320000</v>
      </c>
    </row>
    <row r="800" spans="1:4" ht="13.5" customHeight="1" x14ac:dyDescent="0.3">
      <c r="A800" s="50">
        <v>796</v>
      </c>
      <c r="B800" s="51">
        <f t="shared" ca="1" si="12"/>
        <v>0.46820984328559268</v>
      </c>
      <c r="C800" s="48">
        <f t="array" aca="1" ref="C800" ca="1">MAX(0,ROUND(Inputs!$B$10*Inputs!$B$11+NORMSINV(B800)*SQRT(Inputs!$B$10*Inputs!$B$11),0))</f>
        <v>498</v>
      </c>
      <c r="D800" s="52">
        <f ca="1">C800*Inputs!$B$12</f>
        <v>59760000</v>
      </c>
    </row>
    <row r="801" spans="1:4" ht="13.5" customHeight="1" x14ac:dyDescent="0.3">
      <c r="A801" s="46">
        <v>797</v>
      </c>
      <c r="B801" s="47">
        <f t="shared" ca="1" si="12"/>
        <v>0.25380876639309691</v>
      </c>
      <c r="C801" s="48">
        <f t="array" aca="1" ref="C801" ca="1">MAX(0,ROUND(Inputs!$B$10*Inputs!$B$11+NORMSINV(B801)*SQRT(Inputs!$B$10*Inputs!$B$11),0))</f>
        <v>485</v>
      </c>
      <c r="D801" s="49">
        <f ca="1">C801*Inputs!$B$12</f>
        <v>58200000</v>
      </c>
    </row>
    <row r="802" spans="1:4" ht="13.5" customHeight="1" x14ac:dyDescent="0.3">
      <c r="A802" s="50">
        <v>798</v>
      </c>
      <c r="B802" s="51">
        <f t="shared" ca="1" si="12"/>
        <v>0.20121399855730016</v>
      </c>
      <c r="C802" s="48">
        <f t="array" aca="1" ref="C802" ca="1">MAX(0,ROUND(Inputs!$B$10*Inputs!$B$11+NORMSINV(B802)*SQRT(Inputs!$B$10*Inputs!$B$11),0))</f>
        <v>481</v>
      </c>
      <c r="D802" s="52">
        <f ca="1">C802*Inputs!$B$12</f>
        <v>57720000</v>
      </c>
    </row>
    <row r="803" spans="1:4" ht="13.5" customHeight="1" x14ac:dyDescent="0.3">
      <c r="A803" s="46">
        <v>799</v>
      </c>
      <c r="B803" s="47">
        <f t="shared" ca="1" si="12"/>
        <v>0.54415189097177741</v>
      </c>
      <c r="C803" s="48">
        <f t="array" aca="1" ref="C803" ca="1">MAX(0,ROUND(Inputs!$B$10*Inputs!$B$11+NORMSINV(B803)*SQRT(Inputs!$B$10*Inputs!$B$11),0))</f>
        <v>502</v>
      </c>
      <c r="D803" s="49">
        <f ca="1">C803*Inputs!$B$12</f>
        <v>60240000</v>
      </c>
    </row>
    <row r="804" spans="1:4" ht="13.5" customHeight="1" x14ac:dyDescent="0.3">
      <c r="A804" s="50">
        <v>800</v>
      </c>
      <c r="B804" s="51">
        <f t="shared" ca="1" si="12"/>
        <v>0.14557743674250423</v>
      </c>
      <c r="C804" s="48">
        <f t="array" aca="1" ref="C804" ca="1">MAX(0,ROUND(Inputs!$B$10*Inputs!$B$11+NORMSINV(B804)*SQRT(Inputs!$B$10*Inputs!$B$11),0))</f>
        <v>476</v>
      </c>
      <c r="D804" s="52">
        <f ca="1">C804*Inputs!$B$12</f>
        <v>57120000</v>
      </c>
    </row>
    <row r="805" spans="1:4" ht="13.5" customHeight="1" x14ac:dyDescent="0.3">
      <c r="A805" s="46">
        <v>801</v>
      </c>
      <c r="B805" s="47">
        <f t="shared" ca="1" si="12"/>
        <v>0.65187336578553501</v>
      </c>
      <c r="C805" s="48">
        <f t="array" aca="1" ref="C805" ca="1">MAX(0,ROUND(Inputs!$B$10*Inputs!$B$11+NORMSINV(B805)*SQRT(Inputs!$B$10*Inputs!$B$11),0))</f>
        <v>509</v>
      </c>
      <c r="D805" s="49">
        <f ca="1">C805*Inputs!$B$12</f>
        <v>61080000</v>
      </c>
    </row>
    <row r="806" spans="1:4" ht="13.5" customHeight="1" x14ac:dyDescent="0.3">
      <c r="A806" s="50">
        <v>802</v>
      </c>
      <c r="B806" s="51">
        <f t="shared" ca="1" si="12"/>
        <v>0.11753684893106719</v>
      </c>
      <c r="C806" s="48">
        <f t="array" aca="1" ref="C806" ca="1">MAX(0,ROUND(Inputs!$B$10*Inputs!$B$11+NORMSINV(B806)*SQRT(Inputs!$B$10*Inputs!$B$11),0))</f>
        <v>473</v>
      </c>
      <c r="D806" s="52">
        <f ca="1">C806*Inputs!$B$12</f>
        <v>56760000</v>
      </c>
    </row>
    <row r="807" spans="1:4" ht="13.5" customHeight="1" x14ac:dyDescent="0.3">
      <c r="A807" s="46">
        <v>803</v>
      </c>
      <c r="B807" s="47">
        <f t="shared" ca="1" si="12"/>
        <v>0.96317195842605441</v>
      </c>
      <c r="C807" s="48">
        <f t="array" aca="1" ref="C807" ca="1">MAX(0,ROUND(Inputs!$B$10*Inputs!$B$11+NORMSINV(B807)*SQRT(Inputs!$B$10*Inputs!$B$11),0))</f>
        <v>540</v>
      </c>
      <c r="D807" s="49">
        <f ca="1">C807*Inputs!$B$12</f>
        <v>64800000</v>
      </c>
    </row>
    <row r="808" spans="1:4" ht="13.5" customHeight="1" x14ac:dyDescent="0.3">
      <c r="A808" s="50">
        <v>804</v>
      </c>
      <c r="B808" s="51">
        <f t="shared" ca="1" si="12"/>
        <v>0.20860367313927863</v>
      </c>
      <c r="C808" s="48">
        <f t="array" aca="1" ref="C808" ca="1">MAX(0,ROUND(Inputs!$B$10*Inputs!$B$11+NORMSINV(B808)*SQRT(Inputs!$B$10*Inputs!$B$11),0))</f>
        <v>482</v>
      </c>
      <c r="D808" s="52">
        <f ca="1">C808*Inputs!$B$12</f>
        <v>57840000</v>
      </c>
    </row>
    <row r="809" spans="1:4" ht="13.5" customHeight="1" x14ac:dyDescent="0.3">
      <c r="A809" s="46">
        <v>805</v>
      </c>
      <c r="B809" s="47">
        <f t="shared" ca="1" si="12"/>
        <v>8.5943418109219571E-2</v>
      </c>
      <c r="C809" s="48">
        <f t="array" aca="1" ref="C809" ca="1">MAX(0,ROUND(Inputs!$B$10*Inputs!$B$11+NORMSINV(B809)*SQRT(Inputs!$B$10*Inputs!$B$11),0))</f>
        <v>469</v>
      </c>
      <c r="D809" s="49">
        <f ca="1">C809*Inputs!$B$12</f>
        <v>56280000</v>
      </c>
    </row>
    <row r="810" spans="1:4" ht="13.5" customHeight="1" x14ac:dyDescent="0.3">
      <c r="A810" s="50">
        <v>806</v>
      </c>
      <c r="B810" s="51">
        <f t="shared" ca="1" si="12"/>
        <v>0.75193355688474683</v>
      </c>
      <c r="C810" s="48">
        <f t="array" aca="1" ref="C810" ca="1">MAX(0,ROUND(Inputs!$B$10*Inputs!$B$11+NORMSINV(B810)*SQRT(Inputs!$B$10*Inputs!$B$11),0))</f>
        <v>515</v>
      </c>
      <c r="D810" s="52">
        <f ca="1">C810*Inputs!$B$12</f>
        <v>61800000</v>
      </c>
    </row>
    <row r="811" spans="1:4" ht="13.5" customHeight="1" x14ac:dyDescent="0.3">
      <c r="A811" s="46">
        <v>807</v>
      </c>
      <c r="B811" s="47">
        <f t="shared" ca="1" si="12"/>
        <v>4.8416291298397862E-2</v>
      </c>
      <c r="C811" s="48">
        <f t="array" aca="1" ref="C811" ca="1">MAX(0,ROUND(Inputs!$B$10*Inputs!$B$11+NORMSINV(B811)*SQRT(Inputs!$B$10*Inputs!$B$11),0))</f>
        <v>463</v>
      </c>
      <c r="D811" s="49">
        <f ca="1">C811*Inputs!$B$12</f>
        <v>55560000</v>
      </c>
    </row>
    <row r="812" spans="1:4" ht="13.5" customHeight="1" x14ac:dyDescent="0.3">
      <c r="A812" s="50">
        <v>808</v>
      </c>
      <c r="B812" s="51">
        <f t="shared" ca="1" si="12"/>
        <v>0.47408054211238904</v>
      </c>
      <c r="C812" s="48">
        <f t="array" aca="1" ref="C812" ca="1">MAX(0,ROUND(Inputs!$B$10*Inputs!$B$11+NORMSINV(B812)*SQRT(Inputs!$B$10*Inputs!$B$11),0))</f>
        <v>499</v>
      </c>
      <c r="D812" s="52">
        <f ca="1">C812*Inputs!$B$12</f>
        <v>59880000</v>
      </c>
    </row>
    <row r="813" spans="1:4" ht="13.5" customHeight="1" x14ac:dyDescent="0.3">
      <c r="A813" s="46">
        <v>809</v>
      </c>
      <c r="B813" s="47">
        <f t="shared" ca="1" si="12"/>
        <v>0.3322417040737764</v>
      </c>
      <c r="C813" s="48">
        <f t="array" aca="1" ref="C813" ca="1">MAX(0,ROUND(Inputs!$B$10*Inputs!$B$11+NORMSINV(B813)*SQRT(Inputs!$B$10*Inputs!$B$11),0))</f>
        <v>490</v>
      </c>
      <c r="D813" s="49">
        <f ca="1">C813*Inputs!$B$12</f>
        <v>58800000</v>
      </c>
    </row>
    <row r="814" spans="1:4" ht="13.5" customHeight="1" x14ac:dyDescent="0.3">
      <c r="A814" s="50">
        <v>810</v>
      </c>
      <c r="B814" s="51">
        <f t="shared" ca="1" si="12"/>
        <v>0.6696617954337486</v>
      </c>
      <c r="C814" s="48">
        <f t="array" aca="1" ref="C814" ca="1">MAX(0,ROUND(Inputs!$B$10*Inputs!$B$11+NORMSINV(B814)*SQRT(Inputs!$B$10*Inputs!$B$11),0))</f>
        <v>510</v>
      </c>
      <c r="D814" s="52">
        <f ca="1">C814*Inputs!$B$12</f>
        <v>61200000</v>
      </c>
    </row>
    <row r="815" spans="1:4" ht="13.5" customHeight="1" x14ac:dyDescent="0.3">
      <c r="A815" s="46">
        <v>811</v>
      </c>
      <c r="B815" s="47">
        <f t="shared" ca="1" si="12"/>
        <v>0.62706613272100886</v>
      </c>
      <c r="C815" s="48">
        <f t="array" aca="1" ref="C815" ca="1">MAX(0,ROUND(Inputs!$B$10*Inputs!$B$11+NORMSINV(B815)*SQRT(Inputs!$B$10*Inputs!$B$11),0))</f>
        <v>507</v>
      </c>
      <c r="D815" s="49">
        <f ca="1">C815*Inputs!$B$12</f>
        <v>60840000</v>
      </c>
    </row>
    <row r="816" spans="1:4" ht="13.5" customHeight="1" x14ac:dyDescent="0.3">
      <c r="A816" s="50">
        <v>812</v>
      </c>
      <c r="B816" s="51">
        <f t="shared" ca="1" si="12"/>
        <v>0.5057594332413361</v>
      </c>
      <c r="C816" s="48">
        <f t="array" aca="1" ref="C816" ca="1">MAX(0,ROUND(Inputs!$B$10*Inputs!$B$11+NORMSINV(B816)*SQRT(Inputs!$B$10*Inputs!$B$11),0))</f>
        <v>500</v>
      </c>
      <c r="D816" s="52">
        <f ca="1">C816*Inputs!$B$12</f>
        <v>60000000</v>
      </c>
    </row>
    <row r="817" spans="1:4" ht="13.5" customHeight="1" x14ac:dyDescent="0.3">
      <c r="A817" s="46">
        <v>813</v>
      </c>
      <c r="B817" s="47">
        <f t="shared" ca="1" si="12"/>
        <v>0.1633798549989165</v>
      </c>
      <c r="C817" s="48">
        <f t="array" aca="1" ref="C817" ca="1">MAX(0,ROUND(Inputs!$B$10*Inputs!$B$11+NORMSINV(B817)*SQRT(Inputs!$B$10*Inputs!$B$11),0))</f>
        <v>478</v>
      </c>
      <c r="D817" s="49">
        <f ca="1">C817*Inputs!$B$12</f>
        <v>57360000</v>
      </c>
    </row>
    <row r="818" spans="1:4" ht="13.5" customHeight="1" x14ac:dyDescent="0.3">
      <c r="A818" s="50">
        <v>814</v>
      </c>
      <c r="B818" s="51">
        <f t="shared" ca="1" si="12"/>
        <v>0.59785649462399404</v>
      </c>
      <c r="C818" s="48">
        <f t="array" aca="1" ref="C818" ca="1">MAX(0,ROUND(Inputs!$B$10*Inputs!$B$11+NORMSINV(B818)*SQRT(Inputs!$B$10*Inputs!$B$11),0))</f>
        <v>506</v>
      </c>
      <c r="D818" s="52">
        <f ca="1">C818*Inputs!$B$12</f>
        <v>60720000</v>
      </c>
    </row>
    <row r="819" spans="1:4" ht="13.5" customHeight="1" x14ac:dyDescent="0.3">
      <c r="A819" s="46">
        <v>815</v>
      </c>
      <c r="B819" s="47">
        <f t="shared" ca="1" si="12"/>
        <v>0.12273646397338989</v>
      </c>
      <c r="C819" s="48">
        <f t="array" aca="1" ref="C819" ca="1">MAX(0,ROUND(Inputs!$B$10*Inputs!$B$11+NORMSINV(B819)*SQRT(Inputs!$B$10*Inputs!$B$11),0))</f>
        <v>474</v>
      </c>
      <c r="D819" s="49">
        <f ca="1">C819*Inputs!$B$12</f>
        <v>56880000</v>
      </c>
    </row>
    <row r="820" spans="1:4" ht="13.5" customHeight="1" x14ac:dyDescent="0.3">
      <c r="A820" s="50">
        <v>816</v>
      </c>
      <c r="B820" s="51">
        <f t="shared" ca="1" si="12"/>
        <v>2.1407694040637915E-2</v>
      </c>
      <c r="C820" s="48">
        <f t="array" aca="1" ref="C820" ca="1">MAX(0,ROUND(Inputs!$B$10*Inputs!$B$11+NORMSINV(B820)*SQRT(Inputs!$B$10*Inputs!$B$11),0))</f>
        <v>455</v>
      </c>
      <c r="D820" s="52">
        <f ca="1">C820*Inputs!$B$12</f>
        <v>54600000</v>
      </c>
    </row>
    <row r="821" spans="1:4" ht="13.5" customHeight="1" x14ac:dyDescent="0.3">
      <c r="A821" s="46">
        <v>817</v>
      </c>
      <c r="B821" s="47">
        <f t="shared" ca="1" si="12"/>
        <v>0.86958835843477689</v>
      </c>
      <c r="C821" s="48">
        <f t="array" aca="1" ref="C821" ca="1">MAX(0,ROUND(Inputs!$B$10*Inputs!$B$11+NORMSINV(B821)*SQRT(Inputs!$B$10*Inputs!$B$11),0))</f>
        <v>525</v>
      </c>
      <c r="D821" s="49">
        <f ca="1">C821*Inputs!$B$12</f>
        <v>63000000</v>
      </c>
    </row>
    <row r="822" spans="1:4" ht="13.5" customHeight="1" x14ac:dyDescent="0.3">
      <c r="A822" s="50">
        <v>818</v>
      </c>
      <c r="B822" s="51">
        <f t="shared" ca="1" si="12"/>
        <v>0.8920369077229956</v>
      </c>
      <c r="C822" s="48">
        <f t="array" aca="1" ref="C822" ca="1">MAX(0,ROUND(Inputs!$B$10*Inputs!$B$11+NORMSINV(B822)*SQRT(Inputs!$B$10*Inputs!$B$11),0))</f>
        <v>528</v>
      </c>
      <c r="D822" s="52">
        <f ca="1">C822*Inputs!$B$12</f>
        <v>63360000</v>
      </c>
    </row>
    <row r="823" spans="1:4" ht="13.5" customHeight="1" x14ac:dyDescent="0.3">
      <c r="A823" s="46">
        <v>819</v>
      </c>
      <c r="B823" s="47">
        <f t="shared" ca="1" si="12"/>
        <v>0.41915159634027532</v>
      </c>
      <c r="C823" s="48">
        <f t="array" aca="1" ref="C823" ca="1">MAX(0,ROUND(Inputs!$B$10*Inputs!$B$11+NORMSINV(B823)*SQRT(Inputs!$B$10*Inputs!$B$11),0))</f>
        <v>495</v>
      </c>
      <c r="D823" s="49">
        <f ca="1">C823*Inputs!$B$12</f>
        <v>59400000</v>
      </c>
    </row>
    <row r="824" spans="1:4" ht="13.5" customHeight="1" x14ac:dyDescent="0.3">
      <c r="A824" s="50">
        <v>820</v>
      </c>
      <c r="B824" s="51">
        <f t="shared" ca="1" si="12"/>
        <v>0.33796802378330704</v>
      </c>
      <c r="C824" s="48">
        <f t="array" aca="1" ref="C824" ca="1">MAX(0,ROUND(Inputs!$B$10*Inputs!$B$11+NORMSINV(B824)*SQRT(Inputs!$B$10*Inputs!$B$11),0))</f>
        <v>491</v>
      </c>
      <c r="D824" s="52">
        <f ca="1">C824*Inputs!$B$12</f>
        <v>58920000</v>
      </c>
    </row>
    <row r="825" spans="1:4" ht="13.5" customHeight="1" x14ac:dyDescent="0.3">
      <c r="A825" s="46">
        <v>821</v>
      </c>
      <c r="B825" s="47">
        <f t="shared" ca="1" si="12"/>
        <v>0.12705773215332694</v>
      </c>
      <c r="C825" s="48">
        <f t="array" aca="1" ref="C825" ca="1">MAX(0,ROUND(Inputs!$B$10*Inputs!$B$11+NORMSINV(B825)*SQRT(Inputs!$B$10*Inputs!$B$11),0))</f>
        <v>474</v>
      </c>
      <c r="D825" s="49">
        <f ca="1">C825*Inputs!$B$12</f>
        <v>56880000</v>
      </c>
    </row>
    <row r="826" spans="1:4" ht="13.5" customHeight="1" x14ac:dyDescent="0.3">
      <c r="A826" s="50">
        <v>822</v>
      </c>
      <c r="B826" s="51">
        <f t="shared" ca="1" si="12"/>
        <v>0.50307794145853513</v>
      </c>
      <c r="C826" s="48">
        <f t="array" aca="1" ref="C826" ca="1">MAX(0,ROUND(Inputs!$B$10*Inputs!$B$11+NORMSINV(B826)*SQRT(Inputs!$B$10*Inputs!$B$11),0))</f>
        <v>500</v>
      </c>
      <c r="D826" s="52">
        <f ca="1">C826*Inputs!$B$12</f>
        <v>60000000</v>
      </c>
    </row>
    <row r="827" spans="1:4" ht="13.5" customHeight="1" x14ac:dyDescent="0.3">
      <c r="A827" s="46">
        <v>823</v>
      </c>
      <c r="B827" s="47">
        <f t="shared" ca="1" si="12"/>
        <v>4.6896732945627129E-2</v>
      </c>
      <c r="C827" s="48">
        <f t="array" aca="1" ref="C827" ca="1">MAX(0,ROUND(Inputs!$B$10*Inputs!$B$11+NORMSINV(B827)*SQRT(Inputs!$B$10*Inputs!$B$11),0))</f>
        <v>463</v>
      </c>
      <c r="D827" s="49">
        <f ca="1">C827*Inputs!$B$12</f>
        <v>55560000</v>
      </c>
    </row>
    <row r="828" spans="1:4" ht="13.5" customHeight="1" x14ac:dyDescent="0.3">
      <c r="A828" s="50">
        <v>824</v>
      </c>
      <c r="B828" s="51">
        <f t="shared" ca="1" si="12"/>
        <v>0.16674015263039976</v>
      </c>
      <c r="C828" s="48">
        <f t="array" aca="1" ref="C828" ca="1">MAX(0,ROUND(Inputs!$B$10*Inputs!$B$11+NORMSINV(B828)*SQRT(Inputs!$B$10*Inputs!$B$11),0))</f>
        <v>478</v>
      </c>
      <c r="D828" s="52">
        <f ca="1">C828*Inputs!$B$12</f>
        <v>57360000</v>
      </c>
    </row>
    <row r="829" spans="1:4" ht="13.5" customHeight="1" x14ac:dyDescent="0.3">
      <c r="A829" s="46">
        <v>825</v>
      </c>
      <c r="B829" s="47">
        <f t="shared" ca="1" si="12"/>
        <v>1.3133769082376512E-2</v>
      </c>
      <c r="C829" s="48">
        <f t="array" aca="1" ref="C829" ca="1">MAX(0,ROUND(Inputs!$B$10*Inputs!$B$11+NORMSINV(B829)*SQRT(Inputs!$B$10*Inputs!$B$11),0))</f>
        <v>450</v>
      </c>
      <c r="D829" s="49">
        <f ca="1">C829*Inputs!$B$12</f>
        <v>54000000</v>
      </c>
    </row>
    <row r="830" spans="1:4" ht="13.5" customHeight="1" x14ac:dyDescent="0.3">
      <c r="A830" s="50">
        <v>826</v>
      </c>
      <c r="B830" s="51">
        <f t="shared" ca="1" si="12"/>
        <v>0.17152202895362578</v>
      </c>
      <c r="C830" s="48">
        <f t="array" aca="1" ref="C830" ca="1">MAX(0,ROUND(Inputs!$B$10*Inputs!$B$11+NORMSINV(B830)*SQRT(Inputs!$B$10*Inputs!$B$11),0))</f>
        <v>479</v>
      </c>
      <c r="D830" s="52">
        <f ca="1">C830*Inputs!$B$12</f>
        <v>57480000</v>
      </c>
    </row>
    <row r="831" spans="1:4" ht="13.5" customHeight="1" x14ac:dyDescent="0.3">
      <c r="A831" s="46">
        <v>827</v>
      </c>
      <c r="B831" s="47">
        <f t="shared" ca="1" si="12"/>
        <v>0.80266833443452368</v>
      </c>
      <c r="C831" s="48">
        <f t="array" aca="1" ref="C831" ca="1">MAX(0,ROUND(Inputs!$B$10*Inputs!$B$11+NORMSINV(B831)*SQRT(Inputs!$B$10*Inputs!$B$11),0))</f>
        <v>519</v>
      </c>
      <c r="D831" s="49">
        <f ca="1">C831*Inputs!$B$12</f>
        <v>62280000</v>
      </c>
    </row>
    <row r="832" spans="1:4" ht="13.5" customHeight="1" x14ac:dyDescent="0.3">
      <c r="A832" s="50">
        <v>828</v>
      </c>
      <c r="B832" s="51">
        <f t="shared" ca="1" si="12"/>
        <v>0.46585672545657864</v>
      </c>
      <c r="C832" s="48">
        <f t="array" aca="1" ref="C832" ca="1">MAX(0,ROUND(Inputs!$B$10*Inputs!$B$11+NORMSINV(B832)*SQRT(Inputs!$B$10*Inputs!$B$11),0))</f>
        <v>498</v>
      </c>
      <c r="D832" s="52">
        <f ca="1">C832*Inputs!$B$12</f>
        <v>59760000</v>
      </c>
    </row>
    <row r="833" spans="1:4" ht="13.5" customHeight="1" x14ac:dyDescent="0.3">
      <c r="A833" s="46">
        <v>829</v>
      </c>
      <c r="B833" s="47">
        <f t="shared" ca="1" si="12"/>
        <v>0.46298297723135329</v>
      </c>
      <c r="C833" s="48">
        <f t="array" aca="1" ref="C833" ca="1">MAX(0,ROUND(Inputs!$B$10*Inputs!$B$11+NORMSINV(B833)*SQRT(Inputs!$B$10*Inputs!$B$11),0))</f>
        <v>498</v>
      </c>
      <c r="D833" s="49">
        <f ca="1">C833*Inputs!$B$12</f>
        <v>59760000</v>
      </c>
    </row>
    <row r="834" spans="1:4" ht="13.5" customHeight="1" x14ac:dyDescent="0.3">
      <c r="A834" s="50">
        <v>830</v>
      </c>
      <c r="B834" s="51">
        <f t="shared" ca="1" si="12"/>
        <v>3.0701517712937942E-2</v>
      </c>
      <c r="C834" s="48">
        <f t="array" aca="1" ref="C834" ca="1">MAX(0,ROUND(Inputs!$B$10*Inputs!$B$11+NORMSINV(B834)*SQRT(Inputs!$B$10*Inputs!$B$11),0))</f>
        <v>458</v>
      </c>
      <c r="D834" s="52">
        <f ca="1">C834*Inputs!$B$12</f>
        <v>54960000</v>
      </c>
    </row>
    <row r="835" spans="1:4" ht="13.5" customHeight="1" x14ac:dyDescent="0.3">
      <c r="A835" s="46">
        <v>831</v>
      </c>
      <c r="B835" s="47">
        <f t="shared" ca="1" si="12"/>
        <v>0.65991263238319786</v>
      </c>
      <c r="C835" s="48">
        <f t="array" aca="1" ref="C835" ca="1">MAX(0,ROUND(Inputs!$B$10*Inputs!$B$11+NORMSINV(B835)*SQRT(Inputs!$B$10*Inputs!$B$11),0))</f>
        <v>509</v>
      </c>
      <c r="D835" s="49">
        <f ca="1">C835*Inputs!$B$12</f>
        <v>61080000</v>
      </c>
    </row>
    <row r="836" spans="1:4" ht="13.5" customHeight="1" x14ac:dyDescent="0.3">
      <c r="A836" s="50">
        <v>832</v>
      </c>
      <c r="B836" s="51">
        <f t="shared" ca="1" si="12"/>
        <v>0.32820799768272735</v>
      </c>
      <c r="C836" s="48">
        <f t="array" aca="1" ref="C836" ca="1">MAX(0,ROUND(Inputs!$B$10*Inputs!$B$11+NORMSINV(B836)*SQRT(Inputs!$B$10*Inputs!$B$11),0))</f>
        <v>490</v>
      </c>
      <c r="D836" s="52">
        <f ca="1">C836*Inputs!$B$12</f>
        <v>58800000</v>
      </c>
    </row>
    <row r="837" spans="1:4" ht="13.5" customHeight="1" x14ac:dyDescent="0.3">
      <c r="A837" s="46">
        <v>833</v>
      </c>
      <c r="B837" s="47">
        <f t="shared" ref="B837:B900" ca="1" si="13">RAND()</f>
        <v>0.86963489059532229</v>
      </c>
      <c r="C837" s="48">
        <f t="array" aca="1" ref="C837" ca="1">MAX(0,ROUND(Inputs!$B$10*Inputs!$B$11+NORMSINV(B837)*SQRT(Inputs!$B$10*Inputs!$B$11),0))</f>
        <v>525</v>
      </c>
      <c r="D837" s="49">
        <f ca="1">C837*Inputs!$B$12</f>
        <v>63000000</v>
      </c>
    </row>
    <row r="838" spans="1:4" ht="13.5" customHeight="1" x14ac:dyDescent="0.3">
      <c r="A838" s="50">
        <v>834</v>
      </c>
      <c r="B838" s="51">
        <f t="shared" ca="1" si="13"/>
        <v>0.66476161488419927</v>
      </c>
      <c r="C838" s="48">
        <f t="array" aca="1" ref="C838" ca="1">MAX(0,ROUND(Inputs!$B$10*Inputs!$B$11+NORMSINV(B838)*SQRT(Inputs!$B$10*Inputs!$B$11),0))</f>
        <v>510</v>
      </c>
      <c r="D838" s="52">
        <f ca="1">C838*Inputs!$B$12</f>
        <v>61200000</v>
      </c>
    </row>
    <row r="839" spans="1:4" ht="13.5" customHeight="1" x14ac:dyDescent="0.3">
      <c r="A839" s="46">
        <v>835</v>
      </c>
      <c r="B839" s="47">
        <f t="shared" ca="1" si="13"/>
        <v>7.3922224698389494E-2</v>
      </c>
      <c r="C839" s="48">
        <f t="array" aca="1" ref="C839" ca="1">MAX(0,ROUND(Inputs!$B$10*Inputs!$B$11+NORMSINV(B839)*SQRT(Inputs!$B$10*Inputs!$B$11),0))</f>
        <v>468</v>
      </c>
      <c r="D839" s="49">
        <f ca="1">C839*Inputs!$B$12</f>
        <v>56160000</v>
      </c>
    </row>
    <row r="840" spans="1:4" ht="13.5" customHeight="1" x14ac:dyDescent="0.3">
      <c r="A840" s="50">
        <v>836</v>
      </c>
      <c r="B840" s="51">
        <f t="shared" ca="1" si="13"/>
        <v>0.14676582495198365</v>
      </c>
      <c r="C840" s="48">
        <f t="array" aca="1" ref="C840" ca="1">MAX(0,ROUND(Inputs!$B$10*Inputs!$B$11+NORMSINV(B840)*SQRT(Inputs!$B$10*Inputs!$B$11),0))</f>
        <v>477</v>
      </c>
      <c r="D840" s="52">
        <f ca="1">C840*Inputs!$B$12</f>
        <v>57240000</v>
      </c>
    </row>
    <row r="841" spans="1:4" ht="13.5" customHeight="1" x14ac:dyDescent="0.3">
      <c r="A841" s="46">
        <v>837</v>
      </c>
      <c r="B841" s="47">
        <f t="shared" ca="1" si="13"/>
        <v>0.49528435970545071</v>
      </c>
      <c r="C841" s="48">
        <f t="array" aca="1" ref="C841" ca="1">MAX(0,ROUND(Inputs!$B$10*Inputs!$B$11+NORMSINV(B841)*SQRT(Inputs!$B$10*Inputs!$B$11),0))</f>
        <v>500</v>
      </c>
      <c r="D841" s="49">
        <f ca="1">C841*Inputs!$B$12</f>
        <v>60000000</v>
      </c>
    </row>
    <row r="842" spans="1:4" ht="13.5" customHeight="1" x14ac:dyDescent="0.3">
      <c r="A842" s="50">
        <v>838</v>
      </c>
      <c r="B842" s="51">
        <f t="shared" ca="1" si="13"/>
        <v>0.9837978708929046</v>
      </c>
      <c r="C842" s="48">
        <f t="array" aca="1" ref="C842" ca="1">MAX(0,ROUND(Inputs!$B$10*Inputs!$B$11+NORMSINV(B842)*SQRT(Inputs!$B$10*Inputs!$B$11),0))</f>
        <v>548</v>
      </c>
      <c r="D842" s="52">
        <f ca="1">C842*Inputs!$B$12</f>
        <v>65760000</v>
      </c>
    </row>
    <row r="843" spans="1:4" ht="13.5" customHeight="1" x14ac:dyDescent="0.3">
      <c r="A843" s="46">
        <v>839</v>
      </c>
      <c r="B843" s="47">
        <f t="shared" ca="1" si="13"/>
        <v>0.21615346618350328</v>
      </c>
      <c r="C843" s="48">
        <f t="array" aca="1" ref="C843" ca="1">MAX(0,ROUND(Inputs!$B$10*Inputs!$B$11+NORMSINV(B843)*SQRT(Inputs!$B$10*Inputs!$B$11),0))</f>
        <v>482</v>
      </c>
      <c r="D843" s="49">
        <f ca="1">C843*Inputs!$B$12</f>
        <v>57840000</v>
      </c>
    </row>
    <row r="844" spans="1:4" ht="13.5" customHeight="1" x14ac:dyDescent="0.3">
      <c r="A844" s="50">
        <v>840</v>
      </c>
      <c r="B844" s="51">
        <f t="shared" ca="1" si="13"/>
        <v>0.55291127938083884</v>
      </c>
      <c r="C844" s="48">
        <f t="array" aca="1" ref="C844" ca="1">MAX(0,ROUND(Inputs!$B$10*Inputs!$B$11+NORMSINV(B844)*SQRT(Inputs!$B$10*Inputs!$B$11),0))</f>
        <v>503</v>
      </c>
      <c r="D844" s="52">
        <f ca="1">C844*Inputs!$B$12</f>
        <v>60360000</v>
      </c>
    </row>
    <row r="845" spans="1:4" ht="13.5" customHeight="1" x14ac:dyDescent="0.3">
      <c r="A845" s="46">
        <v>841</v>
      </c>
      <c r="B845" s="47">
        <f t="shared" ca="1" si="13"/>
        <v>0.11950429930469142</v>
      </c>
      <c r="C845" s="48">
        <f t="array" aca="1" ref="C845" ca="1">MAX(0,ROUND(Inputs!$B$10*Inputs!$B$11+NORMSINV(B845)*SQRT(Inputs!$B$10*Inputs!$B$11),0))</f>
        <v>474</v>
      </c>
      <c r="D845" s="49">
        <f ca="1">C845*Inputs!$B$12</f>
        <v>56880000</v>
      </c>
    </row>
    <row r="846" spans="1:4" ht="13.5" customHeight="1" x14ac:dyDescent="0.3">
      <c r="A846" s="50">
        <v>842</v>
      </c>
      <c r="B846" s="51">
        <f t="shared" ca="1" si="13"/>
        <v>0.27878954952439572</v>
      </c>
      <c r="C846" s="48">
        <f t="array" aca="1" ref="C846" ca="1">MAX(0,ROUND(Inputs!$B$10*Inputs!$B$11+NORMSINV(B846)*SQRT(Inputs!$B$10*Inputs!$B$11),0))</f>
        <v>487</v>
      </c>
      <c r="D846" s="52">
        <f ca="1">C846*Inputs!$B$12</f>
        <v>58440000</v>
      </c>
    </row>
    <row r="847" spans="1:4" ht="13.5" customHeight="1" x14ac:dyDescent="0.3">
      <c r="A847" s="46">
        <v>843</v>
      </c>
      <c r="B847" s="47">
        <f t="shared" ca="1" si="13"/>
        <v>1.5970817975764051E-2</v>
      </c>
      <c r="C847" s="48">
        <f t="array" aca="1" ref="C847" ca="1">MAX(0,ROUND(Inputs!$B$10*Inputs!$B$11+NORMSINV(B847)*SQRT(Inputs!$B$10*Inputs!$B$11),0))</f>
        <v>452</v>
      </c>
      <c r="D847" s="49">
        <f ca="1">C847*Inputs!$B$12</f>
        <v>54240000</v>
      </c>
    </row>
    <row r="848" spans="1:4" ht="13.5" customHeight="1" x14ac:dyDescent="0.3">
      <c r="A848" s="50">
        <v>844</v>
      </c>
      <c r="B848" s="51">
        <f t="shared" ca="1" si="13"/>
        <v>0.48570046807337763</v>
      </c>
      <c r="C848" s="48">
        <f t="array" aca="1" ref="C848" ca="1">MAX(0,ROUND(Inputs!$B$10*Inputs!$B$11+NORMSINV(B848)*SQRT(Inputs!$B$10*Inputs!$B$11),0))</f>
        <v>499</v>
      </c>
      <c r="D848" s="52">
        <f ca="1">C848*Inputs!$B$12</f>
        <v>59880000</v>
      </c>
    </row>
    <row r="849" spans="1:4" ht="13.5" customHeight="1" x14ac:dyDescent="0.3">
      <c r="A849" s="46">
        <v>845</v>
      </c>
      <c r="B849" s="47">
        <f t="shared" ca="1" si="13"/>
        <v>0.81234024823779138</v>
      </c>
      <c r="C849" s="48">
        <f t="array" aca="1" ref="C849" ca="1">MAX(0,ROUND(Inputs!$B$10*Inputs!$B$11+NORMSINV(B849)*SQRT(Inputs!$B$10*Inputs!$B$11),0))</f>
        <v>520</v>
      </c>
      <c r="D849" s="49">
        <f ca="1">C849*Inputs!$B$12</f>
        <v>62400000</v>
      </c>
    </row>
    <row r="850" spans="1:4" ht="13.5" customHeight="1" x14ac:dyDescent="0.3">
      <c r="A850" s="50">
        <v>846</v>
      </c>
      <c r="B850" s="51">
        <f t="shared" ca="1" si="13"/>
        <v>0.62653846947491154</v>
      </c>
      <c r="C850" s="48">
        <f t="array" aca="1" ref="C850" ca="1">MAX(0,ROUND(Inputs!$B$10*Inputs!$B$11+NORMSINV(B850)*SQRT(Inputs!$B$10*Inputs!$B$11),0))</f>
        <v>507</v>
      </c>
      <c r="D850" s="52">
        <f ca="1">C850*Inputs!$B$12</f>
        <v>60840000</v>
      </c>
    </row>
    <row r="851" spans="1:4" ht="13.5" customHeight="1" x14ac:dyDescent="0.3">
      <c r="A851" s="46">
        <v>847</v>
      </c>
      <c r="B851" s="47">
        <f t="shared" ca="1" si="13"/>
        <v>0.85190068722458623</v>
      </c>
      <c r="C851" s="48">
        <f t="array" aca="1" ref="C851" ca="1">MAX(0,ROUND(Inputs!$B$10*Inputs!$B$11+NORMSINV(B851)*SQRT(Inputs!$B$10*Inputs!$B$11),0))</f>
        <v>523</v>
      </c>
      <c r="D851" s="49">
        <f ca="1">C851*Inputs!$B$12</f>
        <v>62760000</v>
      </c>
    </row>
    <row r="852" spans="1:4" ht="13.5" customHeight="1" x14ac:dyDescent="0.3">
      <c r="A852" s="50">
        <v>848</v>
      </c>
      <c r="B852" s="51">
        <f t="shared" ca="1" si="13"/>
        <v>3.4562488387322898E-2</v>
      </c>
      <c r="C852" s="48">
        <f t="array" aca="1" ref="C852" ca="1">MAX(0,ROUND(Inputs!$B$10*Inputs!$B$11+NORMSINV(B852)*SQRT(Inputs!$B$10*Inputs!$B$11),0))</f>
        <v>459</v>
      </c>
      <c r="D852" s="52">
        <f ca="1">C852*Inputs!$B$12</f>
        <v>55080000</v>
      </c>
    </row>
    <row r="853" spans="1:4" ht="13.5" customHeight="1" x14ac:dyDescent="0.3">
      <c r="A853" s="46">
        <v>849</v>
      </c>
      <c r="B853" s="47">
        <f t="shared" ca="1" si="13"/>
        <v>0.96233504106989454</v>
      </c>
      <c r="C853" s="48">
        <f t="array" aca="1" ref="C853" ca="1">MAX(0,ROUND(Inputs!$B$10*Inputs!$B$11+NORMSINV(B853)*SQRT(Inputs!$B$10*Inputs!$B$11),0))</f>
        <v>540</v>
      </c>
      <c r="D853" s="49">
        <f ca="1">C853*Inputs!$B$12</f>
        <v>64800000</v>
      </c>
    </row>
    <row r="854" spans="1:4" ht="13.5" customHeight="1" x14ac:dyDescent="0.3">
      <c r="A854" s="50">
        <v>850</v>
      </c>
      <c r="B854" s="51">
        <f t="shared" ca="1" si="13"/>
        <v>8.269536740198058E-2</v>
      </c>
      <c r="C854" s="48">
        <f t="array" aca="1" ref="C854" ca="1">MAX(0,ROUND(Inputs!$B$10*Inputs!$B$11+NORMSINV(B854)*SQRT(Inputs!$B$10*Inputs!$B$11),0))</f>
        <v>469</v>
      </c>
      <c r="D854" s="52">
        <f ca="1">C854*Inputs!$B$12</f>
        <v>56280000</v>
      </c>
    </row>
    <row r="855" spans="1:4" ht="13.5" customHeight="1" x14ac:dyDescent="0.3">
      <c r="A855" s="46">
        <v>851</v>
      </c>
      <c r="B855" s="47">
        <f t="shared" ca="1" si="13"/>
        <v>0.19662911049229348</v>
      </c>
      <c r="C855" s="48">
        <f t="array" aca="1" ref="C855" ca="1">MAX(0,ROUND(Inputs!$B$10*Inputs!$B$11+NORMSINV(B855)*SQRT(Inputs!$B$10*Inputs!$B$11),0))</f>
        <v>481</v>
      </c>
      <c r="D855" s="49">
        <f ca="1">C855*Inputs!$B$12</f>
        <v>57720000</v>
      </c>
    </row>
    <row r="856" spans="1:4" ht="13.5" customHeight="1" x14ac:dyDescent="0.3">
      <c r="A856" s="50">
        <v>852</v>
      </c>
      <c r="B856" s="51">
        <f t="shared" ca="1" si="13"/>
        <v>0.32379022436487626</v>
      </c>
      <c r="C856" s="48">
        <f t="array" aca="1" ref="C856" ca="1">MAX(0,ROUND(Inputs!$B$10*Inputs!$B$11+NORMSINV(B856)*SQRT(Inputs!$B$10*Inputs!$B$11),0))</f>
        <v>490</v>
      </c>
      <c r="D856" s="52">
        <f ca="1">C856*Inputs!$B$12</f>
        <v>58800000</v>
      </c>
    </row>
    <row r="857" spans="1:4" ht="13.5" customHeight="1" x14ac:dyDescent="0.3">
      <c r="A857" s="46">
        <v>853</v>
      </c>
      <c r="B857" s="47">
        <f t="shared" ca="1" si="13"/>
        <v>1.4042395059450374E-2</v>
      </c>
      <c r="C857" s="48">
        <f t="array" aca="1" ref="C857" ca="1">MAX(0,ROUND(Inputs!$B$10*Inputs!$B$11+NORMSINV(B857)*SQRT(Inputs!$B$10*Inputs!$B$11),0))</f>
        <v>451</v>
      </c>
      <c r="D857" s="49">
        <f ca="1">C857*Inputs!$B$12</f>
        <v>54120000</v>
      </c>
    </row>
    <row r="858" spans="1:4" ht="13.5" customHeight="1" x14ac:dyDescent="0.3">
      <c r="A858" s="50">
        <v>854</v>
      </c>
      <c r="B858" s="51">
        <f t="shared" ca="1" si="13"/>
        <v>0.39227420306883021</v>
      </c>
      <c r="C858" s="48">
        <f t="array" aca="1" ref="C858" ca="1">MAX(0,ROUND(Inputs!$B$10*Inputs!$B$11+NORMSINV(B858)*SQRT(Inputs!$B$10*Inputs!$B$11),0))</f>
        <v>494</v>
      </c>
      <c r="D858" s="52">
        <f ca="1">C858*Inputs!$B$12</f>
        <v>59280000</v>
      </c>
    </row>
    <row r="859" spans="1:4" ht="13.5" customHeight="1" x14ac:dyDescent="0.3">
      <c r="A859" s="46">
        <v>855</v>
      </c>
      <c r="B859" s="47">
        <f t="shared" ca="1" si="13"/>
        <v>0.89611742712550213</v>
      </c>
      <c r="C859" s="48">
        <f t="array" aca="1" ref="C859" ca="1">MAX(0,ROUND(Inputs!$B$10*Inputs!$B$11+NORMSINV(B859)*SQRT(Inputs!$B$10*Inputs!$B$11),0))</f>
        <v>528</v>
      </c>
      <c r="D859" s="49">
        <f ca="1">C859*Inputs!$B$12</f>
        <v>63360000</v>
      </c>
    </row>
    <row r="860" spans="1:4" ht="13.5" customHeight="1" x14ac:dyDescent="0.3">
      <c r="A860" s="50">
        <v>856</v>
      </c>
      <c r="B860" s="51">
        <f t="shared" ca="1" si="13"/>
        <v>0.67983211342175653</v>
      </c>
      <c r="C860" s="48">
        <f t="array" aca="1" ref="C860" ca="1">MAX(0,ROUND(Inputs!$B$10*Inputs!$B$11+NORMSINV(B860)*SQRT(Inputs!$B$10*Inputs!$B$11),0))</f>
        <v>510</v>
      </c>
      <c r="D860" s="52">
        <f ca="1">C860*Inputs!$B$12</f>
        <v>61200000</v>
      </c>
    </row>
    <row r="861" spans="1:4" ht="13.5" customHeight="1" x14ac:dyDescent="0.3">
      <c r="A861" s="46">
        <v>857</v>
      </c>
      <c r="B861" s="47">
        <f t="shared" ca="1" si="13"/>
        <v>0.58338435243948439</v>
      </c>
      <c r="C861" s="48">
        <f t="array" aca="1" ref="C861" ca="1">MAX(0,ROUND(Inputs!$B$10*Inputs!$B$11+NORMSINV(B861)*SQRT(Inputs!$B$10*Inputs!$B$11),0))</f>
        <v>505</v>
      </c>
      <c r="D861" s="49">
        <f ca="1">C861*Inputs!$B$12</f>
        <v>60600000</v>
      </c>
    </row>
    <row r="862" spans="1:4" ht="13.5" customHeight="1" x14ac:dyDescent="0.3">
      <c r="A862" s="50">
        <v>858</v>
      </c>
      <c r="B862" s="51">
        <f t="shared" ca="1" si="13"/>
        <v>0.97346008159401309</v>
      </c>
      <c r="C862" s="48">
        <f t="array" aca="1" ref="C862" ca="1">MAX(0,ROUND(Inputs!$B$10*Inputs!$B$11+NORMSINV(B862)*SQRT(Inputs!$B$10*Inputs!$B$11),0))</f>
        <v>543</v>
      </c>
      <c r="D862" s="52">
        <f ca="1">C862*Inputs!$B$12</f>
        <v>65160000</v>
      </c>
    </row>
    <row r="863" spans="1:4" ht="13.5" customHeight="1" x14ac:dyDescent="0.3">
      <c r="A863" s="46">
        <v>859</v>
      </c>
      <c r="B863" s="47">
        <f t="shared" ca="1" si="13"/>
        <v>0.37910168314372505</v>
      </c>
      <c r="C863" s="48">
        <f t="array" aca="1" ref="C863" ca="1">MAX(0,ROUND(Inputs!$B$10*Inputs!$B$11+NORMSINV(B863)*SQRT(Inputs!$B$10*Inputs!$B$11),0))</f>
        <v>493</v>
      </c>
      <c r="D863" s="49">
        <f ca="1">C863*Inputs!$B$12</f>
        <v>59160000</v>
      </c>
    </row>
    <row r="864" spans="1:4" ht="13.5" customHeight="1" x14ac:dyDescent="0.3">
      <c r="A864" s="50">
        <v>860</v>
      </c>
      <c r="B864" s="51">
        <f t="shared" ca="1" si="13"/>
        <v>0.62685133405446081</v>
      </c>
      <c r="C864" s="48">
        <f t="array" aca="1" ref="C864" ca="1">MAX(0,ROUND(Inputs!$B$10*Inputs!$B$11+NORMSINV(B864)*SQRT(Inputs!$B$10*Inputs!$B$11),0))</f>
        <v>507</v>
      </c>
      <c r="D864" s="52">
        <f ca="1">C864*Inputs!$B$12</f>
        <v>60840000</v>
      </c>
    </row>
    <row r="865" spans="1:4" ht="13.5" customHeight="1" x14ac:dyDescent="0.3">
      <c r="A865" s="46">
        <v>861</v>
      </c>
      <c r="B865" s="47">
        <f t="shared" ca="1" si="13"/>
        <v>0.79879386096517513</v>
      </c>
      <c r="C865" s="48">
        <f t="array" aca="1" ref="C865" ca="1">MAX(0,ROUND(Inputs!$B$10*Inputs!$B$11+NORMSINV(B865)*SQRT(Inputs!$B$10*Inputs!$B$11),0))</f>
        <v>519</v>
      </c>
      <c r="D865" s="49">
        <f ca="1">C865*Inputs!$B$12</f>
        <v>62280000</v>
      </c>
    </row>
    <row r="866" spans="1:4" ht="13.5" customHeight="1" x14ac:dyDescent="0.3">
      <c r="A866" s="50">
        <v>862</v>
      </c>
      <c r="B866" s="51">
        <f t="shared" ca="1" si="13"/>
        <v>0.51861919908323106</v>
      </c>
      <c r="C866" s="48">
        <f t="array" aca="1" ref="C866" ca="1">MAX(0,ROUND(Inputs!$B$10*Inputs!$B$11+NORMSINV(B866)*SQRT(Inputs!$B$10*Inputs!$B$11),0))</f>
        <v>501</v>
      </c>
      <c r="D866" s="52">
        <f ca="1">C866*Inputs!$B$12</f>
        <v>60120000</v>
      </c>
    </row>
    <row r="867" spans="1:4" ht="13.5" customHeight="1" x14ac:dyDescent="0.3">
      <c r="A867" s="46">
        <v>863</v>
      </c>
      <c r="B867" s="47">
        <f t="shared" ca="1" si="13"/>
        <v>0.62208789818587573</v>
      </c>
      <c r="C867" s="48">
        <f t="array" aca="1" ref="C867" ca="1">MAX(0,ROUND(Inputs!$B$10*Inputs!$B$11+NORMSINV(B867)*SQRT(Inputs!$B$10*Inputs!$B$11),0))</f>
        <v>507</v>
      </c>
      <c r="D867" s="49">
        <f ca="1">C867*Inputs!$B$12</f>
        <v>60840000</v>
      </c>
    </row>
    <row r="868" spans="1:4" ht="13.5" customHeight="1" x14ac:dyDescent="0.3">
      <c r="A868" s="50">
        <v>864</v>
      </c>
      <c r="B868" s="51">
        <f t="shared" ca="1" si="13"/>
        <v>0.63960448984388929</v>
      </c>
      <c r="C868" s="48">
        <f t="array" aca="1" ref="C868" ca="1">MAX(0,ROUND(Inputs!$B$10*Inputs!$B$11+NORMSINV(B868)*SQRT(Inputs!$B$10*Inputs!$B$11),0))</f>
        <v>508</v>
      </c>
      <c r="D868" s="52">
        <f ca="1">C868*Inputs!$B$12</f>
        <v>60960000</v>
      </c>
    </row>
    <row r="869" spans="1:4" ht="13.5" customHeight="1" x14ac:dyDescent="0.3">
      <c r="A869" s="46">
        <v>865</v>
      </c>
      <c r="B869" s="47">
        <f t="shared" ca="1" si="13"/>
        <v>0.11302363641129187</v>
      </c>
      <c r="C869" s="48">
        <f t="array" aca="1" ref="C869" ca="1">MAX(0,ROUND(Inputs!$B$10*Inputs!$B$11+NORMSINV(B869)*SQRT(Inputs!$B$10*Inputs!$B$11),0))</f>
        <v>473</v>
      </c>
      <c r="D869" s="49">
        <f ca="1">C869*Inputs!$B$12</f>
        <v>56760000</v>
      </c>
    </row>
    <row r="870" spans="1:4" ht="13.5" customHeight="1" x14ac:dyDescent="0.3">
      <c r="A870" s="50">
        <v>866</v>
      </c>
      <c r="B870" s="51">
        <f t="shared" ca="1" si="13"/>
        <v>0.84212238142497065</v>
      </c>
      <c r="C870" s="48">
        <f t="array" aca="1" ref="C870" ca="1">MAX(0,ROUND(Inputs!$B$10*Inputs!$B$11+NORMSINV(B870)*SQRT(Inputs!$B$10*Inputs!$B$11),0))</f>
        <v>522</v>
      </c>
      <c r="D870" s="52">
        <f ca="1">C870*Inputs!$B$12</f>
        <v>62640000</v>
      </c>
    </row>
    <row r="871" spans="1:4" ht="13.5" customHeight="1" x14ac:dyDescent="0.3">
      <c r="A871" s="46">
        <v>867</v>
      </c>
      <c r="B871" s="47">
        <f t="shared" ca="1" si="13"/>
        <v>0.35118317182600733</v>
      </c>
      <c r="C871" s="48">
        <f t="array" aca="1" ref="C871" ca="1">MAX(0,ROUND(Inputs!$B$10*Inputs!$B$11+NORMSINV(B871)*SQRT(Inputs!$B$10*Inputs!$B$11),0))</f>
        <v>491</v>
      </c>
      <c r="D871" s="49">
        <f ca="1">C871*Inputs!$B$12</f>
        <v>58920000</v>
      </c>
    </row>
    <row r="872" spans="1:4" ht="13.5" customHeight="1" x14ac:dyDescent="0.3">
      <c r="A872" s="50">
        <v>868</v>
      </c>
      <c r="B872" s="51">
        <f t="shared" ca="1" si="13"/>
        <v>0.60099745965832574</v>
      </c>
      <c r="C872" s="48">
        <f t="array" aca="1" ref="C872" ca="1">MAX(0,ROUND(Inputs!$B$10*Inputs!$B$11+NORMSINV(B872)*SQRT(Inputs!$B$10*Inputs!$B$11),0))</f>
        <v>506</v>
      </c>
      <c r="D872" s="52">
        <f ca="1">C872*Inputs!$B$12</f>
        <v>60720000</v>
      </c>
    </row>
    <row r="873" spans="1:4" ht="13.5" customHeight="1" x14ac:dyDescent="0.3">
      <c r="A873" s="46">
        <v>869</v>
      </c>
      <c r="B873" s="47">
        <f t="shared" ca="1" si="13"/>
        <v>0.52708359893202927</v>
      </c>
      <c r="C873" s="48">
        <f t="array" aca="1" ref="C873" ca="1">MAX(0,ROUND(Inputs!$B$10*Inputs!$B$11+NORMSINV(B873)*SQRT(Inputs!$B$10*Inputs!$B$11),0))</f>
        <v>502</v>
      </c>
      <c r="D873" s="49">
        <f ca="1">C873*Inputs!$B$12</f>
        <v>60240000</v>
      </c>
    </row>
    <row r="874" spans="1:4" ht="13.5" customHeight="1" x14ac:dyDescent="0.3">
      <c r="A874" s="50">
        <v>870</v>
      </c>
      <c r="B874" s="51">
        <f t="shared" ca="1" si="13"/>
        <v>0.21162397073957628</v>
      </c>
      <c r="C874" s="48">
        <f t="array" aca="1" ref="C874" ca="1">MAX(0,ROUND(Inputs!$B$10*Inputs!$B$11+NORMSINV(B874)*SQRT(Inputs!$B$10*Inputs!$B$11),0))</f>
        <v>482</v>
      </c>
      <c r="D874" s="52">
        <f ca="1">C874*Inputs!$B$12</f>
        <v>57840000</v>
      </c>
    </row>
    <row r="875" spans="1:4" ht="13.5" customHeight="1" x14ac:dyDescent="0.3">
      <c r="A875" s="46">
        <v>871</v>
      </c>
      <c r="B875" s="47">
        <f t="shared" ca="1" si="13"/>
        <v>0.48331025997177135</v>
      </c>
      <c r="C875" s="48">
        <f t="array" aca="1" ref="C875" ca="1">MAX(0,ROUND(Inputs!$B$10*Inputs!$B$11+NORMSINV(B875)*SQRT(Inputs!$B$10*Inputs!$B$11),0))</f>
        <v>499</v>
      </c>
      <c r="D875" s="49">
        <f ca="1">C875*Inputs!$B$12</f>
        <v>59880000</v>
      </c>
    </row>
    <row r="876" spans="1:4" ht="13.5" customHeight="1" x14ac:dyDescent="0.3">
      <c r="A876" s="50">
        <v>872</v>
      </c>
      <c r="B876" s="51">
        <f t="shared" ca="1" si="13"/>
        <v>0.6137336255196717</v>
      </c>
      <c r="C876" s="48">
        <f t="array" aca="1" ref="C876" ca="1">MAX(0,ROUND(Inputs!$B$10*Inputs!$B$11+NORMSINV(B876)*SQRT(Inputs!$B$10*Inputs!$B$11),0))</f>
        <v>506</v>
      </c>
      <c r="D876" s="52">
        <f ca="1">C876*Inputs!$B$12</f>
        <v>60720000</v>
      </c>
    </row>
    <row r="877" spans="1:4" ht="13.5" customHeight="1" x14ac:dyDescent="0.3">
      <c r="A877" s="46">
        <v>873</v>
      </c>
      <c r="B877" s="47">
        <f t="shared" ca="1" si="13"/>
        <v>0.8638962135684054</v>
      </c>
      <c r="C877" s="48">
        <f t="array" aca="1" ref="C877" ca="1">MAX(0,ROUND(Inputs!$B$10*Inputs!$B$11+NORMSINV(B877)*SQRT(Inputs!$B$10*Inputs!$B$11),0))</f>
        <v>525</v>
      </c>
      <c r="D877" s="49">
        <f ca="1">C877*Inputs!$B$12</f>
        <v>63000000</v>
      </c>
    </row>
    <row r="878" spans="1:4" ht="13.5" customHeight="1" x14ac:dyDescent="0.3">
      <c r="A878" s="50">
        <v>874</v>
      </c>
      <c r="B878" s="51">
        <f t="shared" ca="1" si="13"/>
        <v>0.82205764807161341</v>
      </c>
      <c r="C878" s="48">
        <f t="array" aca="1" ref="C878" ca="1">MAX(0,ROUND(Inputs!$B$10*Inputs!$B$11+NORMSINV(B878)*SQRT(Inputs!$B$10*Inputs!$B$11),0))</f>
        <v>521</v>
      </c>
      <c r="D878" s="52">
        <f ca="1">C878*Inputs!$B$12</f>
        <v>62520000</v>
      </c>
    </row>
    <row r="879" spans="1:4" ht="13.5" customHeight="1" x14ac:dyDescent="0.3">
      <c r="A879" s="46">
        <v>875</v>
      </c>
      <c r="B879" s="47">
        <f t="shared" ca="1" si="13"/>
        <v>0.4162857484640704</v>
      </c>
      <c r="C879" s="48">
        <f t="array" aca="1" ref="C879" ca="1">MAX(0,ROUND(Inputs!$B$10*Inputs!$B$11+NORMSINV(B879)*SQRT(Inputs!$B$10*Inputs!$B$11),0))</f>
        <v>495</v>
      </c>
      <c r="D879" s="49">
        <f ca="1">C879*Inputs!$B$12</f>
        <v>59400000</v>
      </c>
    </row>
    <row r="880" spans="1:4" ht="13.5" customHeight="1" x14ac:dyDescent="0.3">
      <c r="A880" s="50">
        <v>876</v>
      </c>
      <c r="B880" s="51">
        <f t="shared" ca="1" si="13"/>
        <v>0.36534595616213583</v>
      </c>
      <c r="C880" s="48">
        <f t="array" aca="1" ref="C880" ca="1">MAX(0,ROUND(Inputs!$B$10*Inputs!$B$11+NORMSINV(B880)*SQRT(Inputs!$B$10*Inputs!$B$11),0))</f>
        <v>492</v>
      </c>
      <c r="D880" s="52">
        <f ca="1">C880*Inputs!$B$12</f>
        <v>59040000</v>
      </c>
    </row>
    <row r="881" spans="1:4" ht="13.5" customHeight="1" x14ac:dyDescent="0.3">
      <c r="A881" s="46">
        <v>877</v>
      </c>
      <c r="B881" s="47">
        <f t="shared" ca="1" si="13"/>
        <v>0.24483707122314879</v>
      </c>
      <c r="C881" s="48">
        <f t="array" aca="1" ref="C881" ca="1">MAX(0,ROUND(Inputs!$B$10*Inputs!$B$11+NORMSINV(B881)*SQRT(Inputs!$B$10*Inputs!$B$11),0))</f>
        <v>485</v>
      </c>
      <c r="D881" s="49">
        <f ca="1">C881*Inputs!$B$12</f>
        <v>58200000</v>
      </c>
    </row>
    <row r="882" spans="1:4" ht="13.5" customHeight="1" x14ac:dyDescent="0.3">
      <c r="A882" s="50">
        <v>878</v>
      </c>
      <c r="B882" s="51">
        <f t="shared" ca="1" si="13"/>
        <v>0.76961866127355216</v>
      </c>
      <c r="C882" s="48">
        <f t="array" aca="1" ref="C882" ca="1">MAX(0,ROUND(Inputs!$B$10*Inputs!$B$11+NORMSINV(B882)*SQRT(Inputs!$B$10*Inputs!$B$11),0))</f>
        <v>516</v>
      </c>
      <c r="D882" s="52">
        <f ca="1">C882*Inputs!$B$12</f>
        <v>61920000</v>
      </c>
    </row>
    <row r="883" spans="1:4" ht="13.5" customHeight="1" x14ac:dyDescent="0.3">
      <c r="A883" s="46">
        <v>879</v>
      </c>
      <c r="B883" s="47">
        <f t="shared" ca="1" si="13"/>
        <v>0.35396014489132965</v>
      </c>
      <c r="C883" s="48">
        <f t="array" aca="1" ref="C883" ca="1">MAX(0,ROUND(Inputs!$B$10*Inputs!$B$11+NORMSINV(B883)*SQRT(Inputs!$B$10*Inputs!$B$11),0))</f>
        <v>492</v>
      </c>
      <c r="D883" s="49">
        <f ca="1">C883*Inputs!$B$12</f>
        <v>59040000</v>
      </c>
    </row>
    <row r="884" spans="1:4" ht="13.5" customHeight="1" x14ac:dyDescent="0.3">
      <c r="A884" s="50">
        <v>880</v>
      </c>
      <c r="B884" s="51">
        <f t="shared" ca="1" si="13"/>
        <v>6.7950744478229463E-2</v>
      </c>
      <c r="C884" s="48">
        <f t="array" aca="1" ref="C884" ca="1">MAX(0,ROUND(Inputs!$B$10*Inputs!$B$11+NORMSINV(B884)*SQRT(Inputs!$B$10*Inputs!$B$11),0))</f>
        <v>467</v>
      </c>
      <c r="D884" s="52">
        <f ca="1">C884*Inputs!$B$12</f>
        <v>56040000</v>
      </c>
    </row>
    <row r="885" spans="1:4" ht="13.5" customHeight="1" x14ac:dyDescent="0.3">
      <c r="A885" s="46">
        <v>881</v>
      </c>
      <c r="B885" s="47">
        <f t="shared" ca="1" si="13"/>
        <v>0.48638731785330291</v>
      </c>
      <c r="C885" s="48">
        <f t="array" aca="1" ref="C885" ca="1">MAX(0,ROUND(Inputs!$B$10*Inputs!$B$11+NORMSINV(B885)*SQRT(Inputs!$B$10*Inputs!$B$11),0))</f>
        <v>499</v>
      </c>
      <c r="D885" s="49">
        <f ca="1">C885*Inputs!$B$12</f>
        <v>59880000</v>
      </c>
    </row>
    <row r="886" spans="1:4" ht="13.5" customHeight="1" x14ac:dyDescent="0.3">
      <c r="A886" s="50">
        <v>882</v>
      </c>
      <c r="B886" s="51">
        <f t="shared" ca="1" si="13"/>
        <v>0.56954585690044701</v>
      </c>
      <c r="C886" s="48">
        <f t="array" aca="1" ref="C886" ca="1">MAX(0,ROUND(Inputs!$B$10*Inputs!$B$11+NORMSINV(B886)*SQRT(Inputs!$B$10*Inputs!$B$11),0))</f>
        <v>504</v>
      </c>
      <c r="D886" s="52">
        <f ca="1">C886*Inputs!$B$12</f>
        <v>60480000</v>
      </c>
    </row>
    <row r="887" spans="1:4" ht="13.5" customHeight="1" x14ac:dyDescent="0.3">
      <c r="A887" s="46">
        <v>883</v>
      </c>
      <c r="B887" s="47">
        <f t="shared" ca="1" si="13"/>
        <v>0.99500021351648971</v>
      </c>
      <c r="C887" s="48">
        <f t="array" aca="1" ref="C887" ca="1">MAX(0,ROUND(Inputs!$B$10*Inputs!$B$11+NORMSINV(B887)*SQRT(Inputs!$B$10*Inputs!$B$11),0))</f>
        <v>558</v>
      </c>
      <c r="D887" s="49">
        <f ca="1">C887*Inputs!$B$12</f>
        <v>66960000</v>
      </c>
    </row>
    <row r="888" spans="1:4" ht="13.5" customHeight="1" x14ac:dyDescent="0.3">
      <c r="A888" s="50">
        <v>884</v>
      </c>
      <c r="B888" s="51">
        <f t="shared" ca="1" si="13"/>
        <v>0.96224246940459934</v>
      </c>
      <c r="C888" s="48">
        <f t="array" aca="1" ref="C888" ca="1">MAX(0,ROUND(Inputs!$B$10*Inputs!$B$11+NORMSINV(B888)*SQRT(Inputs!$B$10*Inputs!$B$11),0))</f>
        <v>540</v>
      </c>
      <c r="D888" s="52">
        <f ca="1">C888*Inputs!$B$12</f>
        <v>64800000</v>
      </c>
    </row>
    <row r="889" spans="1:4" ht="13.5" customHeight="1" x14ac:dyDescent="0.3">
      <c r="A889" s="46">
        <v>885</v>
      </c>
      <c r="B889" s="47">
        <f t="shared" ca="1" si="13"/>
        <v>0.11333082307667797</v>
      </c>
      <c r="C889" s="48">
        <f t="array" aca="1" ref="C889" ca="1">MAX(0,ROUND(Inputs!$B$10*Inputs!$B$11+NORMSINV(B889)*SQRT(Inputs!$B$10*Inputs!$B$11),0))</f>
        <v>473</v>
      </c>
      <c r="D889" s="49">
        <f ca="1">C889*Inputs!$B$12</f>
        <v>56760000</v>
      </c>
    </row>
    <row r="890" spans="1:4" ht="13.5" customHeight="1" x14ac:dyDescent="0.3">
      <c r="A890" s="50">
        <v>886</v>
      </c>
      <c r="B890" s="51">
        <f t="shared" ca="1" si="13"/>
        <v>0.64293179013445212</v>
      </c>
      <c r="C890" s="48">
        <f t="array" aca="1" ref="C890" ca="1">MAX(0,ROUND(Inputs!$B$10*Inputs!$B$11+NORMSINV(B890)*SQRT(Inputs!$B$10*Inputs!$B$11),0))</f>
        <v>508</v>
      </c>
      <c r="D890" s="52">
        <f ca="1">C890*Inputs!$B$12</f>
        <v>60960000</v>
      </c>
    </row>
    <row r="891" spans="1:4" ht="13.5" customHeight="1" x14ac:dyDescent="0.3">
      <c r="A891" s="46">
        <v>887</v>
      </c>
      <c r="B891" s="47">
        <f t="shared" ca="1" si="13"/>
        <v>0.41098900272273597</v>
      </c>
      <c r="C891" s="48">
        <f t="array" aca="1" ref="C891" ca="1">MAX(0,ROUND(Inputs!$B$10*Inputs!$B$11+NORMSINV(B891)*SQRT(Inputs!$B$10*Inputs!$B$11),0))</f>
        <v>495</v>
      </c>
      <c r="D891" s="49">
        <f ca="1">C891*Inputs!$B$12</f>
        <v>59400000</v>
      </c>
    </row>
    <row r="892" spans="1:4" ht="13.5" customHeight="1" x14ac:dyDescent="0.3">
      <c r="A892" s="50">
        <v>888</v>
      </c>
      <c r="B892" s="51">
        <f t="shared" ca="1" si="13"/>
        <v>0.28944782955389647</v>
      </c>
      <c r="C892" s="48">
        <f t="array" aca="1" ref="C892" ca="1">MAX(0,ROUND(Inputs!$B$10*Inputs!$B$11+NORMSINV(B892)*SQRT(Inputs!$B$10*Inputs!$B$11),0))</f>
        <v>488</v>
      </c>
      <c r="D892" s="52">
        <f ca="1">C892*Inputs!$B$12</f>
        <v>58560000</v>
      </c>
    </row>
    <row r="893" spans="1:4" ht="13.5" customHeight="1" x14ac:dyDescent="0.3">
      <c r="A893" s="46">
        <v>889</v>
      </c>
      <c r="B893" s="47">
        <f t="shared" ca="1" si="13"/>
        <v>0.48929510722051273</v>
      </c>
      <c r="C893" s="48">
        <f t="array" aca="1" ref="C893" ca="1">MAX(0,ROUND(Inputs!$B$10*Inputs!$B$11+NORMSINV(B893)*SQRT(Inputs!$B$10*Inputs!$B$11),0))</f>
        <v>499</v>
      </c>
      <c r="D893" s="49">
        <f ca="1">C893*Inputs!$B$12</f>
        <v>59880000</v>
      </c>
    </row>
    <row r="894" spans="1:4" ht="13.5" customHeight="1" x14ac:dyDescent="0.3">
      <c r="A894" s="50">
        <v>890</v>
      </c>
      <c r="B894" s="51">
        <f t="shared" ca="1" si="13"/>
        <v>0.50876023757914635</v>
      </c>
      <c r="C894" s="48">
        <f t="array" aca="1" ref="C894" ca="1">MAX(0,ROUND(Inputs!$B$10*Inputs!$B$11+NORMSINV(B894)*SQRT(Inputs!$B$10*Inputs!$B$11),0))</f>
        <v>500</v>
      </c>
      <c r="D894" s="52">
        <f ca="1">C894*Inputs!$B$12</f>
        <v>60000000</v>
      </c>
    </row>
    <row r="895" spans="1:4" ht="13.5" customHeight="1" x14ac:dyDescent="0.3">
      <c r="A895" s="46">
        <v>891</v>
      </c>
      <c r="B895" s="47">
        <f t="shared" ca="1" si="13"/>
        <v>0.44270213785548895</v>
      </c>
      <c r="C895" s="48">
        <f t="array" aca="1" ref="C895" ca="1">MAX(0,ROUND(Inputs!$B$10*Inputs!$B$11+NORMSINV(B895)*SQRT(Inputs!$B$10*Inputs!$B$11),0))</f>
        <v>497</v>
      </c>
      <c r="D895" s="49">
        <f ca="1">C895*Inputs!$B$12</f>
        <v>59640000</v>
      </c>
    </row>
    <row r="896" spans="1:4" ht="13.5" customHeight="1" x14ac:dyDescent="0.3">
      <c r="A896" s="50">
        <v>892</v>
      </c>
      <c r="B896" s="51">
        <f t="shared" ca="1" si="13"/>
        <v>0.48014278636099439</v>
      </c>
      <c r="C896" s="48">
        <f t="array" aca="1" ref="C896" ca="1">MAX(0,ROUND(Inputs!$B$10*Inputs!$B$11+NORMSINV(B896)*SQRT(Inputs!$B$10*Inputs!$B$11),0))</f>
        <v>499</v>
      </c>
      <c r="D896" s="52">
        <f ca="1">C896*Inputs!$B$12</f>
        <v>59880000</v>
      </c>
    </row>
    <row r="897" spans="1:4" ht="13.5" customHeight="1" x14ac:dyDescent="0.3">
      <c r="A897" s="46">
        <v>893</v>
      </c>
      <c r="B897" s="47">
        <f t="shared" ca="1" si="13"/>
        <v>6.2809211538472631E-3</v>
      </c>
      <c r="C897" s="48">
        <f t="array" aca="1" ref="C897" ca="1">MAX(0,ROUND(Inputs!$B$10*Inputs!$B$11+NORMSINV(B897)*SQRT(Inputs!$B$10*Inputs!$B$11),0))</f>
        <v>444</v>
      </c>
      <c r="D897" s="49">
        <f ca="1">C897*Inputs!$B$12</f>
        <v>53280000</v>
      </c>
    </row>
    <row r="898" spans="1:4" ht="13.5" customHeight="1" x14ac:dyDescent="0.3">
      <c r="A898" s="50">
        <v>894</v>
      </c>
      <c r="B898" s="51">
        <f t="shared" ca="1" si="13"/>
        <v>0.59885624887635946</v>
      </c>
      <c r="C898" s="48">
        <f t="array" aca="1" ref="C898" ca="1">MAX(0,ROUND(Inputs!$B$10*Inputs!$B$11+NORMSINV(B898)*SQRT(Inputs!$B$10*Inputs!$B$11),0))</f>
        <v>506</v>
      </c>
      <c r="D898" s="52">
        <f ca="1">C898*Inputs!$B$12</f>
        <v>60720000</v>
      </c>
    </row>
    <row r="899" spans="1:4" ht="13.5" customHeight="1" x14ac:dyDescent="0.3">
      <c r="A899" s="46">
        <v>895</v>
      </c>
      <c r="B899" s="47">
        <f t="shared" ca="1" si="13"/>
        <v>0.5557359183240671</v>
      </c>
      <c r="C899" s="48">
        <f t="array" aca="1" ref="C899" ca="1">MAX(0,ROUND(Inputs!$B$10*Inputs!$B$11+NORMSINV(B899)*SQRT(Inputs!$B$10*Inputs!$B$11),0))</f>
        <v>503</v>
      </c>
      <c r="D899" s="49">
        <f ca="1">C899*Inputs!$B$12</f>
        <v>60360000</v>
      </c>
    </row>
    <row r="900" spans="1:4" ht="13.5" customHeight="1" x14ac:dyDescent="0.3">
      <c r="A900" s="50">
        <v>896</v>
      </c>
      <c r="B900" s="51">
        <f t="shared" ca="1" si="13"/>
        <v>0.9540550852067996</v>
      </c>
      <c r="C900" s="48">
        <f t="array" aca="1" ref="C900" ca="1">MAX(0,ROUND(Inputs!$B$10*Inputs!$B$11+NORMSINV(B900)*SQRT(Inputs!$B$10*Inputs!$B$11),0))</f>
        <v>538</v>
      </c>
      <c r="D900" s="52">
        <f ca="1">C900*Inputs!$B$12</f>
        <v>64560000</v>
      </c>
    </row>
    <row r="901" spans="1:4" ht="13.5" customHeight="1" x14ac:dyDescent="0.3">
      <c r="A901" s="46">
        <v>897</v>
      </c>
      <c r="B901" s="47">
        <f t="shared" ref="B901:B964" ca="1" si="14">RAND()</f>
        <v>0.91176629769889761</v>
      </c>
      <c r="C901" s="48">
        <f t="array" aca="1" ref="C901" ca="1">MAX(0,ROUND(Inputs!$B$10*Inputs!$B$11+NORMSINV(B901)*SQRT(Inputs!$B$10*Inputs!$B$11),0))</f>
        <v>530</v>
      </c>
      <c r="D901" s="49">
        <f ca="1">C901*Inputs!$B$12</f>
        <v>63600000</v>
      </c>
    </row>
    <row r="902" spans="1:4" ht="13.5" customHeight="1" x14ac:dyDescent="0.3">
      <c r="A902" s="50">
        <v>898</v>
      </c>
      <c r="B902" s="51">
        <f t="shared" ca="1" si="14"/>
        <v>0.16963652955673059</v>
      </c>
      <c r="C902" s="48">
        <f t="array" aca="1" ref="C902" ca="1">MAX(0,ROUND(Inputs!$B$10*Inputs!$B$11+NORMSINV(B902)*SQRT(Inputs!$B$10*Inputs!$B$11),0))</f>
        <v>479</v>
      </c>
      <c r="D902" s="52">
        <f ca="1">C902*Inputs!$B$12</f>
        <v>57480000</v>
      </c>
    </row>
    <row r="903" spans="1:4" ht="13.5" customHeight="1" x14ac:dyDescent="0.3">
      <c r="A903" s="46">
        <v>899</v>
      </c>
      <c r="B903" s="47">
        <f t="shared" ca="1" si="14"/>
        <v>9.9617746796838769E-2</v>
      </c>
      <c r="C903" s="48">
        <f t="array" aca="1" ref="C903" ca="1">MAX(0,ROUND(Inputs!$B$10*Inputs!$B$11+NORMSINV(B903)*SQRT(Inputs!$B$10*Inputs!$B$11),0))</f>
        <v>471</v>
      </c>
      <c r="D903" s="49">
        <f ca="1">C903*Inputs!$B$12</f>
        <v>56520000</v>
      </c>
    </row>
    <row r="904" spans="1:4" ht="13.5" customHeight="1" x14ac:dyDescent="0.3">
      <c r="A904" s="50">
        <v>900</v>
      </c>
      <c r="B904" s="51">
        <f t="shared" ca="1" si="14"/>
        <v>0.79766896508641083</v>
      </c>
      <c r="C904" s="48">
        <f t="array" aca="1" ref="C904" ca="1">MAX(0,ROUND(Inputs!$B$10*Inputs!$B$11+NORMSINV(B904)*SQRT(Inputs!$B$10*Inputs!$B$11),0))</f>
        <v>519</v>
      </c>
      <c r="D904" s="52">
        <f ca="1">C904*Inputs!$B$12</f>
        <v>62280000</v>
      </c>
    </row>
    <row r="905" spans="1:4" ht="13.5" customHeight="1" x14ac:dyDescent="0.3">
      <c r="A905" s="46">
        <v>901</v>
      </c>
      <c r="B905" s="47">
        <f t="shared" ca="1" si="14"/>
        <v>0.42374207885460313</v>
      </c>
      <c r="C905" s="48">
        <f t="array" aca="1" ref="C905" ca="1">MAX(0,ROUND(Inputs!$B$10*Inputs!$B$11+NORMSINV(B905)*SQRT(Inputs!$B$10*Inputs!$B$11),0))</f>
        <v>496</v>
      </c>
      <c r="D905" s="49">
        <f ca="1">C905*Inputs!$B$12</f>
        <v>59520000</v>
      </c>
    </row>
    <row r="906" spans="1:4" ht="13.5" customHeight="1" x14ac:dyDescent="0.3">
      <c r="A906" s="50">
        <v>902</v>
      </c>
      <c r="B906" s="51">
        <f t="shared" ca="1" si="14"/>
        <v>0.61123490474451925</v>
      </c>
      <c r="C906" s="48">
        <f t="array" aca="1" ref="C906" ca="1">MAX(0,ROUND(Inputs!$B$10*Inputs!$B$11+NORMSINV(B906)*SQRT(Inputs!$B$10*Inputs!$B$11),0))</f>
        <v>506</v>
      </c>
      <c r="D906" s="52">
        <f ca="1">C906*Inputs!$B$12</f>
        <v>60720000</v>
      </c>
    </row>
    <row r="907" spans="1:4" ht="13.5" customHeight="1" x14ac:dyDescent="0.3">
      <c r="A907" s="46">
        <v>903</v>
      </c>
      <c r="B907" s="47">
        <f t="shared" ca="1" si="14"/>
        <v>2.9944678424247084E-2</v>
      </c>
      <c r="C907" s="48">
        <f t="array" aca="1" ref="C907" ca="1">MAX(0,ROUND(Inputs!$B$10*Inputs!$B$11+NORMSINV(B907)*SQRT(Inputs!$B$10*Inputs!$B$11),0))</f>
        <v>458</v>
      </c>
      <c r="D907" s="49">
        <f ca="1">C907*Inputs!$B$12</f>
        <v>54960000</v>
      </c>
    </row>
    <row r="908" spans="1:4" ht="13.5" customHeight="1" x14ac:dyDescent="0.3">
      <c r="A908" s="50">
        <v>904</v>
      </c>
      <c r="B908" s="51">
        <f t="shared" ca="1" si="14"/>
        <v>2.9242080261951853E-2</v>
      </c>
      <c r="C908" s="48">
        <f t="array" aca="1" ref="C908" ca="1">MAX(0,ROUND(Inputs!$B$10*Inputs!$B$11+NORMSINV(B908)*SQRT(Inputs!$B$10*Inputs!$B$11),0))</f>
        <v>458</v>
      </c>
      <c r="D908" s="52">
        <f ca="1">C908*Inputs!$B$12</f>
        <v>54960000</v>
      </c>
    </row>
    <row r="909" spans="1:4" ht="13.5" customHeight="1" x14ac:dyDescent="0.3">
      <c r="A909" s="46">
        <v>905</v>
      </c>
      <c r="B909" s="47">
        <f t="shared" ca="1" si="14"/>
        <v>0.25060698891820621</v>
      </c>
      <c r="C909" s="48">
        <f t="array" aca="1" ref="C909" ca="1">MAX(0,ROUND(Inputs!$B$10*Inputs!$B$11+NORMSINV(B909)*SQRT(Inputs!$B$10*Inputs!$B$11),0))</f>
        <v>485</v>
      </c>
      <c r="D909" s="49">
        <f ca="1">C909*Inputs!$B$12</f>
        <v>58200000</v>
      </c>
    </row>
    <row r="910" spans="1:4" ht="13.5" customHeight="1" x14ac:dyDescent="0.3">
      <c r="A910" s="50">
        <v>906</v>
      </c>
      <c r="B910" s="51">
        <f t="shared" ca="1" si="14"/>
        <v>0.18327026179909411</v>
      </c>
      <c r="C910" s="48">
        <f t="array" aca="1" ref="C910" ca="1">MAX(0,ROUND(Inputs!$B$10*Inputs!$B$11+NORMSINV(B910)*SQRT(Inputs!$B$10*Inputs!$B$11),0))</f>
        <v>480</v>
      </c>
      <c r="D910" s="52">
        <f ca="1">C910*Inputs!$B$12</f>
        <v>57600000</v>
      </c>
    </row>
    <row r="911" spans="1:4" ht="13.5" customHeight="1" x14ac:dyDescent="0.3">
      <c r="A911" s="46">
        <v>907</v>
      </c>
      <c r="B911" s="47">
        <f t="shared" ca="1" si="14"/>
        <v>0.79589259827963432</v>
      </c>
      <c r="C911" s="48">
        <f t="array" aca="1" ref="C911" ca="1">MAX(0,ROUND(Inputs!$B$10*Inputs!$B$11+NORMSINV(B911)*SQRT(Inputs!$B$10*Inputs!$B$11),0))</f>
        <v>518</v>
      </c>
      <c r="D911" s="49">
        <f ca="1">C911*Inputs!$B$12</f>
        <v>62160000</v>
      </c>
    </row>
    <row r="912" spans="1:4" ht="13.5" customHeight="1" x14ac:dyDescent="0.3">
      <c r="A912" s="50">
        <v>908</v>
      </c>
      <c r="B912" s="51">
        <f t="shared" ca="1" si="14"/>
        <v>0.34820884726019896</v>
      </c>
      <c r="C912" s="48">
        <f t="array" aca="1" ref="C912" ca="1">MAX(0,ROUND(Inputs!$B$10*Inputs!$B$11+NORMSINV(B912)*SQRT(Inputs!$B$10*Inputs!$B$11),0))</f>
        <v>491</v>
      </c>
      <c r="D912" s="52">
        <f ca="1">C912*Inputs!$B$12</f>
        <v>58920000</v>
      </c>
    </row>
    <row r="913" spans="1:4" ht="13.5" customHeight="1" x14ac:dyDescent="0.3">
      <c r="A913" s="46">
        <v>909</v>
      </c>
      <c r="B913" s="47">
        <f t="shared" ca="1" si="14"/>
        <v>0.43016949249682934</v>
      </c>
      <c r="C913" s="48">
        <f t="array" aca="1" ref="C913" ca="1">MAX(0,ROUND(Inputs!$B$10*Inputs!$B$11+NORMSINV(B913)*SQRT(Inputs!$B$10*Inputs!$B$11),0))</f>
        <v>496</v>
      </c>
      <c r="D913" s="49">
        <f ca="1">C913*Inputs!$B$12</f>
        <v>59520000</v>
      </c>
    </row>
    <row r="914" spans="1:4" ht="13.5" customHeight="1" x14ac:dyDescent="0.3">
      <c r="A914" s="50">
        <v>910</v>
      </c>
      <c r="B914" s="51">
        <f t="shared" ca="1" si="14"/>
        <v>0.75635988580364644</v>
      </c>
      <c r="C914" s="48">
        <f t="array" aca="1" ref="C914" ca="1">MAX(0,ROUND(Inputs!$B$10*Inputs!$B$11+NORMSINV(B914)*SQRT(Inputs!$B$10*Inputs!$B$11),0))</f>
        <v>516</v>
      </c>
      <c r="D914" s="52">
        <f ca="1">C914*Inputs!$B$12</f>
        <v>61920000</v>
      </c>
    </row>
    <row r="915" spans="1:4" ht="13.5" customHeight="1" x14ac:dyDescent="0.3">
      <c r="A915" s="46">
        <v>911</v>
      </c>
      <c r="B915" s="47">
        <f t="shared" ca="1" si="14"/>
        <v>0.10947079673931426</v>
      </c>
      <c r="C915" s="48">
        <f t="array" aca="1" ref="C915" ca="1">MAX(0,ROUND(Inputs!$B$10*Inputs!$B$11+NORMSINV(B915)*SQRT(Inputs!$B$10*Inputs!$B$11),0))</f>
        <v>473</v>
      </c>
      <c r="D915" s="49">
        <f ca="1">C915*Inputs!$B$12</f>
        <v>56760000</v>
      </c>
    </row>
    <row r="916" spans="1:4" ht="13.5" customHeight="1" x14ac:dyDescent="0.3">
      <c r="A916" s="50">
        <v>912</v>
      </c>
      <c r="B916" s="51">
        <f t="shared" ca="1" si="14"/>
        <v>0.34054750906836495</v>
      </c>
      <c r="C916" s="48">
        <f t="array" aca="1" ref="C916" ca="1">MAX(0,ROUND(Inputs!$B$10*Inputs!$B$11+NORMSINV(B916)*SQRT(Inputs!$B$10*Inputs!$B$11),0))</f>
        <v>491</v>
      </c>
      <c r="D916" s="52">
        <f ca="1">C916*Inputs!$B$12</f>
        <v>58920000</v>
      </c>
    </row>
    <row r="917" spans="1:4" ht="13.5" customHeight="1" x14ac:dyDescent="0.3">
      <c r="A917" s="46">
        <v>913</v>
      </c>
      <c r="B917" s="47">
        <f t="shared" ca="1" si="14"/>
        <v>0.11115611987573759</v>
      </c>
      <c r="C917" s="48">
        <f t="array" aca="1" ref="C917" ca="1">MAX(0,ROUND(Inputs!$B$10*Inputs!$B$11+NORMSINV(B917)*SQRT(Inputs!$B$10*Inputs!$B$11),0))</f>
        <v>473</v>
      </c>
      <c r="D917" s="49">
        <f ca="1">C917*Inputs!$B$12</f>
        <v>56760000</v>
      </c>
    </row>
    <row r="918" spans="1:4" ht="13.5" customHeight="1" x14ac:dyDescent="0.3">
      <c r="A918" s="50">
        <v>914</v>
      </c>
      <c r="B918" s="51">
        <f t="shared" ca="1" si="14"/>
        <v>0.94487070661989259</v>
      </c>
      <c r="C918" s="48">
        <f t="array" aca="1" ref="C918" ca="1">MAX(0,ROUND(Inputs!$B$10*Inputs!$B$11+NORMSINV(B918)*SQRT(Inputs!$B$10*Inputs!$B$11),0))</f>
        <v>536</v>
      </c>
      <c r="D918" s="52">
        <f ca="1">C918*Inputs!$B$12</f>
        <v>64320000</v>
      </c>
    </row>
    <row r="919" spans="1:4" ht="13.5" customHeight="1" x14ac:dyDescent="0.3">
      <c r="A919" s="46">
        <v>915</v>
      </c>
      <c r="B919" s="47">
        <f t="shared" ca="1" si="14"/>
        <v>0.20298098859341895</v>
      </c>
      <c r="C919" s="48">
        <f t="array" aca="1" ref="C919" ca="1">MAX(0,ROUND(Inputs!$B$10*Inputs!$B$11+NORMSINV(B919)*SQRT(Inputs!$B$10*Inputs!$B$11),0))</f>
        <v>481</v>
      </c>
      <c r="D919" s="49">
        <f ca="1">C919*Inputs!$B$12</f>
        <v>57720000</v>
      </c>
    </row>
    <row r="920" spans="1:4" ht="13.5" customHeight="1" x14ac:dyDescent="0.3">
      <c r="A920" s="50">
        <v>916</v>
      </c>
      <c r="B920" s="51">
        <f t="shared" ca="1" si="14"/>
        <v>0.90424508632600153</v>
      </c>
      <c r="C920" s="48">
        <f t="array" aca="1" ref="C920" ca="1">MAX(0,ROUND(Inputs!$B$10*Inputs!$B$11+NORMSINV(B920)*SQRT(Inputs!$B$10*Inputs!$B$11),0))</f>
        <v>529</v>
      </c>
      <c r="D920" s="52">
        <f ca="1">C920*Inputs!$B$12</f>
        <v>63480000</v>
      </c>
    </row>
    <row r="921" spans="1:4" ht="13.5" customHeight="1" x14ac:dyDescent="0.3">
      <c r="A921" s="46">
        <v>917</v>
      </c>
      <c r="B921" s="47">
        <f t="shared" ca="1" si="14"/>
        <v>0.71030972782844493</v>
      </c>
      <c r="C921" s="48">
        <f t="array" aca="1" ref="C921" ca="1">MAX(0,ROUND(Inputs!$B$10*Inputs!$B$11+NORMSINV(B921)*SQRT(Inputs!$B$10*Inputs!$B$11),0))</f>
        <v>512</v>
      </c>
      <c r="D921" s="49">
        <f ca="1">C921*Inputs!$B$12</f>
        <v>61440000</v>
      </c>
    </row>
    <row r="922" spans="1:4" ht="13.5" customHeight="1" x14ac:dyDescent="0.3">
      <c r="A922" s="50">
        <v>918</v>
      </c>
      <c r="B922" s="51">
        <f t="shared" ca="1" si="14"/>
        <v>0.64184117331232327</v>
      </c>
      <c r="C922" s="48">
        <f t="array" aca="1" ref="C922" ca="1">MAX(0,ROUND(Inputs!$B$10*Inputs!$B$11+NORMSINV(B922)*SQRT(Inputs!$B$10*Inputs!$B$11),0))</f>
        <v>508</v>
      </c>
      <c r="D922" s="52">
        <f ca="1">C922*Inputs!$B$12</f>
        <v>60960000</v>
      </c>
    </row>
    <row r="923" spans="1:4" ht="13.5" customHeight="1" x14ac:dyDescent="0.3">
      <c r="A923" s="46">
        <v>919</v>
      </c>
      <c r="B923" s="47">
        <f t="shared" ca="1" si="14"/>
        <v>0.75569970343188364</v>
      </c>
      <c r="C923" s="48">
        <f t="array" aca="1" ref="C923" ca="1">MAX(0,ROUND(Inputs!$B$10*Inputs!$B$11+NORMSINV(B923)*SQRT(Inputs!$B$10*Inputs!$B$11),0))</f>
        <v>515</v>
      </c>
      <c r="D923" s="49">
        <f ca="1">C923*Inputs!$B$12</f>
        <v>61800000</v>
      </c>
    </row>
    <row r="924" spans="1:4" ht="13.5" customHeight="1" x14ac:dyDescent="0.3">
      <c r="A924" s="50">
        <v>920</v>
      </c>
      <c r="B924" s="51">
        <f t="shared" ca="1" si="14"/>
        <v>0.68498375790548094</v>
      </c>
      <c r="C924" s="48">
        <f t="array" aca="1" ref="C924" ca="1">MAX(0,ROUND(Inputs!$B$10*Inputs!$B$11+NORMSINV(B924)*SQRT(Inputs!$B$10*Inputs!$B$11),0))</f>
        <v>511</v>
      </c>
      <c r="D924" s="52">
        <f ca="1">C924*Inputs!$B$12</f>
        <v>61320000</v>
      </c>
    </row>
    <row r="925" spans="1:4" ht="13.5" customHeight="1" x14ac:dyDescent="0.3">
      <c r="A925" s="46">
        <v>921</v>
      </c>
      <c r="B925" s="47">
        <f t="shared" ca="1" si="14"/>
        <v>0.84292752425165696</v>
      </c>
      <c r="C925" s="48">
        <f t="array" aca="1" ref="C925" ca="1">MAX(0,ROUND(Inputs!$B$10*Inputs!$B$11+NORMSINV(B925)*SQRT(Inputs!$B$10*Inputs!$B$11),0))</f>
        <v>523</v>
      </c>
      <c r="D925" s="49">
        <f ca="1">C925*Inputs!$B$12</f>
        <v>62760000</v>
      </c>
    </row>
    <row r="926" spans="1:4" ht="13.5" customHeight="1" x14ac:dyDescent="0.3">
      <c r="A926" s="50">
        <v>922</v>
      </c>
      <c r="B926" s="51">
        <f t="shared" ca="1" si="14"/>
        <v>0.9468597843167661</v>
      </c>
      <c r="C926" s="48">
        <f t="array" aca="1" ref="C926" ca="1">MAX(0,ROUND(Inputs!$B$10*Inputs!$B$11+NORMSINV(B926)*SQRT(Inputs!$B$10*Inputs!$B$11),0))</f>
        <v>536</v>
      </c>
      <c r="D926" s="52">
        <f ca="1">C926*Inputs!$B$12</f>
        <v>64320000</v>
      </c>
    </row>
    <row r="927" spans="1:4" ht="13.5" customHeight="1" x14ac:dyDescent="0.3">
      <c r="A927" s="46">
        <v>923</v>
      </c>
      <c r="B927" s="47">
        <f t="shared" ca="1" si="14"/>
        <v>0.13823120659077082</v>
      </c>
      <c r="C927" s="48">
        <f t="array" aca="1" ref="C927" ca="1">MAX(0,ROUND(Inputs!$B$10*Inputs!$B$11+NORMSINV(B927)*SQRT(Inputs!$B$10*Inputs!$B$11),0))</f>
        <v>476</v>
      </c>
      <c r="D927" s="49">
        <f ca="1">C927*Inputs!$B$12</f>
        <v>57120000</v>
      </c>
    </row>
    <row r="928" spans="1:4" ht="13.5" customHeight="1" x14ac:dyDescent="0.3">
      <c r="A928" s="50">
        <v>924</v>
      </c>
      <c r="B928" s="51">
        <f t="shared" ca="1" si="14"/>
        <v>0.19044172619395328</v>
      </c>
      <c r="C928" s="48">
        <f t="array" aca="1" ref="C928" ca="1">MAX(0,ROUND(Inputs!$B$10*Inputs!$B$11+NORMSINV(B928)*SQRT(Inputs!$B$10*Inputs!$B$11),0))</f>
        <v>480</v>
      </c>
      <c r="D928" s="52">
        <f ca="1">C928*Inputs!$B$12</f>
        <v>57600000</v>
      </c>
    </row>
    <row r="929" spans="1:4" ht="13.5" customHeight="1" x14ac:dyDescent="0.3">
      <c r="A929" s="46">
        <v>925</v>
      </c>
      <c r="B929" s="47">
        <f t="shared" ca="1" si="14"/>
        <v>0.84473076733711827</v>
      </c>
      <c r="C929" s="48">
        <f t="array" aca="1" ref="C929" ca="1">MAX(0,ROUND(Inputs!$B$10*Inputs!$B$11+NORMSINV(B929)*SQRT(Inputs!$B$10*Inputs!$B$11),0))</f>
        <v>523</v>
      </c>
      <c r="D929" s="49">
        <f ca="1">C929*Inputs!$B$12</f>
        <v>62760000</v>
      </c>
    </row>
    <row r="930" spans="1:4" ht="13.5" customHeight="1" x14ac:dyDescent="0.3">
      <c r="A930" s="50">
        <v>926</v>
      </c>
      <c r="B930" s="51">
        <f t="shared" ca="1" si="14"/>
        <v>0.69454662749966012</v>
      </c>
      <c r="C930" s="48">
        <f t="array" aca="1" ref="C930" ca="1">MAX(0,ROUND(Inputs!$B$10*Inputs!$B$11+NORMSINV(B930)*SQRT(Inputs!$B$10*Inputs!$B$11),0))</f>
        <v>511</v>
      </c>
      <c r="D930" s="52">
        <f ca="1">C930*Inputs!$B$12</f>
        <v>61320000</v>
      </c>
    </row>
    <row r="931" spans="1:4" ht="13.5" customHeight="1" x14ac:dyDescent="0.3">
      <c r="A931" s="46">
        <v>927</v>
      </c>
      <c r="B931" s="47">
        <f t="shared" ca="1" si="14"/>
        <v>0.20784307171860006</v>
      </c>
      <c r="C931" s="48">
        <f t="array" aca="1" ref="C931" ca="1">MAX(0,ROUND(Inputs!$B$10*Inputs!$B$11+NORMSINV(B931)*SQRT(Inputs!$B$10*Inputs!$B$11),0))</f>
        <v>482</v>
      </c>
      <c r="D931" s="49">
        <f ca="1">C931*Inputs!$B$12</f>
        <v>57840000</v>
      </c>
    </row>
    <row r="932" spans="1:4" ht="13.5" customHeight="1" x14ac:dyDescent="0.3">
      <c r="A932" s="50">
        <v>928</v>
      </c>
      <c r="B932" s="51">
        <f t="shared" ca="1" si="14"/>
        <v>0.47400503668701732</v>
      </c>
      <c r="C932" s="48">
        <f t="array" aca="1" ref="C932" ca="1">MAX(0,ROUND(Inputs!$B$10*Inputs!$B$11+NORMSINV(B932)*SQRT(Inputs!$B$10*Inputs!$B$11),0))</f>
        <v>499</v>
      </c>
      <c r="D932" s="52">
        <f ca="1">C932*Inputs!$B$12</f>
        <v>59880000</v>
      </c>
    </row>
    <row r="933" spans="1:4" ht="13.5" customHeight="1" x14ac:dyDescent="0.3">
      <c r="A933" s="46">
        <v>929</v>
      </c>
      <c r="B933" s="47">
        <f t="shared" ca="1" si="14"/>
        <v>0.84342569299233527</v>
      </c>
      <c r="C933" s="48">
        <f t="array" aca="1" ref="C933" ca="1">MAX(0,ROUND(Inputs!$B$10*Inputs!$B$11+NORMSINV(B933)*SQRT(Inputs!$B$10*Inputs!$B$11),0))</f>
        <v>523</v>
      </c>
      <c r="D933" s="49">
        <f ca="1">C933*Inputs!$B$12</f>
        <v>62760000</v>
      </c>
    </row>
    <row r="934" spans="1:4" ht="13.5" customHeight="1" x14ac:dyDescent="0.3">
      <c r="A934" s="50">
        <v>930</v>
      </c>
      <c r="B934" s="51">
        <f t="shared" ca="1" si="14"/>
        <v>5.56678497485672E-2</v>
      </c>
      <c r="C934" s="48">
        <f t="array" aca="1" ref="C934" ca="1">MAX(0,ROUND(Inputs!$B$10*Inputs!$B$11+NORMSINV(B934)*SQRT(Inputs!$B$10*Inputs!$B$11),0))</f>
        <v>464</v>
      </c>
      <c r="D934" s="52">
        <f ca="1">C934*Inputs!$B$12</f>
        <v>55680000</v>
      </c>
    </row>
    <row r="935" spans="1:4" ht="13.5" customHeight="1" x14ac:dyDescent="0.3">
      <c r="A935" s="46">
        <v>931</v>
      </c>
      <c r="B935" s="47">
        <f t="shared" ca="1" si="14"/>
        <v>0.86722839814048913</v>
      </c>
      <c r="C935" s="48">
        <f t="array" aca="1" ref="C935" ca="1">MAX(0,ROUND(Inputs!$B$10*Inputs!$B$11+NORMSINV(B935)*SQRT(Inputs!$B$10*Inputs!$B$11),0))</f>
        <v>525</v>
      </c>
      <c r="D935" s="49">
        <f ca="1">C935*Inputs!$B$12</f>
        <v>63000000</v>
      </c>
    </row>
    <row r="936" spans="1:4" ht="13.5" customHeight="1" x14ac:dyDescent="0.3">
      <c r="A936" s="50">
        <v>932</v>
      </c>
      <c r="B936" s="51">
        <f t="shared" ca="1" si="14"/>
        <v>0.11491191699448966</v>
      </c>
      <c r="C936" s="48">
        <f t="array" aca="1" ref="C936" ca="1">MAX(0,ROUND(Inputs!$B$10*Inputs!$B$11+NORMSINV(B936)*SQRT(Inputs!$B$10*Inputs!$B$11),0))</f>
        <v>473</v>
      </c>
      <c r="D936" s="52">
        <f ca="1">C936*Inputs!$B$12</f>
        <v>56760000</v>
      </c>
    </row>
    <row r="937" spans="1:4" ht="13.5" customHeight="1" x14ac:dyDescent="0.3">
      <c r="A937" s="46">
        <v>933</v>
      </c>
      <c r="B937" s="47">
        <f t="shared" ca="1" si="14"/>
        <v>0.96228988861671838</v>
      </c>
      <c r="C937" s="48">
        <f t="array" aca="1" ref="C937" ca="1">MAX(0,ROUND(Inputs!$B$10*Inputs!$B$11+NORMSINV(B937)*SQRT(Inputs!$B$10*Inputs!$B$11),0))</f>
        <v>540</v>
      </c>
      <c r="D937" s="49">
        <f ca="1">C937*Inputs!$B$12</f>
        <v>64800000</v>
      </c>
    </row>
    <row r="938" spans="1:4" ht="13.5" customHeight="1" x14ac:dyDescent="0.3">
      <c r="A938" s="50">
        <v>934</v>
      </c>
      <c r="B938" s="51">
        <f t="shared" ca="1" si="14"/>
        <v>0.10140461813859714</v>
      </c>
      <c r="C938" s="48">
        <f t="array" aca="1" ref="C938" ca="1">MAX(0,ROUND(Inputs!$B$10*Inputs!$B$11+NORMSINV(B938)*SQRT(Inputs!$B$10*Inputs!$B$11),0))</f>
        <v>472</v>
      </c>
      <c r="D938" s="52">
        <f ca="1">C938*Inputs!$B$12</f>
        <v>56640000</v>
      </c>
    </row>
    <row r="939" spans="1:4" ht="13.5" customHeight="1" x14ac:dyDescent="0.3">
      <c r="A939" s="46">
        <v>935</v>
      </c>
      <c r="B939" s="47">
        <f t="shared" ca="1" si="14"/>
        <v>0.46459189598978479</v>
      </c>
      <c r="C939" s="48">
        <f t="array" aca="1" ref="C939" ca="1">MAX(0,ROUND(Inputs!$B$10*Inputs!$B$11+NORMSINV(B939)*SQRT(Inputs!$B$10*Inputs!$B$11),0))</f>
        <v>498</v>
      </c>
      <c r="D939" s="49">
        <f ca="1">C939*Inputs!$B$12</f>
        <v>59760000</v>
      </c>
    </row>
    <row r="940" spans="1:4" ht="13.5" customHeight="1" x14ac:dyDescent="0.3">
      <c r="A940" s="50">
        <v>936</v>
      </c>
      <c r="B940" s="51">
        <f t="shared" ca="1" si="14"/>
        <v>0.58121751878159822</v>
      </c>
      <c r="C940" s="48">
        <f t="array" aca="1" ref="C940" ca="1">MAX(0,ROUND(Inputs!$B$10*Inputs!$B$11+NORMSINV(B940)*SQRT(Inputs!$B$10*Inputs!$B$11),0))</f>
        <v>505</v>
      </c>
      <c r="D940" s="52">
        <f ca="1">C940*Inputs!$B$12</f>
        <v>60600000</v>
      </c>
    </row>
    <row r="941" spans="1:4" ht="13.5" customHeight="1" x14ac:dyDescent="0.3">
      <c r="A941" s="46">
        <v>937</v>
      </c>
      <c r="B941" s="47">
        <f t="shared" ca="1" si="14"/>
        <v>0.8014935480679064</v>
      </c>
      <c r="C941" s="48">
        <f t="array" aca="1" ref="C941" ca="1">MAX(0,ROUND(Inputs!$B$10*Inputs!$B$11+NORMSINV(B941)*SQRT(Inputs!$B$10*Inputs!$B$11),0))</f>
        <v>519</v>
      </c>
      <c r="D941" s="49">
        <f ca="1">C941*Inputs!$B$12</f>
        <v>62280000</v>
      </c>
    </row>
    <row r="942" spans="1:4" ht="13.5" customHeight="1" x14ac:dyDescent="0.3">
      <c r="A942" s="50">
        <v>938</v>
      </c>
      <c r="B942" s="51">
        <f t="shared" ca="1" si="14"/>
        <v>0.85022531393874468</v>
      </c>
      <c r="C942" s="48">
        <f t="array" aca="1" ref="C942" ca="1">MAX(0,ROUND(Inputs!$B$10*Inputs!$B$11+NORMSINV(B942)*SQRT(Inputs!$B$10*Inputs!$B$11),0))</f>
        <v>523</v>
      </c>
      <c r="D942" s="52">
        <f ca="1">C942*Inputs!$B$12</f>
        <v>62760000</v>
      </c>
    </row>
    <row r="943" spans="1:4" ht="13.5" customHeight="1" x14ac:dyDescent="0.3">
      <c r="A943" s="46">
        <v>939</v>
      </c>
      <c r="B943" s="47">
        <f t="shared" ca="1" si="14"/>
        <v>0.72361996937773376</v>
      </c>
      <c r="C943" s="48">
        <f t="array" aca="1" ref="C943" ca="1">MAX(0,ROUND(Inputs!$B$10*Inputs!$B$11+NORMSINV(B943)*SQRT(Inputs!$B$10*Inputs!$B$11),0))</f>
        <v>513</v>
      </c>
      <c r="D943" s="49">
        <f ca="1">C943*Inputs!$B$12</f>
        <v>61560000</v>
      </c>
    </row>
    <row r="944" spans="1:4" ht="13.5" customHeight="1" x14ac:dyDescent="0.3">
      <c r="A944" s="50">
        <v>940</v>
      </c>
      <c r="B944" s="51">
        <f t="shared" ca="1" si="14"/>
        <v>0.77761769363499322</v>
      </c>
      <c r="C944" s="48">
        <f t="array" aca="1" ref="C944" ca="1">MAX(0,ROUND(Inputs!$B$10*Inputs!$B$11+NORMSINV(B944)*SQRT(Inputs!$B$10*Inputs!$B$11),0))</f>
        <v>517</v>
      </c>
      <c r="D944" s="52">
        <f ca="1">C944*Inputs!$B$12</f>
        <v>62040000</v>
      </c>
    </row>
    <row r="945" spans="1:4" ht="13.5" customHeight="1" x14ac:dyDescent="0.3">
      <c r="A945" s="46">
        <v>941</v>
      </c>
      <c r="B945" s="47">
        <f t="shared" ca="1" si="14"/>
        <v>0.69245318518233157</v>
      </c>
      <c r="C945" s="48">
        <f t="array" aca="1" ref="C945" ca="1">MAX(0,ROUND(Inputs!$B$10*Inputs!$B$11+NORMSINV(B945)*SQRT(Inputs!$B$10*Inputs!$B$11),0))</f>
        <v>511</v>
      </c>
      <c r="D945" s="49">
        <f ca="1">C945*Inputs!$B$12</f>
        <v>61320000</v>
      </c>
    </row>
    <row r="946" spans="1:4" ht="13.5" customHeight="1" x14ac:dyDescent="0.3">
      <c r="A946" s="50">
        <v>942</v>
      </c>
      <c r="B946" s="51">
        <f t="shared" ca="1" si="14"/>
        <v>0.76148185595686235</v>
      </c>
      <c r="C946" s="48">
        <f t="array" aca="1" ref="C946" ca="1">MAX(0,ROUND(Inputs!$B$10*Inputs!$B$11+NORMSINV(B946)*SQRT(Inputs!$B$10*Inputs!$B$11),0))</f>
        <v>516</v>
      </c>
      <c r="D946" s="52">
        <f ca="1">C946*Inputs!$B$12</f>
        <v>61920000</v>
      </c>
    </row>
    <row r="947" spans="1:4" ht="13.5" customHeight="1" x14ac:dyDescent="0.3">
      <c r="A947" s="46">
        <v>943</v>
      </c>
      <c r="B947" s="47">
        <f t="shared" ca="1" si="14"/>
        <v>0.61689367795338301</v>
      </c>
      <c r="C947" s="48">
        <f t="array" aca="1" ref="C947" ca="1">MAX(0,ROUND(Inputs!$B$10*Inputs!$B$11+NORMSINV(B947)*SQRT(Inputs!$B$10*Inputs!$B$11),0))</f>
        <v>507</v>
      </c>
      <c r="D947" s="49">
        <f ca="1">C947*Inputs!$B$12</f>
        <v>60840000</v>
      </c>
    </row>
    <row r="948" spans="1:4" ht="13.5" customHeight="1" x14ac:dyDescent="0.3">
      <c r="A948" s="50">
        <v>944</v>
      </c>
      <c r="B948" s="51">
        <f t="shared" ca="1" si="14"/>
        <v>0.66729232243279757</v>
      </c>
      <c r="C948" s="48">
        <f t="array" aca="1" ref="C948" ca="1">MAX(0,ROUND(Inputs!$B$10*Inputs!$B$11+NORMSINV(B948)*SQRT(Inputs!$B$10*Inputs!$B$11),0))</f>
        <v>510</v>
      </c>
      <c r="D948" s="52">
        <f ca="1">C948*Inputs!$B$12</f>
        <v>61200000</v>
      </c>
    </row>
    <row r="949" spans="1:4" ht="13.5" customHeight="1" x14ac:dyDescent="0.3">
      <c r="A949" s="46">
        <v>945</v>
      </c>
      <c r="B949" s="47">
        <f t="shared" ca="1" si="14"/>
        <v>0.65444548203071096</v>
      </c>
      <c r="C949" s="48">
        <f t="array" aca="1" ref="C949" ca="1">MAX(0,ROUND(Inputs!$B$10*Inputs!$B$11+NORMSINV(B949)*SQRT(Inputs!$B$10*Inputs!$B$11),0))</f>
        <v>509</v>
      </c>
      <c r="D949" s="49">
        <f ca="1">C949*Inputs!$B$12</f>
        <v>61080000</v>
      </c>
    </row>
    <row r="950" spans="1:4" ht="13.5" customHeight="1" x14ac:dyDescent="0.3">
      <c r="A950" s="50">
        <v>946</v>
      </c>
      <c r="B950" s="51">
        <f t="shared" ca="1" si="14"/>
        <v>0.52209174735147412</v>
      </c>
      <c r="C950" s="48">
        <f t="array" aca="1" ref="C950" ca="1">MAX(0,ROUND(Inputs!$B$10*Inputs!$B$11+NORMSINV(B950)*SQRT(Inputs!$B$10*Inputs!$B$11),0))</f>
        <v>501</v>
      </c>
      <c r="D950" s="52">
        <f ca="1">C950*Inputs!$B$12</f>
        <v>60120000</v>
      </c>
    </row>
    <row r="951" spans="1:4" ht="13.5" customHeight="1" x14ac:dyDescent="0.3">
      <c r="A951" s="46">
        <v>947</v>
      </c>
      <c r="B951" s="47">
        <f t="shared" ca="1" si="14"/>
        <v>0.52369821977269382</v>
      </c>
      <c r="C951" s="48">
        <f t="array" aca="1" ref="C951" ca="1">MAX(0,ROUND(Inputs!$B$10*Inputs!$B$11+NORMSINV(B951)*SQRT(Inputs!$B$10*Inputs!$B$11),0))</f>
        <v>501</v>
      </c>
      <c r="D951" s="49">
        <f ca="1">C951*Inputs!$B$12</f>
        <v>60120000</v>
      </c>
    </row>
    <row r="952" spans="1:4" ht="13.5" customHeight="1" x14ac:dyDescent="0.3">
      <c r="A952" s="50">
        <v>948</v>
      </c>
      <c r="B952" s="51">
        <f t="shared" ca="1" si="14"/>
        <v>0.96775931466507459</v>
      </c>
      <c r="C952" s="48">
        <f t="array" aca="1" ref="C952" ca="1">MAX(0,ROUND(Inputs!$B$10*Inputs!$B$11+NORMSINV(B952)*SQRT(Inputs!$B$10*Inputs!$B$11),0))</f>
        <v>541</v>
      </c>
      <c r="D952" s="52">
        <f ca="1">C952*Inputs!$B$12</f>
        <v>64920000</v>
      </c>
    </row>
    <row r="953" spans="1:4" ht="13.5" customHeight="1" x14ac:dyDescent="0.3">
      <c r="A953" s="46">
        <v>949</v>
      </c>
      <c r="B953" s="47">
        <f t="shared" ca="1" si="14"/>
        <v>0.68070232933842023</v>
      </c>
      <c r="C953" s="48">
        <f t="array" aca="1" ref="C953" ca="1">MAX(0,ROUND(Inputs!$B$10*Inputs!$B$11+NORMSINV(B953)*SQRT(Inputs!$B$10*Inputs!$B$11),0))</f>
        <v>511</v>
      </c>
      <c r="D953" s="49">
        <f ca="1">C953*Inputs!$B$12</f>
        <v>61320000</v>
      </c>
    </row>
    <row r="954" spans="1:4" ht="13.5" customHeight="1" x14ac:dyDescent="0.3">
      <c r="A954" s="50">
        <v>950</v>
      </c>
      <c r="B954" s="51">
        <f t="shared" ca="1" si="14"/>
        <v>5.13176987831786E-2</v>
      </c>
      <c r="C954" s="48">
        <f t="array" aca="1" ref="C954" ca="1">MAX(0,ROUND(Inputs!$B$10*Inputs!$B$11+NORMSINV(B954)*SQRT(Inputs!$B$10*Inputs!$B$11),0))</f>
        <v>464</v>
      </c>
      <c r="D954" s="52">
        <f ca="1">C954*Inputs!$B$12</f>
        <v>55680000</v>
      </c>
    </row>
    <row r="955" spans="1:4" ht="13.5" customHeight="1" x14ac:dyDescent="0.3">
      <c r="A955" s="46">
        <v>951</v>
      </c>
      <c r="B955" s="47">
        <f t="shared" ca="1" si="14"/>
        <v>0.58901371387470236</v>
      </c>
      <c r="C955" s="48">
        <f t="array" aca="1" ref="C955" ca="1">MAX(0,ROUND(Inputs!$B$10*Inputs!$B$11+NORMSINV(B955)*SQRT(Inputs!$B$10*Inputs!$B$11),0))</f>
        <v>505</v>
      </c>
      <c r="D955" s="49">
        <f ca="1">C955*Inputs!$B$12</f>
        <v>60600000</v>
      </c>
    </row>
    <row r="956" spans="1:4" ht="13.5" customHeight="1" x14ac:dyDescent="0.3">
      <c r="A956" s="50">
        <v>952</v>
      </c>
      <c r="B956" s="51">
        <f t="shared" ca="1" si="14"/>
        <v>1.9611092684788556E-2</v>
      </c>
      <c r="C956" s="48">
        <f t="array" aca="1" ref="C956" ca="1">MAX(0,ROUND(Inputs!$B$10*Inputs!$B$11+NORMSINV(B956)*SQRT(Inputs!$B$10*Inputs!$B$11),0))</f>
        <v>454</v>
      </c>
      <c r="D956" s="52">
        <f ca="1">C956*Inputs!$B$12</f>
        <v>54480000</v>
      </c>
    </row>
    <row r="957" spans="1:4" ht="13.5" customHeight="1" x14ac:dyDescent="0.3">
      <c r="A957" s="46">
        <v>953</v>
      </c>
      <c r="B957" s="47">
        <f t="shared" ca="1" si="14"/>
        <v>0.82949918014497914</v>
      </c>
      <c r="C957" s="48">
        <f t="array" aca="1" ref="C957" ca="1">MAX(0,ROUND(Inputs!$B$10*Inputs!$B$11+NORMSINV(B957)*SQRT(Inputs!$B$10*Inputs!$B$11),0))</f>
        <v>521</v>
      </c>
      <c r="D957" s="49">
        <f ca="1">C957*Inputs!$B$12</f>
        <v>62520000</v>
      </c>
    </row>
    <row r="958" spans="1:4" ht="13.5" customHeight="1" x14ac:dyDescent="0.3">
      <c r="A958" s="50">
        <v>954</v>
      </c>
      <c r="B958" s="51">
        <f t="shared" ca="1" si="14"/>
        <v>0.44974335621828654</v>
      </c>
      <c r="C958" s="48">
        <f t="array" aca="1" ref="C958" ca="1">MAX(0,ROUND(Inputs!$B$10*Inputs!$B$11+NORMSINV(B958)*SQRT(Inputs!$B$10*Inputs!$B$11),0))</f>
        <v>497</v>
      </c>
      <c r="D958" s="52">
        <f ca="1">C958*Inputs!$B$12</f>
        <v>59640000</v>
      </c>
    </row>
    <row r="959" spans="1:4" ht="13.5" customHeight="1" x14ac:dyDescent="0.3">
      <c r="A959" s="46">
        <v>955</v>
      </c>
      <c r="B959" s="47">
        <f t="shared" ca="1" si="14"/>
        <v>0.68244123258615286</v>
      </c>
      <c r="C959" s="48">
        <f t="array" aca="1" ref="C959" ca="1">MAX(0,ROUND(Inputs!$B$10*Inputs!$B$11+NORMSINV(B959)*SQRT(Inputs!$B$10*Inputs!$B$11),0))</f>
        <v>511</v>
      </c>
      <c r="D959" s="49">
        <f ca="1">C959*Inputs!$B$12</f>
        <v>61320000</v>
      </c>
    </row>
    <row r="960" spans="1:4" ht="13.5" customHeight="1" x14ac:dyDescent="0.3">
      <c r="A960" s="50">
        <v>956</v>
      </c>
      <c r="B960" s="51">
        <f t="shared" ca="1" si="14"/>
        <v>0.9231922472377303</v>
      </c>
      <c r="C960" s="48">
        <f t="array" aca="1" ref="C960" ca="1">MAX(0,ROUND(Inputs!$B$10*Inputs!$B$11+NORMSINV(B960)*SQRT(Inputs!$B$10*Inputs!$B$11),0))</f>
        <v>532</v>
      </c>
      <c r="D960" s="52">
        <f ca="1">C960*Inputs!$B$12</f>
        <v>63840000</v>
      </c>
    </row>
    <row r="961" spans="1:4" ht="13.5" customHeight="1" x14ac:dyDescent="0.3">
      <c r="A961" s="46">
        <v>957</v>
      </c>
      <c r="B961" s="47">
        <f t="shared" ca="1" si="14"/>
        <v>0.66036452136441426</v>
      </c>
      <c r="C961" s="48">
        <f t="array" aca="1" ref="C961" ca="1">MAX(0,ROUND(Inputs!$B$10*Inputs!$B$11+NORMSINV(B961)*SQRT(Inputs!$B$10*Inputs!$B$11),0))</f>
        <v>509</v>
      </c>
      <c r="D961" s="49">
        <f ca="1">C961*Inputs!$B$12</f>
        <v>61080000</v>
      </c>
    </row>
    <row r="962" spans="1:4" ht="13.5" customHeight="1" x14ac:dyDescent="0.3">
      <c r="A962" s="50">
        <v>958</v>
      </c>
      <c r="B962" s="51">
        <f t="shared" ca="1" si="14"/>
        <v>6.3340149866528028E-2</v>
      </c>
      <c r="C962" s="48">
        <f t="array" aca="1" ref="C962" ca="1">MAX(0,ROUND(Inputs!$B$10*Inputs!$B$11+NORMSINV(B962)*SQRT(Inputs!$B$10*Inputs!$B$11),0))</f>
        <v>466</v>
      </c>
      <c r="D962" s="52">
        <f ca="1">C962*Inputs!$B$12</f>
        <v>55920000</v>
      </c>
    </row>
    <row r="963" spans="1:4" ht="13.5" customHeight="1" x14ac:dyDescent="0.3">
      <c r="A963" s="46">
        <v>959</v>
      </c>
      <c r="B963" s="47">
        <f t="shared" ca="1" si="14"/>
        <v>0.74209911452720201</v>
      </c>
      <c r="C963" s="48">
        <f t="array" aca="1" ref="C963" ca="1">MAX(0,ROUND(Inputs!$B$10*Inputs!$B$11+NORMSINV(B963)*SQRT(Inputs!$B$10*Inputs!$B$11),0))</f>
        <v>515</v>
      </c>
      <c r="D963" s="49">
        <f ca="1">C963*Inputs!$B$12</f>
        <v>61800000</v>
      </c>
    </row>
    <row r="964" spans="1:4" ht="13.5" customHeight="1" x14ac:dyDescent="0.3">
      <c r="A964" s="50">
        <v>960</v>
      </c>
      <c r="B964" s="51">
        <f t="shared" ca="1" si="14"/>
        <v>0.22375524669132085</v>
      </c>
      <c r="C964" s="48">
        <f t="array" aca="1" ref="C964" ca="1">MAX(0,ROUND(Inputs!$B$10*Inputs!$B$11+NORMSINV(B964)*SQRT(Inputs!$B$10*Inputs!$B$11),0))</f>
        <v>483</v>
      </c>
      <c r="D964" s="52">
        <f ca="1">C964*Inputs!$B$12</f>
        <v>57960000</v>
      </c>
    </row>
    <row r="965" spans="1:4" ht="13.5" customHeight="1" x14ac:dyDescent="0.3">
      <c r="A965" s="46">
        <v>961</v>
      </c>
      <c r="B965" s="47">
        <f t="shared" ref="B965:B1028" ca="1" si="15">RAND()</f>
        <v>6.8013718871156481E-2</v>
      </c>
      <c r="C965" s="48">
        <f t="array" aca="1" ref="C965" ca="1">MAX(0,ROUND(Inputs!$B$10*Inputs!$B$11+NORMSINV(B965)*SQRT(Inputs!$B$10*Inputs!$B$11),0))</f>
        <v>467</v>
      </c>
      <c r="D965" s="49">
        <f ca="1">C965*Inputs!$B$12</f>
        <v>56040000</v>
      </c>
    </row>
    <row r="966" spans="1:4" ht="13.5" customHeight="1" x14ac:dyDescent="0.3">
      <c r="A966" s="50">
        <v>962</v>
      </c>
      <c r="B966" s="51">
        <f t="shared" ca="1" si="15"/>
        <v>0.4402009589625494</v>
      </c>
      <c r="C966" s="48">
        <f t="array" aca="1" ref="C966" ca="1">MAX(0,ROUND(Inputs!$B$10*Inputs!$B$11+NORMSINV(B966)*SQRT(Inputs!$B$10*Inputs!$B$11),0))</f>
        <v>497</v>
      </c>
      <c r="D966" s="52">
        <f ca="1">C966*Inputs!$B$12</f>
        <v>59640000</v>
      </c>
    </row>
    <row r="967" spans="1:4" ht="13.5" customHeight="1" x14ac:dyDescent="0.3">
      <c r="A967" s="46">
        <v>963</v>
      </c>
      <c r="B967" s="47">
        <f t="shared" ca="1" si="15"/>
        <v>0.31260469260295842</v>
      </c>
      <c r="C967" s="48">
        <f t="array" aca="1" ref="C967" ca="1">MAX(0,ROUND(Inputs!$B$10*Inputs!$B$11+NORMSINV(B967)*SQRT(Inputs!$B$10*Inputs!$B$11),0))</f>
        <v>489</v>
      </c>
      <c r="D967" s="49">
        <f ca="1">C967*Inputs!$B$12</f>
        <v>58680000</v>
      </c>
    </row>
    <row r="968" spans="1:4" ht="13.5" customHeight="1" x14ac:dyDescent="0.3">
      <c r="A968" s="50">
        <v>964</v>
      </c>
      <c r="B968" s="51">
        <f t="shared" ca="1" si="15"/>
        <v>0.94026795764893012</v>
      </c>
      <c r="C968" s="48">
        <f t="array" aca="1" ref="C968" ca="1">MAX(0,ROUND(Inputs!$B$10*Inputs!$B$11+NORMSINV(B968)*SQRT(Inputs!$B$10*Inputs!$B$11),0))</f>
        <v>535</v>
      </c>
      <c r="D968" s="52">
        <f ca="1">C968*Inputs!$B$12</f>
        <v>64200000</v>
      </c>
    </row>
    <row r="969" spans="1:4" ht="13.5" customHeight="1" x14ac:dyDescent="0.3">
      <c r="A969" s="46">
        <v>965</v>
      </c>
      <c r="B969" s="47">
        <f t="shared" ca="1" si="15"/>
        <v>0.35718086240117075</v>
      </c>
      <c r="C969" s="48">
        <f t="array" aca="1" ref="C969" ca="1">MAX(0,ROUND(Inputs!$B$10*Inputs!$B$11+NORMSINV(B969)*SQRT(Inputs!$B$10*Inputs!$B$11),0))</f>
        <v>492</v>
      </c>
      <c r="D969" s="49">
        <f ca="1">C969*Inputs!$B$12</f>
        <v>59040000</v>
      </c>
    </row>
    <row r="970" spans="1:4" ht="13.5" customHeight="1" x14ac:dyDescent="0.3">
      <c r="A970" s="50">
        <v>966</v>
      </c>
      <c r="B970" s="51">
        <f t="shared" ca="1" si="15"/>
        <v>0.21248155132563595</v>
      </c>
      <c r="C970" s="48">
        <f t="array" aca="1" ref="C970" ca="1">MAX(0,ROUND(Inputs!$B$10*Inputs!$B$11+NORMSINV(B970)*SQRT(Inputs!$B$10*Inputs!$B$11),0))</f>
        <v>482</v>
      </c>
      <c r="D970" s="52">
        <f ca="1">C970*Inputs!$B$12</f>
        <v>57840000</v>
      </c>
    </row>
    <row r="971" spans="1:4" ht="13.5" customHeight="1" x14ac:dyDescent="0.3">
      <c r="A971" s="46">
        <v>967</v>
      </c>
      <c r="B971" s="47">
        <f t="shared" ca="1" si="15"/>
        <v>0.55621692858206728</v>
      </c>
      <c r="C971" s="48">
        <f t="array" aca="1" ref="C971" ca="1">MAX(0,ROUND(Inputs!$B$10*Inputs!$B$11+NORMSINV(B971)*SQRT(Inputs!$B$10*Inputs!$B$11),0))</f>
        <v>503</v>
      </c>
      <c r="D971" s="49">
        <f ca="1">C971*Inputs!$B$12</f>
        <v>60360000</v>
      </c>
    </row>
    <row r="972" spans="1:4" ht="13.5" customHeight="1" x14ac:dyDescent="0.3">
      <c r="A972" s="50">
        <v>968</v>
      </c>
      <c r="B972" s="51">
        <f t="shared" ca="1" si="15"/>
        <v>0.512444639280492</v>
      </c>
      <c r="C972" s="48">
        <f t="array" aca="1" ref="C972" ca="1">MAX(0,ROUND(Inputs!$B$10*Inputs!$B$11+NORMSINV(B972)*SQRT(Inputs!$B$10*Inputs!$B$11),0))</f>
        <v>501</v>
      </c>
      <c r="D972" s="52">
        <f ca="1">C972*Inputs!$B$12</f>
        <v>60120000</v>
      </c>
    </row>
    <row r="973" spans="1:4" ht="13.5" customHeight="1" x14ac:dyDescent="0.3">
      <c r="A973" s="46">
        <v>969</v>
      </c>
      <c r="B973" s="47">
        <f t="shared" ca="1" si="15"/>
        <v>0.19766856428411972</v>
      </c>
      <c r="C973" s="48">
        <f t="array" aca="1" ref="C973" ca="1">MAX(0,ROUND(Inputs!$B$10*Inputs!$B$11+NORMSINV(B973)*SQRT(Inputs!$B$10*Inputs!$B$11),0))</f>
        <v>481</v>
      </c>
      <c r="D973" s="49">
        <f ca="1">C973*Inputs!$B$12</f>
        <v>57720000</v>
      </c>
    </row>
    <row r="974" spans="1:4" ht="13.5" customHeight="1" x14ac:dyDescent="0.3">
      <c r="A974" s="50">
        <v>970</v>
      </c>
      <c r="B974" s="51">
        <f t="shared" ca="1" si="15"/>
        <v>0.80779427365044632</v>
      </c>
      <c r="C974" s="48">
        <f t="array" aca="1" ref="C974" ca="1">MAX(0,ROUND(Inputs!$B$10*Inputs!$B$11+NORMSINV(B974)*SQRT(Inputs!$B$10*Inputs!$B$11),0))</f>
        <v>519</v>
      </c>
      <c r="D974" s="52">
        <f ca="1">C974*Inputs!$B$12</f>
        <v>62280000</v>
      </c>
    </row>
    <row r="975" spans="1:4" ht="13.5" customHeight="1" x14ac:dyDescent="0.3">
      <c r="A975" s="46">
        <v>971</v>
      </c>
      <c r="B975" s="47">
        <f t="shared" ca="1" si="15"/>
        <v>0.21722942074556428</v>
      </c>
      <c r="C975" s="48">
        <f t="array" aca="1" ref="C975" ca="1">MAX(0,ROUND(Inputs!$B$10*Inputs!$B$11+NORMSINV(B975)*SQRT(Inputs!$B$10*Inputs!$B$11),0))</f>
        <v>483</v>
      </c>
      <c r="D975" s="49">
        <f ca="1">C975*Inputs!$B$12</f>
        <v>57960000</v>
      </c>
    </row>
    <row r="976" spans="1:4" ht="13.5" customHeight="1" x14ac:dyDescent="0.3">
      <c r="A976" s="50">
        <v>972</v>
      </c>
      <c r="B976" s="51">
        <f t="shared" ca="1" si="15"/>
        <v>0.36358474064353818</v>
      </c>
      <c r="C976" s="48">
        <f t="array" aca="1" ref="C976" ca="1">MAX(0,ROUND(Inputs!$B$10*Inputs!$B$11+NORMSINV(B976)*SQRT(Inputs!$B$10*Inputs!$B$11),0))</f>
        <v>492</v>
      </c>
      <c r="D976" s="52">
        <f ca="1">C976*Inputs!$B$12</f>
        <v>59040000</v>
      </c>
    </row>
    <row r="977" spans="1:4" ht="13.5" customHeight="1" x14ac:dyDescent="0.3">
      <c r="A977" s="46">
        <v>973</v>
      </c>
      <c r="B977" s="47">
        <f t="shared" ca="1" si="15"/>
        <v>0.70142064228180434</v>
      </c>
      <c r="C977" s="48">
        <f t="array" aca="1" ref="C977" ca="1">MAX(0,ROUND(Inputs!$B$10*Inputs!$B$11+NORMSINV(B977)*SQRT(Inputs!$B$10*Inputs!$B$11),0))</f>
        <v>512</v>
      </c>
      <c r="D977" s="49">
        <f ca="1">C977*Inputs!$B$12</f>
        <v>61440000</v>
      </c>
    </row>
    <row r="978" spans="1:4" ht="13.5" customHeight="1" x14ac:dyDescent="0.3">
      <c r="A978" s="50">
        <v>974</v>
      </c>
      <c r="B978" s="51">
        <f t="shared" ca="1" si="15"/>
        <v>0.77496328933688219</v>
      </c>
      <c r="C978" s="48">
        <f t="array" aca="1" ref="C978" ca="1">MAX(0,ROUND(Inputs!$B$10*Inputs!$B$11+NORMSINV(B978)*SQRT(Inputs!$B$10*Inputs!$B$11),0))</f>
        <v>517</v>
      </c>
      <c r="D978" s="52">
        <f ca="1">C978*Inputs!$B$12</f>
        <v>62040000</v>
      </c>
    </row>
    <row r="979" spans="1:4" ht="13.5" customHeight="1" x14ac:dyDescent="0.3">
      <c r="A979" s="46">
        <v>975</v>
      </c>
      <c r="B979" s="47">
        <f t="shared" ca="1" si="15"/>
        <v>0.68956891090029426</v>
      </c>
      <c r="C979" s="48">
        <f t="array" aca="1" ref="C979" ca="1">MAX(0,ROUND(Inputs!$B$10*Inputs!$B$11+NORMSINV(B979)*SQRT(Inputs!$B$10*Inputs!$B$11),0))</f>
        <v>511</v>
      </c>
      <c r="D979" s="49">
        <f ca="1">C979*Inputs!$B$12</f>
        <v>61320000</v>
      </c>
    </row>
    <row r="980" spans="1:4" ht="13.5" customHeight="1" x14ac:dyDescent="0.3">
      <c r="A980" s="50">
        <v>976</v>
      </c>
      <c r="B980" s="51">
        <f t="shared" ca="1" si="15"/>
        <v>0.37628559637210035</v>
      </c>
      <c r="C980" s="48">
        <f t="array" aca="1" ref="C980" ca="1">MAX(0,ROUND(Inputs!$B$10*Inputs!$B$11+NORMSINV(B980)*SQRT(Inputs!$B$10*Inputs!$B$11),0))</f>
        <v>493</v>
      </c>
      <c r="D980" s="52">
        <f ca="1">C980*Inputs!$B$12</f>
        <v>59160000</v>
      </c>
    </row>
    <row r="981" spans="1:4" ht="13.5" customHeight="1" x14ac:dyDescent="0.3">
      <c r="A981" s="46">
        <v>977</v>
      </c>
      <c r="B981" s="47">
        <f t="shared" ca="1" si="15"/>
        <v>0.30263373403871163</v>
      </c>
      <c r="C981" s="48">
        <f t="array" aca="1" ref="C981" ca="1">MAX(0,ROUND(Inputs!$B$10*Inputs!$B$11+NORMSINV(B981)*SQRT(Inputs!$B$10*Inputs!$B$11),0))</f>
        <v>488</v>
      </c>
      <c r="D981" s="49">
        <f ca="1">C981*Inputs!$B$12</f>
        <v>58560000</v>
      </c>
    </row>
    <row r="982" spans="1:4" ht="13.5" customHeight="1" x14ac:dyDescent="0.3">
      <c r="A982" s="50">
        <v>978</v>
      </c>
      <c r="B982" s="51">
        <f t="shared" ca="1" si="15"/>
        <v>0.90900955212929491</v>
      </c>
      <c r="C982" s="48">
        <f t="array" aca="1" ref="C982" ca="1">MAX(0,ROUND(Inputs!$B$10*Inputs!$B$11+NORMSINV(B982)*SQRT(Inputs!$B$10*Inputs!$B$11),0))</f>
        <v>530</v>
      </c>
      <c r="D982" s="52">
        <f ca="1">C982*Inputs!$B$12</f>
        <v>63600000</v>
      </c>
    </row>
    <row r="983" spans="1:4" ht="13.5" customHeight="1" x14ac:dyDescent="0.3">
      <c r="A983" s="46">
        <v>979</v>
      </c>
      <c r="B983" s="47">
        <f t="shared" ca="1" si="15"/>
        <v>0.31901910111028375</v>
      </c>
      <c r="C983" s="48">
        <f t="array" aca="1" ref="C983" ca="1">MAX(0,ROUND(Inputs!$B$10*Inputs!$B$11+NORMSINV(B983)*SQRT(Inputs!$B$10*Inputs!$B$11),0))</f>
        <v>489</v>
      </c>
      <c r="D983" s="49">
        <f ca="1">C983*Inputs!$B$12</f>
        <v>58680000</v>
      </c>
    </row>
    <row r="984" spans="1:4" ht="13.5" customHeight="1" x14ac:dyDescent="0.3">
      <c r="A984" s="50">
        <v>980</v>
      </c>
      <c r="B984" s="51">
        <f t="shared" ca="1" si="15"/>
        <v>0.46802891896102006</v>
      </c>
      <c r="C984" s="48">
        <f t="array" aca="1" ref="C984" ca="1">MAX(0,ROUND(Inputs!$B$10*Inputs!$B$11+NORMSINV(B984)*SQRT(Inputs!$B$10*Inputs!$B$11),0))</f>
        <v>498</v>
      </c>
      <c r="D984" s="52">
        <f ca="1">C984*Inputs!$B$12</f>
        <v>59760000</v>
      </c>
    </row>
    <row r="985" spans="1:4" ht="13.5" customHeight="1" x14ac:dyDescent="0.3">
      <c r="A985" s="46">
        <v>981</v>
      </c>
      <c r="B985" s="47">
        <f t="shared" ca="1" si="15"/>
        <v>0.44071955611455971</v>
      </c>
      <c r="C985" s="48">
        <f t="array" aca="1" ref="C985" ca="1">MAX(0,ROUND(Inputs!$B$10*Inputs!$B$11+NORMSINV(B985)*SQRT(Inputs!$B$10*Inputs!$B$11),0))</f>
        <v>497</v>
      </c>
      <c r="D985" s="49">
        <f ca="1">C985*Inputs!$B$12</f>
        <v>59640000</v>
      </c>
    </row>
    <row r="986" spans="1:4" ht="13.5" customHeight="1" x14ac:dyDescent="0.3">
      <c r="A986" s="50">
        <v>982</v>
      </c>
      <c r="B986" s="51">
        <f t="shared" ca="1" si="15"/>
        <v>0.23287527690581455</v>
      </c>
      <c r="C986" s="48">
        <f t="array" aca="1" ref="C986" ca="1">MAX(0,ROUND(Inputs!$B$10*Inputs!$B$11+NORMSINV(B986)*SQRT(Inputs!$B$10*Inputs!$B$11),0))</f>
        <v>484</v>
      </c>
      <c r="D986" s="52">
        <f ca="1">C986*Inputs!$B$12</f>
        <v>58080000</v>
      </c>
    </row>
    <row r="987" spans="1:4" ht="13.5" customHeight="1" x14ac:dyDescent="0.3">
      <c r="A987" s="46">
        <v>983</v>
      </c>
      <c r="B987" s="47">
        <f t="shared" ca="1" si="15"/>
        <v>0.13847052912813074</v>
      </c>
      <c r="C987" s="48">
        <f t="array" aca="1" ref="C987" ca="1">MAX(0,ROUND(Inputs!$B$10*Inputs!$B$11+NORMSINV(B987)*SQRT(Inputs!$B$10*Inputs!$B$11),0))</f>
        <v>476</v>
      </c>
      <c r="D987" s="49">
        <f ca="1">C987*Inputs!$B$12</f>
        <v>57120000</v>
      </c>
    </row>
    <row r="988" spans="1:4" ht="13.5" customHeight="1" x14ac:dyDescent="0.3">
      <c r="A988" s="50">
        <v>984</v>
      </c>
      <c r="B988" s="51">
        <f t="shared" ca="1" si="15"/>
        <v>0.44271492295221837</v>
      </c>
      <c r="C988" s="48">
        <f t="array" aca="1" ref="C988" ca="1">MAX(0,ROUND(Inputs!$B$10*Inputs!$B$11+NORMSINV(B988)*SQRT(Inputs!$B$10*Inputs!$B$11),0))</f>
        <v>497</v>
      </c>
      <c r="D988" s="52">
        <f ca="1">C988*Inputs!$B$12</f>
        <v>59640000</v>
      </c>
    </row>
    <row r="989" spans="1:4" ht="13.5" customHeight="1" x14ac:dyDescent="0.3">
      <c r="A989" s="46">
        <v>985</v>
      </c>
      <c r="B989" s="47">
        <f t="shared" ca="1" si="15"/>
        <v>0.68977378412650936</v>
      </c>
      <c r="C989" s="48">
        <f t="array" aca="1" ref="C989" ca="1">MAX(0,ROUND(Inputs!$B$10*Inputs!$B$11+NORMSINV(B989)*SQRT(Inputs!$B$10*Inputs!$B$11),0))</f>
        <v>511</v>
      </c>
      <c r="D989" s="49">
        <f ca="1">C989*Inputs!$B$12</f>
        <v>61320000</v>
      </c>
    </row>
    <row r="990" spans="1:4" ht="13.5" customHeight="1" x14ac:dyDescent="0.3">
      <c r="A990" s="50">
        <v>986</v>
      </c>
      <c r="B990" s="51">
        <f t="shared" ca="1" si="15"/>
        <v>0.8123415620624227</v>
      </c>
      <c r="C990" s="48">
        <f t="array" aca="1" ref="C990" ca="1">MAX(0,ROUND(Inputs!$B$10*Inputs!$B$11+NORMSINV(B990)*SQRT(Inputs!$B$10*Inputs!$B$11),0))</f>
        <v>520</v>
      </c>
      <c r="D990" s="52">
        <f ca="1">C990*Inputs!$B$12</f>
        <v>62400000</v>
      </c>
    </row>
    <row r="991" spans="1:4" ht="13.5" customHeight="1" x14ac:dyDescent="0.3">
      <c r="A991" s="46">
        <v>987</v>
      </c>
      <c r="B991" s="47">
        <f t="shared" ca="1" si="15"/>
        <v>0.81187344725205013</v>
      </c>
      <c r="C991" s="48">
        <f t="array" aca="1" ref="C991" ca="1">MAX(0,ROUND(Inputs!$B$10*Inputs!$B$11+NORMSINV(B991)*SQRT(Inputs!$B$10*Inputs!$B$11),0))</f>
        <v>520</v>
      </c>
      <c r="D991" s="49">
        <f ca="1">C991*Inputs!$B$12</f>
        <v>62400000</v>
      </c>
    </row>
    <row r="992" spans="1:4" ht="13.5" customHeight="1" x14ac:dyDescent="0.3">
      <c r="A992" s="50">
        <v>988</v>
      </c>
      <c r="B992" s="51">
        <f t="shared" ca="1" si="15"/>
        <v>0.34168628827026082</v>
      </c>
      <c r="C992" s="48">
        <f t="array" aca="1" ref="C992" ca="1">MAX(0,ROUND(Inputs!$B$10*Inputs!$B$11+NORMSINV(B992)*SQRT(Inputs!$B$10*Inputs!$B$11),0))</f>
        <v>491</v>
      </c>
      <c r="D992" s="52">
        <f ca="1">C992*Inputs!$B$12</f>
        <v>58920000</v>
      </c>
    </row>
    <row r="993" spans="1:4" ht="13.5" customHeight="1" x14ac:dyDescent="0.3">
      <c r="A993" s="46">
        <v>989</v>
      </c>
      <c r="B993" s="47">
        <f t="shared" ca="1" si="15"/>
        <v>0.24883964332510811</v>
      </c>
      <c r="C993" s="48">
        <f t="array" aca="1" ref="C993" ca="1">MAX(0,ROUND(Inputs!$B$10*Inputs!$B$11+NORMSINV(B993)*SQRT(Inputs!$B$10*Inputs!$B$11),0))</f>
        <v>485</v>
      </c>
      <c r="D993" s="49">
        <f ca="1">C993*Inputs!$B$12</f>
        <v>58200000</v>
      </c>
    </row>
    <row r="994" spans="1:4" ht="13.5" customHeight="1" x14ac:dyDescent="0.3">
      <c r="A994" s="50">
        <v>990</v>
      </c>
      <c r="B994" s="51">
        <f t="shared" ca="1" si="15"/>
        <v>0.71142886308092701</v>
      </c>
      <c r="C994" s="48">
        <f t="array" aca="1" ref="C994" ca="1">MAX(0,ROUND(Inputs!$B$10*Inputs!$B$11+NORMSINV(B994)*SQRT(Inputs!$B$10*Inputs!$B$11),0))</f>
        <v>512</v>
      </c>
      <c r="D994" s="52">
        <f ca="1">C994*Inputs!$B$12</f>
        <v>61440000</v>
      </c>
    </row>
    <row r="995" spans="1:4" ht="13.5" customHeight="1" x14ac:dyDescent="0.3">
      <c r="A995" s="46">
        <v>991</v>
      </c>
      <c r="B995" s="47">
        <f t="shared" ca="1" si="15"/>
        <v>0.57379534440777236</v>
      </c>
      <c r="C995" s="48">
        <f t="array" aca="1" ref="C995" ca="1">MAX(0,ROUND(Inputs!$B$10*Inputs!$B$11+NORMSINV(B995)*SQRT(Inputs!$B$10*Inputs!$B$11),0))</f>
        <v>504</v>
      </c>
      <c r="D995" s="49">
        <f ca="1">C995*Inputs!$B$12</f>
        <v>60480000</v>
      </c>
    </row>
    <row r="996" spans="1:4" ht="13.5" customHeight="1" x14ac:dyDescent="0.3">
      <c r="A996" s="50">
        <v>992</v>
      </c>
      <c r="B996" s="51">
        <f t="shared" ca="1" si="15"/>
        <v>0.4118182393669344</v>
      </c>
      <c r="C996" s="48">
        <f t="array" aca="1" ref="C996" ca="1">MAX(0,ROUND(Inputs!$B$10*Inputs!$B$11+NORMSINV(B996)*SQRT(Inputs!$B$10*Inputs!$B$11),0))</f>
        <v>495</v>
      </c>
      <c r="D996" s="52">
        <f ca="1">C996*Inputs!$B$12</f>
        <v>59400000</v>
      </c>
    </row>
    <row r="997" spans="1:4" ht="13.5" customHeight="1" x14ac:dyDescent="0.3">
      <c r="A997" s="46">
        <v>993</v>
      </c>
      <c r="B997" s="47">
        <f t="shared" ca="1" si="15"/>
        <v>0.50125074988019735</v>
      </c>
      <c r="C997" s="48">
        <f t="array" aca="1" ref="C997" ca="1">MAX(0,ROUND(Inputs!$B$10*Inputs!$B$11+NORMSINV(B997)*SQRT(Inputs!$B$10*Inputs!$B$11),0))</f>
        <v>500</v>
      </c>
      <c r="D997" s="49">
        <f ca="1">C997*Inputs!$B$12</f>
        <v>60000000</v>
      </c>
    </row>
    <row r="998" spans="1:4" ht="13.5" customHeight="1" x14ac:dyDescent="0.3">
      <c r="A998" s="50">
        <v>994</v>
      </c>
      <c r="B998" s="51">
        <f t="shared" ca="1" si="15"/>
        <v>0.84596741367763795</v>
      </c>
      <c r="C998" s="48">
        <f t="array" aca="1" ref="C998" ca="1">MAX(0,ROUND(Inputs!$B$10*Inputs!$B$11+NORMSINV(B998)*SQRT(Inputs!$B$10*Inputs!$B$11),0))</f>
        <v>523</v>
      </c>
      <c r="D998" s="52">
        <f ca="1">C998*Inputs!$B$12</f>
        <v>62760000</v>
      </c>
    </row>
    <row r="999" spans="1:4" ht="13.5" customHeight="1" x14ac:dyDescent="0.3">
      <c r="A999" s="46">
        <v>995</v>
      </c>
      <c r="B999" s="47">
        <f t="shared" ca="1" si="15"/>
        <v>0.59986297787185694</v>
      </c>
      <c r="C999" s="48">
        <f t="array" aca="1" ref="C999" ca="1">MAX(0,ROUND(Inputs!$B$10*Inputs!$B$11+NORMSINV(B999)*SQRT(Inputs!$B$10*Inputs!$B$11),0))</f>
        <v>506</v>
      </c>
      <c r="D999" s="49">
        <f ca="1">C999*Inputs!$B$12</f>
        <v>60720000</v>
      </c>
    </row>
    <row r="1000" spans="1:4" ht="13.5" customHeight="1" x14ac:dyDescent="0.3">
      <c r="A1000" s="50">
        <v>996</v>
      </c>
      <c r="B1000" s="51">
        <f t="shared" ca="1" si="15"/>
        <v>0.1776156516840246</v>
      </c>
      <c r="C1000" s="48">
        <f t="array" aca="1" ref="C1000" ca="1">MAX(0,ROUND(Inputs!$B$10*Inputs!$B$11+NORMSINV(B1000)*SQRT(Inputs!$B$10*Inputs!$B$11),0))</f>
        <v>479</v>
      </c>
      <c r="D1000" s="52">
        <f ca="1">C1000*Inputs!$B$12</f>
        <v>57480000</v>
      </c>
    </row>
    <row r="1001" spans="1:4" ht="13.5" customHeight="1" x14ac:dyDescent="0.3">
      <c r="A1001" s="46">
        <v>997</v>
      </c>
      <c r="B1001" s="47">
        <f t="shared" ca="1" si="15"/>
        <v>0.47892953613437761</v>
      </c>
      <c r="C1001" s="48">
        <f t="array" aca="1" ref="C1001" ca="1">MAX(0,ROUND(Inputs!$B$10*Inputs!$B$11+NORMSINV(B1001)*SQRT(Inputs!$B$10*Inputs!$B$11),0))</f>
        <v>499</v>
      </c>
      <c r="D1001" s="49">
        <f ca="1">C1001*Inputs!$B$12</f>
        <v>59880000</v>
      </c>
    </row>
    <row r="1002" spans="1:4" ht="13.5" customHeight="1" x14ac:dyDescent="0.3">
      <c r="A1002" s="50">
        <v>998</v>
      </c>
      <c r="B1002" s="51">
        <f t="shared" ca="1" si="15"/>
        <v>0.95130599194299859</v>
      </c>
      <c r="C1002" s="48">
        <f t="array" aca="1" ref="C1002" ca="1">MAX(0,ROUND(Inputs!$B$10*Inputs!$B$11+NORMSINV(B1002)*SQRT(Inputs!$B$10*Inputs!$B$11),0))</f>
        <v>537</v>
      </c>
      <c r="D1002" s="52">
        <f ca="1">C1002*Inputs!$B$12</f>
        <v>64440000</v>
      </c>
    </row>
    <row r="1003" spans="1:4" ht="13.5" customHeight="1" x14ac:dyDescent="0.3">
      <c r="A1003" s="46">
        <v>999</v>
      </c>
      <c r="B1003" s="47">
        <f t="shared" ca="1" si="15"/>
        <v>0.38265975350121983</v>
      </c>
      <c r="C1003" s="48">
        <f t="array" aca="1" ref="C1003" ca="1">MAX(0,ROUND(Inputs!$B$10*Inputs!$B$11+NORMSINV(B1003)*SQRT(Inputs!$B$10*Inputs!$B$11),0))</f>
        <v>493</v>
      </c>
      <c r="D1003" s="49">
        <f ca="1">C1003*Inputs!$B$12</f>
        <v>59160000</v>
      </c>
    </row>
    <row r="1004" spans="1:4" ht="13.5" customHeight="1" x14ac:dyDescent="0.3">
      <c r="A1004" s="50">
        <v>1000</v>
      </c>
      <c r="B1004" s="51">
        <f t="shared" ca="1" si="15"/>
        <v>0.79476444239051258</v>
      </c>
      <c r="C1004" s="48">
        <f t="array" aca="1" ref="C1004" ca="1">MAX(0,ROUND(Inputs!$B$10*Inputs!$B$11+NORMSINV(B1004)*SQRT(Inputs!$B$10*Inputs!$B$11),0))</f>
        <v>518</v>
      </c>
      <c r="D1004" s="52">
        <f ca="1">C1004*Inputs!$B$12</f>
        <v>62160000</v>
      </c>
    </row>
    <row r="1005" spans="1:4" ht="13.5" customHeight="1" x14ac:dyDescent="0.3">
      <c r="A1005" s="46">
        <v>1001</v>
      </c>
      <c r="B1005" s="47">
        <f t="shared" ca="1" si="15"/>
        <v>0.42873282950143377</v>
      </c>
      <c r="C1005" s="48">
        <f t="array" aca="1" ref="C1005" ca="1">MAX(0,ROUND(Inputs!$B$10*Inputs!$B$11+NORMSINV(B1005)*SQRT(Inputs!$B$10*Inputs!$B$11),0))</f>
        <v>496</v>
      </c>
      <c r="D1005" s="49">
        <f ca="1">C1005*Inputs!$B$12</f>
        <v>59520000</v>
      </c>
    </row>
    <row r="1006" spans="1:4" ht="13.5" customHeight="1" x14ac:dyDescent="0.3">
      <c r="A1006" s="50">
        <v>1002</v>
      </c>
      <c r="B1006" s="51">
        <f t="shared" ca="1" si="15"/>
        <v>0.48016789600103205</v>
      </c>
      <c r="C1006" s="48">
        <f t="array" aca="1" ref="C1006" ca="1">MAX(0,ROUND(Inputs!$B$10*Inputs!$B$11+NORMSINV(B1006)*SQRT(Inputs!$B$10*Inputs!$B$11),0))</f>
        <v>499</v>
      </c>
      <c r="D1006" s="52">
        <f ca="1">C1006*Inputs!$B$12</f>
        <v>59880000</v>
      </c>
    </row>
    <row r="1007" spans="1:4" ht="13.5" customHeight="1" x14ac:dyDescent="0.3">
      <c r="A1007" s="46">
        <v>1003</v>
      </c>
      <c r="B1007" s="47">
        <f t="shared" ca="1" si="15"/>
        <v>0.54007631244169652</v>
      </c>
      <c r="C1007" s="48">
        <f t="array" aca="1" ref="C1007" ca="1">MAX(0,ROUND(Inputs!$B$10*Inputs!$B$11+NORMSINV(B1007)*SQRT(Inputs!$B$10*Inputs!$B$11),0))</f>
        <v>502</v>
      </c>
      <c r="D1007" s="49">
        <f ca="1">C1007*Inputs!$B$12</f>
        <v>60240000</v>
      </c>
    </row>
    <row r="1008" spans="1:4" ht="13.5" customHeight="1" x14ac:dyDescent="0.3">
      <c r="A1008" s="50">
        <v>1004</v>
      </c>
      <c r="B1008" s="51">
        <f t="shared" ca="1" si="15"/>
        <v>0.13972270291281108</v>
      </c>
      <c r="C1008" s="48">
        <f t="array" aca="1" ref="C1008" ca="1">MAX(0,ROUND(Inputs!$B$10*Inputs!$B$11+NORMSINV(B1008)*SQRT(Inputs!$B$10*Inputs!$B$11),0))</f>
        <v>476</v>
      </c>
      <c r="D1008" s="52">
        <f ca="1">C1008*Inputs!$B$12</f>
        <v>57120000</v>
      </c>
    </row>
    <row r="1009" spans="1:4" ht="13.5" customHeight="1" x14ac:dyDescent="0.3">
      <c r="A1009" s="46">
        <v>1005</v>
      </c>
      <c r="B1009" s="47">
        <f t="shared" ca="1" si="15"/>
        <v>0.60461682555225005</v>
      </c>
      <c r="C1009" s="48">
        <f t="array" aca="1" ref="C1009" ca="1">MAX(0,ROUND(Inputs!$B$10*Inputs!$B$11+NORMSINV(B1009)*SQRT(Inputs!$B$10*Inputs!$B$11),0))</f>
        <v>506</v>
      </c>
      <c r="D1009" s="49">
        <f ca="1">C1009*Inputs!$B$12</f>
        <v>60720000</v>
      </c>
    </row>
    <row r="1010" spans="1:4" ht="13.5" customHeight="1" x14ac:dyDescent="0.3">
      <c r="A1010" s="50">
        <v>1006</v>
      </c>
      <c r="B1010" s="51">
        <f t="shared" ca="1" si="15"/>
        <v>0.23609098247152716</v>
      </c>
      <c r="C1010" s="48">
        <f t="array" aca="1" ref="C1010" ca="1">MAX(0,ROUND(Inputs!$B$10*Inputs!$B$11+NORMSINV(B1010)*SQRT(Inputs!$B$10*Inputs!$B$11),0))</f>
        <v>484</v>
      </c>
      <c r="D1010" s="52">
        <f ca="1">C1010*Inputs!$B$12</f>
        <v>58080000</v>
      </c>
    </row>
    <row r="1011" spans="1:4" ht="13.5" customHeight="1" x14ac:dyDescent="0.3">
      <c r="A1011" s="46">
        <v>1007</v>
      </c>
      <c r="B1011" s="47">
        <f t="shared" ca="1" si="15"/>
        <v>0.80873042856331712</v>
      </c>
      <c r="C1011" s="48">
        <f t="array" aca="1" ref="C1011" ca="1">MAX(0,ROUND(Inputs!$B$10*Inputs!$B$11+NORMSINV(B1011)*SQRT(Inputs!$B$10*Inputs!$B$11),0))</f>
        <v>520</v>
      </c>
      <c r="D1011" s="49">
        <f ca="1">C1011*Inputs!$B$12</f>
        <v>62400000</v>
      </c>
    </row>
    <row r="1012" spans="1:4" ht="13.5" customHeight="1" x14ac:dyDescent="0.3">
      <c r="A1012" s="50">
        <v>1008</v>
      </c>
      <c r="B1012" s="51">
        <f t="shared" ca="1" si="15"/>
        <v>0.92820180367308525</v>
      </c>
      <c r="C1012" s="48">
        <f t="array" aca="1" ref="C1012" ca="1">MAX(0,ROUND(Inputs!$B$10*Inputs!$B$11+NORMSINV(B1012)*SQRT(Inputs!$B$10*Inputs!$B$11),0))</f>
        <v>533</v>
      </c>
      <c r="D1012" s="52">
        <f ca="1">C1012*Inputs!$B$12</f>
        <v>63960000</v>
      </c>
    </row>
    <row r="1013" spans="1:4" ht="13.5" customHeight="1" x14ac:dyDescent="0.3">
      <c r="A1013" s="46">
        <v>1009</v>
      </c>
      <c r="B1013" s="47">
        <f t="shared" ca="1" si="15"/>
        <v>0.23318944336175063</v>
      </c>
      <c r="C1013" s="48">
        <f t="array" aca="1" ref="C1013" ca="1">MAX(0,ROUND(Inputs!$B$10*Inputs!$B$11+NORMSINV(B1013)*SQRT(Inputs!$B$10*Inputs!$B$11),0))</f>
        <v>484</v>
      </c>
      <c r="D1013" s="49">
        <f ca="1">C1013*Inputs!$B$12</f>
        <v>58080000</v>
      </c>
    </row>
    <row r="1014" spans="1:4" ht="13.5" customHeight="1" x14ac:dyDescent="0.3">
      <c r="A1014" s="50">
        <v>1010</v>
      </c>
      <c r="B1014" s="51">
        <f t="shared" ca="1" si="15"/>
        <v>9.5557746641044439E-2</v>
      </c>
      <c r="C1014" s="48">
        <f t="array" aca="1" ref="C1014" ca="1">MAX(0,ROUND(Inputs!$B$10*Inputs!$B$11+NORMSINV(B1014)*SQRT(Inputs!$B$10*Inputs!$B$11),0))</f>
        <v>471</v>
      </c>
      <c r="D1014" s="52">
        <f ca="1">C1014*Inputs!$B$12</f>
        <v>56520000</v>
      </c>
    </row>
    <row r="1015" spans="1:4" ht="13.5" customHeight="1" x14ac:dyDescent="0.3">
      <c r="A1015" s="46">
        <v>1011</v>
      </c>
      <c r="B1015" s="47">
        <f t="shared" ca="1" si="15"/>
        <v>0.76318680470471401</v>
      </c>
      <c r="C1015" s="48">
        <f t="array" aca="1" ref="C1015" ca="1">MAX(0,ROUND(Inputs!$B$10*Inputs!$B$11+NORMSINV(B1015)*SQRT(Inputs!$B$10*Inputs!$B$11),0))</f>
        <v>516</v>
      </c>
      <c r="D1015" s="49">
        <f ca="1">C1015*Inputs!$B$12</f>
        <v>61920000</v>
      </c>
    </row>
    <row r="1016" spans="1:4" ht="13.5" customHeight="1" x14ac:dyDescent="0.3">
      <c r="A1016" s="50">
        <v>1012</v>
      </c>
      <c r="B1016" s="51">
        <f t="shared" ca="1" si="15"/>
        <v>0.42758569444408856</v>
      </c>
      <c r="C1016" s="48">
        <f t="array" aca="1" ref="C1016" ca="1">MAX(0,ROUND(Inputs!$B$10*Inputs!$B$11+NORMSINV(B1016)*SQRT(Inputs!$B$10*Inputs!$B$11),0))</f>
        <v>496</v>
      </c>
      <c r="D1016" s="52">
        <f ca="1">C1016*Inputs!$B$12</f>
        <v>59520000</v>
      </c>
    </row>
    <row r="1017" spans="1:4" ht="13.5" customHeight="1" x14ac:dyDescent="0.3">
      <c r="A1017" s="46">
        <v>1013</v>
      </c>
      <c r="B1017" s="47">
        <f t="shared" ca="1" si="15"/>
        <v>0.34350475137844783</v>
      </c>
      <c r="C1017" s="48">
        <f t="array" aca="1" ref="C1017" ca="1">MAX(0,ROUND(Inputs!$B$10*Inputs!$B$11+NORMSINV(B1017)*SQRT(Inputs!$B$10*Inputs!$B$11),0))</f>
        <v>491</v>
      </c>
      <c r="D1017" s="49">
        <f ca="1">C1017*Inputs!$B$12</f>
        <v>58920000</v>
      </c>
    </row>
    <row r="1018" spans="1:4" ht="13.5" customHeight="1" x14ac:dyDescent="0.3">
      <c r="A1018" s="50">
        <v>1014</v>
      </c>
      <c r="B1018" s="51">
        <f t="shared" ca="1" si="15"/>
        <v>0.64058633599533787</v>
      </c>
      <c r="C1018" s="48">
        <f t="array" aca="1" ref="C1018" ca="1">MAX(0,ROUND(Inputs!$B$10*Inputs!$B$11+NORMSINV(B1018)*SQRT(Inputs!$B$10*Inputs!$B$11),0))</f>
        <v>508</v>
      </c>
      <c r="D1018" s="52">
        <f ca="1">C1018*Inputs!$B$12</f>
        <v>60960000</v>
      </c>
    </row>
    <row r="1019" spans="1:4" ht="13.5" customHeight="1" x14ac:dyDescent="0.3">
      <c r="A1019" s="46">
        <v>1015</v>
      </c>
      <c r="B1019" s="47">
        <f t="shared" ca="1" si="15"/>
        <v>0.74349119016490861</v>
      </c>
      <c r="C1019" s="48">
        <f t="array" aca="1" ref="C1019" ca="1">MAX(0,ROUND(Inputs!$B$10*Inputs!$B$11+NORMSINV(B1019)*SQRT(Inputs!$B$10*Inputs!$B$11),0))</f>
        <v>515</v>
      </c>
      <c r="D1019" s="49">
        <f ca="1">C1019*Inputs!$B$12</f>
        <v>61800000</v>
      </c>
    </row>
    <row r="1020" spans="1:4" ht="13.5" customHeight="1" x14ac:dyDescent="0.3">
      <c r="A1020" s="50">
        <v>1016</v>
      </c>
      <c r="B1020" s="51">
        <f t="shared" ca="1" si="15"/>
        <v>0.79283411721026342</v>
      </c>
      <c r="C1020" s="48">
        <f t="array" aca="1" ref="C1020" ca="1">MAX(0,ROUND(Inputs!$B$10*Inputs!$B$11+NORMSINV(B1020)*SQRT(Inputs!$B$10*Inputs!$B$11),0))</f>
        <v>518</v>
      </c>
      <c r="D1020" s="52">
        <f ca="1">C1020*Inputs!$B$12</f>
        <v>62160000</v>
      </c>
    </row>
    <row r="1021" spans="1:4" ht="13.5" customHeight="1" x14ac:dyDescent="0.3">
      <c r="A1021" s="46">
        <v>1017</v>
      </c>
      <c r="B1021" s="47">
        <f t="shared" ca="1" si="15"/>
        <v>0.9372559646641736</v>
      </c>
      <c r="C1021" s="48">
        <f t="array" aca="1" ref="C1021" ca="1">MAX(0,ROUND(Inputs!$B$10*Inputs!$B$11+NORMSINV(B1021)*SQRT(Inputs!$B$10*Inputs!$B$11),0))</f>
        <v>534</v>
      </c>
      <c r="D1021" s="49">
        <f ca="1">C1021*Inputs!$B$12</f>
        <v>64080000</v>
      </c>
    </row>
    <row r="1022" spans="1:4" ht="13.5" customHeight="1" x14ac:dyDescent="0.3">
      <c r="A1022" s="50">
        <v>1018</v>
      </c>
      <c r="B1022" s="51">
        <f t="shared" ca="1" si="15"/>
        <v>0.62555562868960013</v>
      </c>
      <c r="C1022" s="48">
        <f t="array" aca="1" ref="C1022" ca="1">MAX(0,ROUND(Inputs!$B$10*Inputs!$B$11+NORMSINV(B1022)*SQRT(Inputs!$B$10*Inputs!$B$11),0))</f>
        <v>507</v>
      </c>
      <c r="D1022" s="52">
        <f ca="1">C1022*Inputs!$B$12</f>
        <v>60840000</v>
      </c>
    </row>
    <row r="1023" spans="1:4" ht="13.5" customHeight="1" x14ac:dyDescent="0.3">
      <c r="A1023" s="46">
        <v>1019</v>
      </c>
      <c r="B1023" s="47">
        <f t="shared" ca="1" si="15"/>
        <v>0.40093941160771962</v>
      </c>
      <c r="C1023" s="48">
        <f t="array" aca="1" ref="C1023" ca="1">MAX(0,ROUND(Inputs!$B$10*Inputs!$B$11+NORMSINV(B1023)*SQRT(Inputs!$B$10*Inputs!$B$11),0))</f>
        <v>494</v>
      </c>
      <c r="D1023" s="49">
        <f ca="1">C1023*Inputs!$B$12</f>
        <v>59280000</v>
      </c>
    </row>
    <row r="1024" spans="1:4" ht="13.5" customHeight="1" x14ac:dyDescent="0.3">
      <c r="A1024" s="50">
        <v>1020</v>
      </c>
      <c r="B1024" s="51">
        <f t="shared" ca="1" si="15"/>
        <v>0.7050136337913171</v>
      </c>
      <c r="C1024" s="48">
        <f t="array" aca="1" ref="C1024" ca="1">MAX(0,ROUND(Inputs!$B$10*Inputs!$B$11+NORMSINV(B1024)*SQRT(Inputs!$B$10*Inputs!$B$11),0))</f>
        <v>512</v>
      </c>
      <c r="D1024" s="52">
        <f ca="1">C1024*Inputs!$B$12</f>
        <v>61440000</v>
      </c>
    </row>
    <row r="1025" spans="1:4" ht="13.5" customHeight="1" x14ac:dyDescent="0.3">
      <c r="A1025" s="46">
        <v>1021</v>
      </c>
      <c r="B1025" s="47">
        <f t="shared" ca="1" si="15"/>
        <v>4.9456463027058084E-2</v>
      </c>
      <c r="C1025" s="48">
        <f t="array" aca="1" ref="C1025" ca="1">MAX(0,ROUND(Inputs!$B$10*Inputs!$B$11+NORMSINV(B1025)*SQRT(Inputs!$B$10*Inputs!$B$11),0))</f>
        <v>463</v>
      </c>
      <c r="D1025" s="49">
        <f ca="1">C1025*Inputs!$B$12</f>
        <v>55560000</v>
      </c>
    </row>
    <row r="1026" spans="1:4" ht="13.5" customHeight="1" x14ac:dyDescent="0.3">
      <c r="A1026" s="50">
        <v>1022</v>
      </c>
      <c r="B1026" s="51">
        <f t="shared" ca="1" si="15"/>
        <v>0.33705786382474467</v>
      </c>
      <c r="C1026" s="48">
        <f t="array" aca="1" ref="C1026" ca="1">MAX(0,ROUND(Inputs!$B$10*Inputs!$B$11+NORMSINV(B1026)*SQRT(Inputs!$B$10*Inputs!$B$11),0))</f>
        <v>491</v>
      </c>
      <c r="D1026" s="52">
        <f ca="1">C1026*Inputs!$B$12</f>
        <v>58920000</v>
      </c>
    </row>
    <row r="1027" spans="1:4" ht="13.5" customHeight="1" x14ac:dyDescent="0.3">
      <c r="A1027" s="46">
        <v>1023</v>
      </c>
      <c r="B1027" s="47">
        <f t="shared" ca="1" si="15"/>
        <v>0.25409454161411915</v>
      </c>
      <c r="C1027" s="48">
        <f t="array" aca="1" ref="C1027" ca="1">MAX(0,ROUND(Inputs!$B$10*Inputs!$B$11+NORMSINV(B1027)*SQRT(Inputs!$B$10*Inputs!$B$11),0))</f>
        <v>485</v>
      </c>
      <c r="D1027" s="49">
        <f ca="1">C1027*Inputs!$B$12</f>
        <v>58200000</v>
      </c>
    </row>
    <row r="1028" spans="1:4" ht="13.5" customHeight="1" x14ac:dyDescent="0.3">
      <c r="A1028" s="50">
        <v>1024</v>
      </c>
      <c r="B1028" s="51">
        <f t="shared" ca="1" si="15"/>
        <v>0.3738435382137778</v>
      </c>
      <c r="C1028" s="48">
        <f t="array" aca="1" ref="C1028" ca="1">MAX(0,ROUND(Inputs!$B$10*Inputs!$B$11+NORMSINV(B1028)*SQRT(Inputs!$B$10*Inputs!$B$11),0))</f>
        <v>493</v>
      </c>
      <c r="D1028" s="52">
        <f ca="1">C1028*Inputs!$B$12</f>
        <v>59160000</v>
      </c>
    </row>
    <row r="1029" spans="1:4" ht="13.5" customHeight="1" x14ac:dyDescent="0.3">
      <c r="A1029" s="46">
        <v>1025</v>
      </c>
      <c r="B1029" s="47">
        <f t="shared" ref="B1029:B1092" ca="1" si="16">RAND()</f>
        <v>0.27430544079952202</v>
      </c>
      <c r="C1029" s="48">
        <f t="array" aca="1" ref="C1029" ca="1">MAX(0,ROUND(Inputs!$B$10*Inputs!$B$11+NORMSINV(B1029)*SQRT(Inputs!$B$10*Inputs!$B$11),0))</f>
        <v>487</v>
      </c>
      <c r="D1029" s="49">
        <f ca="1">C1029*Inputs!$B$12</f>
        <v>58440000</v>
      </c>
    </row>
    <row r="1030" spans="1:4" ht="13.5" customHeight="1" x14ac:dyDescent="0.3">
      <c r="A1030" s="50">
        <v>1026</v>
      </c>
      <c r="B1030" s="51">
        <f t="shared" ca="1" si="16"/>
        <v>0.74264632449677936</v>
      </c>
      <c r="C1030" s="48">
        <f t="array" aca="1" ref="C1030" ca="1">MAX(0,ROUND(Inputs!$B$10*Inputs!$B$11+NORMSINV(B1030)*SQRT(Inputs!$B$10*Inputs!$B$11),0))</f>
        <v>515</v>
      </c>
      <c r="D1030" s="52">
        <f ca="1">C1030*Inputs!$B$12</f>
        <v>61800000</v>
      </c>
    </row>
    <row r="1031" spans="1:4" ht="13.5" customHeight="1" x14ac:dyDescent="0.3">
      <c r="A1031" s="46">
        <v>1027</v>
      </c>
      <c r="B1031" s="47">
        <f t="shared" ca="1" si="16"/>
        <v>0.4329415460528977</v>
      </c>
      <c r="C1031" s="48">
        <f t="array" aca="1" ref="C1031" ca="1">MAX(0,ROUND(Inputs!$B$10*Inputs!$B$11+NORMSINV(B1031)*SQRT(Inputs!$B$10*Inputs!$B$11),0))</f>
        <v>496</v>
      </c>
      <c r="D1031" s="49">
        <f ca="1">C1031*Inputs!$B$12</f>
        <v>59520000</v>
      </c>
    </row>
    <row r="1032" spans="1:4" ht="13.5" customHeight="1" x14ac:dyDescent="0.3">
      <c r="A1032" s="50">
        <v>1028</v>
      </c>
      <c r="B1032" s="51">
        <f t="shared" ca="1" si="16"/>
        <v>0.92914742289501706</v>
      </c>
      <c r="C1032" s="48">
        <f t="array" aca="1" ref="C1032" ca="1">MAX(0,ROUND(Inputs!$B$10*Inputs!$B$11+NORMSINV(B1032)*SQRT(Inputs!$B$10*Inputs!$B$11),0))</f>
        <v>533</v>
      </c>
      <c r="D1032" s="52">
        <f ca="1">C1032*Inputs!$B$12</f>
        <v>63960000</v>
      </c>
    </row>
    <row r="1033" spans="1:4" ht="13.5" customHeight="1" x14ac:dyDescent="0.3">
      <c r="A1033" s="46">
        <v>1029</v>
      </c>
      <c r="B1033" s="47">
        <f t="shared" ca="1" si="16"/>
        <v>0.9713655194195695</v>
      </c>
      <c r="C1033" s="48">
        <f t="array" aca="1" ref="C1033" ca="1">MAX(0,ROUND(Inputs!$B$10*Inputs!$B$11+NORMSINV(B1033)*SQRT(Inputs!$B$10*Inputs!$B$11),0))</f>
        <v>543</v>
      </c>
      <c r="D1033" s="49">
        <f ca="1">C1033*Inputs!$B$12</f>
        <v>65160000</v>
      </c>
    </row>
    <row r="1034" spans="1:4" ht="13.5" customHeight="1" x14ac:dyDescent="0.3">
      <c r="A1034" s="50">
        <v>1030</v>
      </c>
      <c r="B1034" s="51">
        <f t="shared" ca="1" si="16"/>
        <v>0.23360738210195175</v>
      </c>
      <c r="C1034" s="48">
        <f t="array" aca="1" ref="C1034" ca="1">MAX(0,ROUND(Inputs!$B$10*Inputs!$B$11+NORMSINV(B1034)*SQRT(Inputs!$B$10*Inputs!$B$11),0))</f>
        <v>484</v>
      </c>
      <c r="D1034" s="52">
        <f ca="1">C1034*Inputs!$B$12</f>
        <v>58080000</v>
      </c>
    </row>
    <row r="1035" spans="1:4" ht="13.5" customHeight="1" x14ac:dyDescent="0.3">
      <c r="A1035" s="46">
        <v>1031</v>
      </c>
      <c r="B1035" s="47">
        <f t="shared" ca="1" si="16"/>
        <v>0.23303769684049191</v>
      </c>
      <c r="C1035" s="48">
        <f t="array" aca="1" ref="C1035" ca="1">MAX(0,ROUND(Inputs!$B$10*Inputs!$B$11+NORMSINV(B1035)*SQRT(Inputs!$B$10*Inputs!$B$11),0))</f>
        <v>484</v>
      </c>
      <c r="D1035" s="49">
        <f ca="1">C1035*Inputs!$B$12</f>
        <v>58080000</v>
      </c>
    </row>
    <row r="1036" spans="1:4" ht="13.5" customHeight="1" x14ac:dyDescent="0.3">
      <c r="A1036" s="50">
        <v>1032</v>
      </c>
      <c r="B1036" s="51">
        <f t="shared" ca="1" si="16"/>
        <v>0.62637290023836711</v>
      </c>
      <c r="C1036" s="48">
        <f t="array" aca="1" ref="C1036" ca="1">MAX(0,ROUND(Inputs!$B$10*Inputs!$B$11+NORMSINV(B1036)*SQRT(Inputs!$B$10*Inputs!$B$11),0))</f>
        <v>507</v>
      </c>
      <c r="D1036" s="52">
        <f ca="1">C1036*Inputs!$B$12</f>
        <v>60840000</v>
      </c>
    </row>
    <row r="1037" spans="1:4" ht="13.5" customHeight="1" x14ac:dyDescent="0.3">
      <c r="A1037" s="46">
        <v>1033</v>
      </c>
      <c r="B1037" s="47">
        <f t="shared" ca="1" si="16"/>
        <v>0.42818348200862066</v>
      </c>
      <c r="C1037" s="48">
        <f t="array" aca="1" ref="C1037" ca="1">MAX(0,ROUND(Inputs!$B$10*Inputs!$B$11+NORMSINV(B1037)*SQRT(Inputs!$B$10*Inputs!$B$11),0))</f>
        <v>496</v>
      </c>
      <c r="D1037" s="49">
        <f ca="1">C1037*Inputs!$B$12</f>
        <v>59520000</v>
      </c>
    </row>
    <row r="1038" spans="1:4" ht="13.5" customHeight="1" x14ac:dyDescent="0.3">
      <c r="A1038" s="50">
        <v>1034</v>
      </c>
      <c r="B1038" s="51">
        <f t="shared" ca="1" si="16"/>
        <v>0.20545968379366819</v>
      </c>
      <c r="C1038" s="48">
        <f t="array" aca="1" ref="C1038" ca="1">MAX(0,ROUND(Inputs!$B$10*Inputs!$B$11+NORMSINV(B1038)*SQRT(Inputs!$B$10*Inputs!$B$11),0))</f>
        <v>482</v>
      </c>
      <c r="D1038" s="52">
        <f ca="1">C1038*Inputs!$B$12</f>
        <v>57840000</v>
      </c>
    </row>
    <row r="1039" spans="1:4" ht="13.5" customHeight="1" x14ac:dyDescent="0.3">
      <c r="A1039" s="46">
        <v>1035</v>
      </c>
      <c r="B1039" s="47">
        <f t="shared" ca="1" si="16"/>
        <v>0.68150267946194254</v>
      </c>
      <c r="C1039" s="48">
        <f t="array" aca="1" ref="C1039" ca="1">MAX(0,ROUND(Inputs!$B$10*Inputs!$B$11+NORMSINV(B1039)*SQRT(Inputs!$B$10*Inputs!$B$11),0))</f>
        <v>511</v>
      </c>
      <c r="D1039" s="49">
        <f ca="1">C1039*Inputs!$B$12</f>
        <v>61320000</v>
      </c>
    </row>
    <row r="1040" spans="1:4" ht="13.5" customHeight="1" x14ac:dyDescent="0.3">
      <c r="A1040" s="50">
        <v>1036</v>
      </c>
      <c r="B1040" s="51">
        <f t="shared" ca="1" si="16"/>
        <v>0.74593143639554504</v>
      </c>
      <c r="C1040" s="48">
        <f t="array" aca="1" ref="C1040" ca="1">MAX(0,ROUND(Inputs!$B$10*Inputs!$B$11+NORMSINV(B1040)*SQRT(Inputs!$B$10*Inputs!$B$11),0))</f>
        <v>515</v>
      </c>
      <c r="D1040" s="52">
        <f ca="1">C1040*Inputs!$B$12</f>
        <v>61800000</v>
      </c>
    </row>
    <row r="1041" spans="1:4" ht="13.5" customHeight="1" x14ac:dyDescent="0.3">
      <c r="A1041" s="46">
        <v>1037</v>
      </c>
      <c r="B1041" s="47">
        <f t="shared" ca="1" si="16"/>
        <v>0.8283205983937113</v>
      </c>
      <c r="C1041" s="48">
        <f t="array" aca="1" ref="C1041" ca="1">MAX(0,ROUND(Inputs!$B$10*Inputs!$B$11+NORMSINV(B1041)*SQRT(Inputs!$B$10*Inputs!$B$11),0))</f>
        <v>521</v>
      </c>
      <c r="D1041" s="49">
        <f ca="1">C1041*Inputs!$B$12</f>
        <v>62520000</v>
      </c>
    </row>
    <row r="1042" spans="1:4" ht="13.5" customHeight="1" x14ac:dyDescent="0.3">
      <c r="A1042" s="50">
        <v>1038</v>
      </c>
      <c r="B1042" s="51">
        <f t="shared" ca="1" si="16"/>
        <v>0.23505608732610195</v>
      </c>
      <c r="C1042" s="48">
        <f t="array" aca="1" ref="C1042" ca="1">MAX(0,ROUND(Inputs!$B$10*Inputs!$B$11+NORMSINV(B1042)*SQRT(Inputs!$B$10*Inputs!$B$11),0))</f>
        <v>484</v>
      </c>
      <c r="D1042" s="52">
        <f ca="1">C1042*Inputs!$B$12</f>
        <v>58080000</v>
      </c>
    </row>
    <row r="1043" spans="1:4" ht="13.5" customHeight="1" x14ac:dyDescent="0.3">
      <c r="A1043" s="46">
        <v>1039</v>
      </c>
      <c r="B1043" s="47">
        <f t="shared" ca="1" si="16"/>
        <v>0.83685086443625256</v>
      </c>
      <c r="C1043" s="48">
        <f t="array" aca="1" ref="C1043" ca="1">MAX(0,ROUND(Inputs!$B$10*Inputs!$B$11+NORMSINV(B1043)*SQRT(Inputs!$B$10*Inputs!$B$11),0))</f>
        <v>522</v>
      </c>
      <c r="D1043" s="49">
        <f ca="1">C1043*Inputs!$B$12</f>
        <v>62640000</v>
      </c>
    </row>
    <row r="1044" spans="1:4" ht="13.5" customHeight="1" x14ac:dyDescent="0.3">
      <c r="A1044" s="50">
        <v>1040</v>
      </c>
      <c r="B1044" s="51">
        <f t="shared" ca="1" si="16"/>
        <v>0.9847718335347394</v>
      </c>
      <c r="C1044" s="48">
        <f t="array" aca="1" ref="C1044" ca="1">MAX(0,ROUND(Inputs!$B$10*Inputs!$B$11+NORMSINV(B1044)*SQRT(Inputs!$B$10*Inputs!$B$11),0))</f>
        <v>548</v>
      </c>
      <c r="D1044" s="52">
        <f ca="1">C1044*Inputs!$B$12</f>
        <v>65760000</v>
      </c>
    </row>
    <row r="1045" spans="1:4" ht="13.5" customHeight="1" x14ac:dyDescent="0.3">
      <c r="A1045" s="46">
        <v>1041</v>
      </c>
      <c r="B1045" s="47">
        <f t="shared" ca="1" si="16"/>
        <v>0.52711092141981186</v>
      </c>
      <c r="C1045" s="48">
        <f t="array" aca="1" ref="C1045" ca="1">MAX(0,ROUND(Inputs!$B$10*Inputs!$B$11+NORMSINV(B1045)*SQRT(Inputs!$B$10*Inputs!$B$11),0))</f>
        <v>502</v>
      </c>
      <c r="D1045" s="49">
        <f ca="1">C1045*Inputs!$B$12</f>
        <v>60240000</v>
      </c>
    </row>
    <row r="1046" spans="1:4" ht="13.5" customHeight="1" x14ac:dyDescent="0.3">
      <c r="A1046" s="50">
        <v>1042</v>
      </c>
      <c r="B1046" s="51">
        <f t="shared" ca="1" si="16"/>
        <v>0.44124360895929315</v>
      </c>
      <c r="C1046" s="48">
        <f t="array" aca="1" ref="C1046" ca="1">MAX(0,ROUND(Inputs!$B$10*Inputs!$B$11+NORMSINV(B1046)*SQRT(Inputs!$B$10*Inputs!$B$11),0))</f>
        <v>497</v>
      </c>
      <c r="D1046" s="52">
        <f ca="1">C1046*Inputs!$B$12</f>
        <v>59640000</v>
      </c>
    </row>
    <row r="1047" spans="1:4" ht="13.5" customHeight="1" x14ac:dyDescent="0.3">
      <c r="A1047" s="46">
        <v>1043</v>
      </c>
      <c r="B1047" s="47">
        <f t="shared" ca="1" si="16"/>
        <v>0.1333756247347867</v>
      </c>
      <c r="C1047" s="48">
        <f t="array" aca="1" ref="C1047" ca="1">MAX(0,ROUND(Inputs!$B$10*Inputs!$B$11+NORMSINV(B1047)*SQRT(Inputs!$B$10*Inputs!$B$11),0))</f>
        <v>475</v>
      </c>
      <c r="D1047" s="49">
        <f ca="1">C1047*Inputs!$B$12</f>
        <v>57000000</v>
      </c>
    </row>
    <row r="1048" spans="1:4" ht="13.5" customHeight="1" x14ac:dyDescent="0.3">
      <c r="A1048" s="50">
        <v>1044</v>
      </c>
      <c r="B1048" s="51">
        <f t="shared" ca="1" si="16"/>
        <v>0.7446675155635174</v>
      </c>
      <c r="C1048" s="48">
        <f t="array" aca="1" ref="C1048" ca="1">MAX(0,ROUND(Inputs!$B$10*Inputs!$B$11+NORMSINV(B1048)*SQRT(Inputs!$B$10*Inputs!$B$11),0))</f>
        <v>515</v>
      </c>
      <c r="D1048" s="52">
        <f ca="1">C1048*Inputs!$B$12</f>
        <v>61800000</v>
      </c>
    </row>
    <row r="1049" spans="1:4" ht="13.5" customHeight="1" x14ac:dyDescent="0.3">
      <c r="A1049" s="46">
        <v>1045</v>
      </c>
      <c r="B1049" s="47">
        <f t="shared" ca="1" si="16"/>
        <v>0.85736764438610735</v>
      </c>
      <c r="C1049" s="48">
        <f t="array" aca="1" ref="C1049" ca="1">MAX(0,ROUND(Inputs!$B$10*Inputs!$B$11+NORMSINV(B1049)*SQRT(Inputs!$B$10*Inputs!$B$11),0))</f>
        <v>524</v>
      </c>
      <c r="D1049" s="49">
        <f ca="1">C1049*Inputs!$B$12</f>
        <v>62880000</v>
      </c>
    </row>
    <row r="1050" spans="1:4" ht="13.5" customHeight="1" x14ac:dyDescent="0.3">
      <c r="A1050" s="50">
        <v>1046</v>
      </c>
      <c r="B1050" s="51">
        <f t="shared" ca="1" si="16"/>
        <v>0.83412686912558764</v>
      </c>
      <c r="C1050" s="48">
        <f t="array" aca="1" ref="C1050" ca="1">MAX(0,ROUND(Inputs!$B$10*Inputs!$B$11+NORMSINV(B1050)*SQRT(Inputs!$B$10*Inputs!$B$11),0))</f>
        <v>522</v>
      </c>
      <c r="D1050" s="52">
        <f ca="1">C1050*Inputs!$B$12</f>
        <v>62640000</v>
      </c>
    </row>
    <row r="1051" spans="1:4" ht="13.5" customHeight="1" x14ac:dyDescent="0.3">
      <c r="A1051" s="46">
        <v>1047</v>
      </c>
      <c r="B1051" s="47">
        <f t="shared" ca="1" si="16"/>
        <v>0.77337113018817238</v>
      </c>
      <c r="C1051" s="48">
        <f t="array" aca="1" ref="C1051" ca="1">MAX(0,ROUND(Inputs!$B$10*Inputs!$B$11+NORMSINV(B1051)*SQRT(Inputs!$B$10*Inputs!$B$11),0))</f>
        <v>517</v>
      </c>
      <c r="D1051" s="49">
        <f ca="1">C1051*Inputs!$B$12</f>
        <v>62040000</v>
      </c>
    </row>
    <row r="1052" spans="1:4" ht="13.5" customHeight="1" x14ac:dyDescent="0.3">
      <c r="A1052" s="50">
        <v>1048</v>
      </c>
      <c r="B1052" s="51">
        <f t="shared" ca="1" si="16"/>
        <v>0.64447154637369775</v>
      </c>
      <c r="C1052" s="48">
        <f t="array" aca="1" ref="C1052" ca="1">MAX(0,ROUND(Inputs!$B$10*Inputs!$B$11+NORMSINV(B1052)*SQRT(Inputs!$B$10*Inputs!$B$11),0))</f>
        <v>508</v>
      </c>
      <c r="D1052" s="52">
        <f ca="1">C1052*Inputs!$B$12</f>
        <v>60960000</v>
      </c>
    </row>
    <row r="1053" spans="1:4" ht="13.5" customHeight="1" x14ac:dyDescent="0.3">
      <c r="A1053" s="46">
        <v>1049</v>
      </c>
      <c r="B1053" s="47">
        <f t="shared" ca="1" si="16"/>
        <v>0.66319687177725939</v>
      </c>
      <c r="C1053" s="48">
        <f t="array" aca="1" ref="C1053" ca="1">MAX(0,ROUND(Inputs!$B$10*Inputs!$B$11+NORMSINV(B1053)*SQRT(Inputs!$B$10*Inputs!$B$11),0))</f>
        <v>509</v>
      </c>
      <c r="D1053" s="49">
        <f ca="1">C1053*Inputs!$B$12</f>
        <v>61080000</v>
      </c>
    </row>
    <row r="1054" spans="1:4" ht="13.5" customHeight="1" x14ac:dyDescent="0.3">
      <c r="A1054" s="50">
        <v>1050</v>
      </c>
      <c r="B1054" s="51">
        <f t="shared" ca="1" si="16"/>
        <v>0.42101262223662861</v>
      </c>
      <c r="C1054" s="48">
        <f t="array" aca="1" ref="C1054" ca="1">MAX(0,ROUND(Inputs!$B$10*Inputs!$B$11+NORMSINV(B1054)*SQRT(Inputs!$B$10*Inputs!$B$11),0))</f>
        <v>496</v>
      </c>
      <c r="D1054" s="52">
        <f ca="1">C1054*Inputs!$B$12</f>
        <v>59520000</v>
      </c>
    </row>
    <row r="1055" spans="1:4" ht="13.5" customHeight="1" x14ac:dyDescent="0.3">
      <c r="A1055" s="46">
        <v>1051</v>
      </c>
      <c r="B1055" s="47">
        <f t="shared" ca="1" si="16"/>
        <v>0.62997938445260915</v>
      </c>
      <c r="C1055" s="48">
        <f t="array" aca="1" ref="C1055" ca="1">MAX(0,ROUND(Inputs!$B$10*Inputs!$B$11+NORMSINV(B1055)*SQRT(Inputs!$B$10*Inputs!$B$11),0))</f>
        <v>507</v>
      </c>
      <c r="D1055" s="49">
        <f ca="1">C1055*Inputs!$B$12</f>
        <v>60840000</v>
      </c>
    </row>
    <row r="1056" spans="1:4" ht="13.5" customHeight="1" x14ac:dyDescent="0.3">
      <c r="A1056" s="50">
        <v>1052</v>
      </c>
      <c r="B1056" s="51">
        <f t="shared" ca="1" si="16"/>
        <v>0.50077538047686865</v>
      </c>
      <c r="C1056" s="48">
        <f t="array" aca="1" ref="C1056" ca="1">MAX(0,ROUND(Inputs!$B$10*Inputs!$B$11+NORMSINV(B1056)*SQRT(Inputs!$B$10*Inputs!$B$11),0))</f>
        <v>500</v>
      </c>
      <c r="D1056" s="52">
        <f ca="1">C1056*Inputs!$B$12</f>
        <v>60000000</v>
      </c>
    </row>
    <row r="1057" spans="1:4" ht="13.5" customHeight="1" x14ac:dyDescent="0.3">
      <c r="A1057" s="46">
        <v>1053</v>
      </c>
      <c r="B1057" s="47">
        <f t="shared" ca="1" si="16"/>
        <v>0.56361804668104598</v>
      </c>
      <c r="C1057" s="48">
        <f t="array" aca="1" ref="C1057" ca="1">MAX(0,ROUND(Inputs!$B$10*Inputs!$B$11+NORMSINV(B1057)*SQRT(Inputs!$B$10*Inputs!$B$11),0))</f>
        <v>504</v>
      </c>
      <c r="D1057" s="49">
        <f ca="1">C1057*Inputs!$B$12</f>
        <v>60480000</v>
      </c>
    </row>
    <row r="1058" spans="1:4" ht="13.5" customHeight="1" x14ac:dyDescent="0.3">
      <c r="A1058" s="50">
        <v>1054</v>
      </c>
      <c r="B1058" s="51">
        <f t="shared" ca="1" si="16"/>
        <v>0.4233918445879018</v>
      </c>
      <c r="C1058" s="48">
        <f t="array" aca="1" ref="C1058" ca="1">MAX(0,ROUND(Inputs!$B$10*Inputs!$B$11+NORMSINV(B1058)*SQRT(Inputs!$B$10*Inputs!$B$11),0))</f>
        <v>496</v>
      </c>
      <c r="D1058" s="52">
        <f ca="1">C1058*Inputs!$B$12</f>
        <v>59520000</v>
      </c>
    </row>
    <row r="1059" spans="1:4" ht="13.5" customHeight="1" x14ac:dyDescent="0.3">
      <c r="A1059" s="46">
        <v>1055</v>
      </c>
      <c r="B1059" s="47">
        <f t="shared" ca="1" si="16"/>
        <v>0.86836773719818072</v>
      </c>
      <c r="C1059" s="48">
        <f t="array" aca="1" ref="C1059" ca="1">MAX(0,ROUND(Inputs!$B$10*Inputs!$B$11+NORMSINV(B1059)*SQRT(Inputs!$B$10*Inputs!$B$11),0))</f>
        <v>525</v>
      </c>
      <c r="D1059" s="49">
        <f ca="1">C1059*Inputs!$B$12</f>
        <v>63000000</v>
      </c>
    </row>
    <row r="1060" spans="1:4" ht="13.5" customHeight="1" x14ac:dyDescent="0.3">
      <c r="A1060" s="50">
        <v>1056</v>
      </c>
      <c r="B1060" s="51">
        <f t="shared" ca="1" si="16"/>
        <v>6.0281431430144305E-2</v>
      </c>
      <c r="C1060" s="48">
        <f t="array" aca="1" ref="C1060" ca="1">MAX(0,ROUND(Inputs!$B$10*Inputs!$B$11+NORMSINV(B1060)*SQRT(Inputs!$B$10*Inputs!$B$11),0))</f>
        <v>465</v>
      </c>
      <c r="D1060" s="52">
        <f ca="1">C1060*Inputs!$B$12</f>
        <v>55800000</v>
      </c>
    </row>
    <row r="1061" spans="1:4" ht="13.5" customHeight="1" x14ac:dyDescent="0.3">
      <c r="A1061" s="46">
        <v>1057</v>
      </c>
      <c r="B1061" s="47">
        <f t="shared" ca="1" si="16"/>
        <v>0.61580625465919747</v>
      </c>
      <c r="C1061" s="48">
        <f t="array" aca="1" ref="C1061" ca="1">MAX(0,ROUND(Inputs!$B$10*Inputs!$B$11+NORMSINV(B1061)*SQRT(Inputs!$B$10*Inputs!$B$11),0))</f>
        <v>507</v>
      </c>
      <c r="D1061" s="49">
        <f ca="1">C1061*Inputs!$B$12</f>
        <v>60840000</v>
      </c>
    </row>
    <row r="1062" spans="1:4" ht="13.5" customHeight="1" x14ac:dyDescent="0.3">
      <c r="A1062" s="50">
        <v>1058</v>
      </c>
      <c r="B1062" s="51">
        <f t="shared" ca="1" si="16"/>
        <v>5.0209964168788535E-2</v>
      </c>
      <c r="C1062" s="48">
        <f t="array" aca="1" ref="C1062" ca="1">MAX(0,ROUND(Inputs!$B$10*Inputs!$B$11+NORMSINV(B1062)*SQRT(Inputs!$B$10*Inputs!$B$11),0))</f>
        <v>463</v>
      </c>
      <c r="D1062" s="52">
        <f ca="1">C1062*Inputs!$B$12</f>
        <v>55560000</v>
      </c>
    </row>
    <row r="1063" spans="1:4" ht="13.5" customHeight="1" x14ac:dyDescent="0.3">
      <c r="A1063" s="46">
        <v>1059</v>
      </c>
      <c r="B1063" s="47">
        <f t="shared" ca="1" si="16"/>
        <v>6.7301433996904692E-2</v>
      </c>
      <c r="C1063" s="48">
        <f t="array" aca="1" ref="C1063" ca="1">MAX(0,ROUND(Inputs!$B$10*Inputs!$B$11+NORMSINV(B1063)*SQRT(Inputs!$B$10*Inputs!$B$11),0))</f>
        <v>467</v>
      </c>
      <c r="D1063" s="49">
        <f ca="1">C1063*Inputs!$B$12</f>
        <v>56040000</v>
      </c>
    </row>
    <row r="1064" spans="1:4" ht="13.5" customHeight="1" x14ac:dyDescent="0.3">
      <c r="A1064" s="50">
        <v>1060</v>
      </c>
      <c r="B1064" s="51">
        <f t="shared" ca="1" si="16"/>
        <v>0.30822979830813402</v>
      </c>
      <c r="C1064" s="48">
        <f t="array" aca="1" ref="C1064" ca="1">MAX(0,ROUND(Inputs!$B$10*Inputs!$B$11+NORMSINV(B1064)*SQRT(Inputs!$B$10*Inputs!$B$11),0))</f>
        <v>489</v>
      </c>
      <c r="D1064" s="52">
        <f ca="1">C1064*Inputs!$B$12</f>
        <v>58680000</v>
      </c>
    </row>
    <row r="1065" spans="1:4" ht="13.5" customHeight="1" x14ac:dyDescent="0.3">
      <c r="A1065" s="46">
        <v>1061</v>
      </c>
      <c r="B1065" s="47">
        <f t="shared" ca="1" si="16"/>
        <v>0.10219412477754608</v>
      </c>
      <c r="C1065" s="48">
        <f t="array" aca="1" ref="C1065" ca="1">MAX(0,ROUND(Inputs!$B$10*Inputs!$B$11+NORMSINV(B1065)*SQRT(Inputs!$B$10*Inputs!$B$11),0))</f>
        <v>472</v>
      </c>
      <c r="D1065" s="49">
        <f ca="1">C1065*Inputs!$B$12</f>
        <v>56640000</v>
      </c>
    </row>
    <row r="1066" spans="1:4" ht="13.5" customHeight="1" x14ac:dyDescent="0.3">
      <c r="A1066" s="50">
        <v>1062</v>
      </c>
      <c r="B1066" s="51">
        <f t="shared" ca="1" si="16"/>
        <v>0.12691903956790052</v>
      </c>
      <c r="C1066" s="48">
        <f t="array" aca="1" ref="C1066" ca="1">MAX(0,ROUND(Inputs!$B$10*Inputs!$B$11+NORMSINV(B1066)*SQRT(Inputs!$B$10*Inputs!$B$11),0))</f>
        <v>474</v>
      </c>
      <c r="D1066" s="52">
        <f ca="1">C1066*Inputs!$B$12</f>
        <v>56880000</v>
      </c>
    </row>
    <row r="1067" spans="1:4" ht="13.5" customHeight="1" x14ac:dyDescent="0.3">
      <c r="A1067" s="46">
        <v>1063</v>
      </c>
      <c r="B1067" s="47">
        <f t="shared" ca="1" si="16"/>
        <v>0.61778311345921455</v>
      </c>
      <c r="C1067" s="48">
        <f t="array" aca="1" ref="C1067" ca="1">MAX(0,ROUND(Inputs!$B$10*Inputs!$B$11+NORMSINV(B1067)*SQRT(Inputs!$B$10*Inputs!$B$11),0))</f>
        <v>507</v>
      </c>
      <c r="D1067" s="49">
        <f ca="1">C1067*Inputs!$B$12</f>
        <v>60840000</v>
      </c>
    </row>
    <row r="1068" spans="1:4" ht="13.5" customHeight="1" x14ac:dyDescent="0.3">
      <c r="A1068" s="50">
        <v>1064</v>
      </c>
      <c r="B1068" s="51">
        <f t="shared" ca="1" si="16"/>
        <v>0.6006284217241038</v>
      </c>
      <c r="C1068" s="48">
        <f t="array" aca="1" ref="C1068" ca="1">MAX(0,ROUND(Inputs!$B$10*Inputs!$B$11+NORMSINV(B1068)*SQRT(Inputs!$B$10*Inputs!$B$11),0))</f>
        <v>506</v>
      </c>
      <c r="D1068" s="52">
        <f ca="1">C1068*Inputs!$B$12</f>
        <v>60720000</v>
      </c>
    </row>
    <row r="1069" spans="1:4" ht="13.5" customHeight="1" x14ac:dyDescent="0.3">
      <c r="A1069" s="46">
        <v>1065</v>
      </c>
      <c r="B1069" s="47">
        <f t="shared" ca="1" si="16"/>
        <v>0.7176015659136612</v>
      </c>
      <c r="C1069" s="48">
        <f t="array" aca="1" ref="C1069" ca="1">MAX(0,ROUND(Inputs!$B$10*Inputs!$B$11+NORMSINV(B1069)*SQRT(Inputs!$B$10*Inputs!$B$11),0))</f>
        <v>513</v>
      </c>
      <c r="D1069" s="49">
        <f ca="1">C1069*Inputs!$B$12</f>
        <v>61560000</v>
      </c>
    </row>
    <row r="1070" spans="1:4" ht="13.5" customHeight="1" x14ac:dyDescent="0.3">
      <c r="A1070" s="50">
        <v>1066</v>
      </c>
      <c r="B1070" s="51">
        <f t="shared" ca="1" si="16"/>
        <v>0.33566366396084613</v>
      </c>
      <c r="C1070" s="48">
        <f t="array" aca="1" ref="C1070" ca="1">MAX(0,ROUND(Inputs!$B$10*Inputs!$B$11+NORMSINV(B1070)*SQRT(Inputs!$B$10*Inputs!$B$11),0))</f>
        <v>491</v>
      </c>
      <c r="D1070" s="52">
        <f ca="1">C1070*Inputs!$B$12</f>
        <v>58920000</v>
      </c>
    </row>
    <row r="1071" spans="1:4" ht="13.5" customHeight="1" x14ac:dyDescent="0.3">
      <c r="A1071" s="46">
        <v>1067</v>
      </c>
      <c r="B1071" s="47">
        <f t="shared" ca="1" si="16"/>
        <v>0.11198284302238759</v>
      </c>
      <c r="C1071" s="48">
        <f t="array" aca="1" ref="C1071" ca="1">MAX(0,ROUND(Inputs!$B$10*Inputs!$B$11+NORMSINV(B1071)*SQRT(Inputs!$B$10*Inputs!$B$11),0))</f>
        <v>473</v>
      </c>
      <c r="D1071" s="49">
        <f ca="1">C1071*Inputs!$B$12</f>
        <v>56760000</v>
      </c>
    </row>
    <row r="1072" spans="1:4" ht="13.5" customHeight="1" x14ac:dyDescent="0.3">
      <c r="A1072" s="50">
        <v>1068</v>
      </c>
      <c r="B1072" s="51">
        <f t="shared" ca="1" si="16"/>
        <v>0.85578861807993889</v>
      </c>
      <c r="C1072" s="48">
        <f t="array" aca="1" ref="C1072" ca="1">MAX(0,ROUND(Inputs!$B$10*Inputs!$B$11+NORMSINV(B1072)*SQRT(Inputs!$B$10*Inputs!$B$11),0))</f>
        <v>524</v>
      </c>
      <c r="D1072" s="52">
        <f ca="1">C1072*Inputs!$B$12</f>
        <v>62880000</v>
      </c>
    </row>
    <row r="1073" spans="1:4" ht="13.5" customHeight="1" x14ac:dyDescent="0.3">
      <c r="A1073" s="46">
        <v>1069</v>
      </c>
      <c r="B1073" s="47">
        <f t="shared" ca="1" si="16"/>
        <v>0.24890472532798791</v>
      </c>
      <c r="C1073" s="48">
        <f t="array" aca="1" ref="C1073" ca="1">MAX(0,ROUND(Inputs!$B$10*Inputs!$B$11+NORMSINV(B1073)*SQRT(Inputs!$B$10*Inputs!$B$11),0))</f>
        <v>485</v>
      </c>
      <c r="D1073" s="49">
        <f ca="1">C1073*Inputs!$B$12</f>
        <v>58200000</v>
      </c>
    </row>
    <row r="1074" spans="1:4" ht="13.5" customHeight="1" x14ac:dyDescent="0.3">
      <c r="A1074" s="50">
        <v>1070</v>
      </c>
      <c r="B1074" s="51">
        <f t="shared" ca="1" si="16"/>
        <v>0.27331166240856763</v>
      </c>
      <c r="C1074" s="48">
        <f t="array" aca="1" ref="C1074" ca="1">MAX(0,ROUND(Inputs!$B$10*Inputs!$B$11+NORMSINV(B1074)*SQRT(Inputs!$B$10*Inputs!$B$11),0))</f>
        <v>487</v>
      </c>
      <c r="D1074" s="52">
        <f ca="1">C1074*Inputs!$B$12</f>
        <v>58440000</v>
      </c>
    </row>
    <row r="1075" spans="1:4" ht="13.5" customHeight="1" x14ac:dyDescent="0.3">
      <c r="A1075" s="46">
        <v>1071</v>
      </c>
      <c r="B1075" s="47">
        <f t="shared" ca="1" si="16"/>
        <v>0.77634102524883219</v>
      </c>
      <c r="C1075" s="48">
        <f t="array" aca="1" ref="C1075" ca="1">MAX(0,ROUND(Inputs!$B$10*Inputs!$B$11+NORMSINV(B1075)*SQRT(Inputs!$B$10*Inputs!$B$11),0))</f>
        <v>517</v>
      </c>
      <c r="D1075" s="49">
        <f ca="1">C1075*Inputs!$B$12</f>
        <v>62040000</v>
      </c>
    </row>
    <row r="1076" spans="1:4" ht="13.5" customHeight="1" x14ac:dyDescent="0.3">
      <c r="A1076" s="50">
        <v>1072</v>
      </c>
      <c r="B1076" s="51">
        <f t="shared" ca="1" si="16"/>
        <v>0.29768166761366033</v>
      </c>
      <c r="C1076" s="48">
        <f t="array" aca="1" ref="C1076" ca="1">MAX(0,ROUND(Inputs!$B$10*Inputs!$B$11+NORMSINV(B1076)*SQRT(Inputs!$B$10*Inputs!$B$11),0))</f>
        <v>488</v>
      </c>
      <c r="D1076" s="52">
        <f ca="1">C1076*Inputs!$B$12</f>
        <v>58560000</v>
      </c>
    </row>
    <row r="1077" spans="1:4" ht="13.5" customHeight="1" x14ac:dyDescent="0.3">
      <c r="A1077" s="46">
        <v>1073</v>
      </c>
      <c r="B1077" s="47">
        <f t="shared" ca="1" si="16"/>
        <v>0.20261301908596185</v>
      </c>
      <c r="C1077" s="48">
        <f t="array" aca="1" ref="C1077" ca="1">MAX(0,ROUND(Inputs!$B$10*Inputs!$B$11+NORMSINV(B1077)*SQRT(Inputs!$B$10*Inputs!$B$11),0))</f>
        <v>481</v>
      </c>
      <c r="D1077" s="49">
        <f ca="1">C1077*Inputs!$B$12</f>
        <v>57720000</v>
      </c>
    </row>
    <row r="1078" spans="1:4" ht="13.5" customHeight="1" x14ac:dyDescent="0.3">
      <c r="A1078" s="50">
        <v>1074</v>
      </c>
      <c r="B1078" s="51">
        <f t="shared" ca="1" si="16"/>
        <v>0.59373485302455908</v>
      </c>
      <c r="C1078" s="48">
        <f t="array" aca="1" ref="C1078" ca="1">MAX(0,ROUND(Inputs!$B$10*Inputs!$B$11+NORMSINV(B1078)*SQRT(Inputs!$B$10*Inputs!$B$11),0))</f>
        <v>505</v>
      </c>
      <c r="D1078" s="52">
        <f ca="1">C1078*Inputs!$B$12</f>
        <v>60600000</v>
      </c>
    </row>
    <row r="1079" spans="1:4" ht="13.5" customHeight="1" x14ac:dyDescent="0.3">
      <c r="A1079" s="46">
        <v>1075</v>
      </c>
      <c r="B1079" s="47">
        <f t="shared" ca="1" si="16"/>
        <v>0.16483365984836351</v>
      </c>
      <c r="C1079" s="48">
        <f t="array" aca="1" ref="C1079" ca="1">MAX(0,ROUND(Inputs!$B$10*Inputs!$B$11+NORMSINV(B1079)*SQRT(Inputs!$B$10*Inputs!$B$11),0))</f>
        <v>478</v>
      </c>
      <c r="D1079" s="49">
        <f ca="1">C1079*Inputs!$B$12</f>
        <v>57360000</v>
      </c>
    </row>
    <row r="1080" spans="1:4" ht="13.5" customHeight="1" x14ac:dyDescent="0.3">
      <c r="A1080" s="50">
        <v>1076</v>
      </c>
      <c r="B1080" s="51">
        <f t="shared" ca="1" si="16"/>
        <v>0.67962835621568807</v>
      </c>
      <c r="C1080" s="48">
        <f t="array" aca="1" ref="C1080" ca="1">MAX(0,ROUND(Inputs!$B$10*Inputs!$B$11+NORMSINV(B1080)*SQRT(Inputs!$B$10*Inputs!$B$11),0))</f>
        <v>510</v>
      </c>
      <c r="D1080" s="52">
        <f ca="1">C1080*Inputs!$B$12</f>
        <v>61200000</v>
      </c>
    </row>
    <row r="1081" spans="1:4" ht="13.5" customHeight="1" x14ac:dyDescent="0.3">
      <c r="A1081" s="46">
        <v>1077</v>
      </c>
      <c r="B1081" s="47">
        <f t="shared" ca="1" si="16"/>
        <v>0.18575111593595095</v>
      </c>
      <c r="C1081" s="48">
        <f t="array" aca="1" ref="C1081" ca="1">MAX(0,ROUND(Inputs!$B$10*Inputs!$B$11+NORMSINV(B1081)*SQRT(Inputs!$B$10*Inputs!$B$11),0))</f>
        <v>480</v>
      </c>
      <c r="D1081" s="49">
        <f ca="1">C1081*Inputs!$B$12</f>
        <v>57600000</v>
      </c>
    </row>
    <row r="1082" spans="1:4" ht="13.5" customHeight="1" x14ac:dyDescent="0.3">
      <c r="A1082" s="50">
        <v>1078</v>
      </c>
      <c r="B1082" s="51">
        <f t="shared" ca="1" si="16"/>
        <v>0.27698895317197714</v>
      </c>
      <c r="C1082" s="48">
        <f t="array" aca="1" ref="C1082" ca="1">MAX(0,ROUND(Inputs!$B$10*Inputs!$B$11+NORMSINV(B1082)*SQRT(Inputs!$B$10*Inputs!$B$11),0))</f>
        <v>487</v>
      </c>
      <c r="D1082" s="52">
        <f ca="1">C1082*Inputs!$B$12</f>
        <v>58440000</v>
      </c>
    </row>
    <row r="1083" spans="1:4" ht="13.5" customHeight="1" x14ac:dyDescent="0.3">
      <c r="A1083" s="46">
        <v>1079</v>
      </c>
      <c r="B1083" s="47">
        <f t="shared" ca="1" si="16"/>
        <v>0.26143069248673123</v>
      </c>
      <c r="C1083" s="48">
        <f t="array" aca="1" ref="C1083" ca="1">MAX(0,ROUND(Inputs!$B$10*Inputs!$B$11+NORMSINV(B1083)*SQRT(Inputs!$B$10*Inputs!$B$11),0))</f>
        <v>486</v>
      </c>
      <c r="D1083" s="49">
        <f ca="1">C1083*Inputs!$B$12</f>
        <v>58320000</v>
      </c>
    </row>
    <row r="1084" spans="1:4" ht="13.5" customHeight="1" x14ac:dyDescent="0.3">
      <c r="A1084" s="50">
        <v>1080</v>
      </c>
      <c r="B1084" s="51">
        <f t="shared" ca="1" si="16"/>
        <v>0.22932500019314561</v>
      </c>
      <c r="C1084" s="48">
        <f t="array" aca="1" ref="C1084" ca="1">MAX(0,ROUND(Inputs!$B$10*Inputs!$B$11+NORMSINV(B1084)*SQRT(Inputs!$B$10*Inputs!$B$11),0))</f>
        <v>483</v>
      </c>
      <c r="D1084" s="52">
        <f ca="1">C1084*Inputs!$B$12</f>
        <v>57960000</v>
      </c>
    </row>
    <row r="1085" spans="1:4" ht="13.5" customHeight="1" x14ac:dyDescent="0.3">
      <c r="A1085" s="46">
        <v>1081</v>
      </c>
      <c r="B1085" s="47">
        <f t="shared" ca="1" si="16"/>
        <v>2.7812893199013922E-2</v>
      </c>
      <c r="C1085" s="48">
        <f t="array" aca="1" ref="C1085" ca="1">MAX(0,ROUND(Inputs!$B$10*Inputs!$B$11+NORMSINV(B1085)*SQRT(Inputs!$B$10*Inputs!$B$11),0))</f>
        <v>457</v>
      </c>
      <c r="D1085" s="49">
        <f ca="1">C1085*Inputs!$B$12</f>
        <v>54840000</v>
      </c>
    </row>
    <row r="1086" spans="1:4" ht="13.5" customHeight="1" x14ac:dyDescent="0.3">
      <c r="A1086" s="50">
        <v>1082</v>
      </c>
      <c r="B1086" s="51">
        <f t="shared" ca="1" si="16"/>
        <v>0.1029861769770033</v>
      </c>
      <c r="C1086" s="48">
        <f t="array" aca="1" ref="C1086" ca="1">MAX(0,ROUND(Inputs!$B$10*Inputs!$B$11+NORMSINV(B1086)*SQRT(Inputs!$B$10*Inputs!$B$11),0))</f>
        <v>472</v>
      </c>
      <c r="D1086" s="52">
        <f ca="1">C1086*Inputs!$B$12</f>
        <v>56640000</v>
      </c>
    </row>
    <row r="1087" spans="1:4" ht="13.5" customHeight="1" x14ac:dyDescent="0.3">
      <c r="A1087" s="46">
        <v>1083</v>
      </c>
      <c r="B1087" s="47">
        <f t="shared" ca="1" si="16"/>
        <v>0.61943250759310919</v>
      </c>
      <c r="C1087" s="48">
        <f t="array" aca="1" ref="C1087" ca="1">MAX(0,ROUND(Inputs!$B$10*Inputs!$B$11+NORMSINV(B1087)*SQRT(Inputs!$B$10*Inputs!$B$11),0))</f>
        <v>507</v>
      </c>
      <c r="D1087" s="49">
        <f ca="1">C1087*Inputs!$B$12</f>
        <v>60840000</v>
      </c>
    </row>
    <row r="1088" spans="1:4" ht="13.5" customHeight="1" x14ac:dyDescent="0.3">
      <c r="A1088" s="50">
        <v>1084</v>
      </c>
      <c r="B1088" s="51">
        <f t="shared" ca="1" si="16"/>
        <v>0.47563094508133119</v>
      </c>
      <c r="C1088" s="48">
        <f t="array" aca="1" ref="C1088" ca="1">MAX(0,ROUND(Inputs!$B$10*Inputs!$B$11+NORMSINV(B1088)*SQRT(Inputs!$B$10*Inputs!$B$11),0))</f>
        <v>499</v>
      </c>
      <c r="D1088" s="52">
        <f ca="1">C1088*Inputs!$B$12</f>
        <v>59880000</v>
      </c>
    </row>
    <row r="1089" spans="1:4" ht="13.5" customHeight="1" x14ac:dyDescent="0.3">
      <c r="A1089" s="46">
        <v>1085</v>
      </c>
      <c r="B1089" s="47">
        <f t="shared" ca="1" si="16"/>
        <v>0.88750122932805986</v>
      </c>
      <c r="C1089" s="48">
        <f t="array" aca="1" ref="C1089" ca="1">MAX(0,ROUND(Inputs!$B$10*Inputs!$B$11+NORMSINV(B1089)*SQRT(Inputs!$B$10*Inputs!$B$11),0))</f>
        <v>527</v>
      </c>
      <c r="D1089" s="49">
        <f ca="1">C1089*Inputs!$B$12</f>
        <v>63240000</v>
      </c>
    </row>
    <row r="1090" spans="1:4" ht="13.5" customHeight="1" x14ac:dyDescent="0.3">
      <c r="A1090" s="50">
        <v>1086</v>
      </c>
      <c r="B1090" s="51">
        <f t="shared" ca="1" si="16"/>
        <v>0.21867638050600546</v>
      </c>
      <c r="C1090" s="48">
        <f t="array" aca="1" ref="C1090" ca="1">MAX(0,ROUND(Inputs!$B$10*Inputs!$B$11+NORMSINV(B1090)*SQRT(Inputs!$B$10*Inputs!$B$11),0))</f>
        <v>483</v>
      </c>
      <c r="D1090" s="52">
        <f ca="1">C1090*Inputs!$B$12</f>
        <v>57960000</v>
      </c>
    </row>
    <row r="1091" spans="1:4" ht="13.5" customHeight="1" x14ac:dyDescent="0.3">
      <c r="A1091" s="46">
        <v>1087</v>
      </c>
      <c r="B1091" s="47">
        <f t="shared" ca="1" si="16"/>
        <v>0.92708799615350757</v>
      </c>
      <c r="C1091" s="48">
        <f t="array" aca="1" ref="C1091" ca="1">MAX(0,ROUND(Inputs!$B$10*Inputs!$B$11+NORMSINV(B1091)*SQRT(Inputs!$B$10*Inputs!$B$11),0))</f>
        <v>533</v>
      </c>
      <c r="D1091" s="49">
        <f ca="1">C1091*Inputs!$B$12</f>
        <v>63960000</v>
      </c>
    </row>
    <row r="1092" spans="1:4" ht="13.5" customHeight="1" x14ac:dyDescent="0.3">
      <c r="A1092" s="50">
        <v>1088</v>
      </c>
      <c r="B1092" s="51">
        <f t="shared" ca="1" si="16"/>
        <v>0.78703523400673836</v>
      </c>
      <c r="C1092" s="48">
        <f t="array" aca="1" ref="C1092" ca="1">MAX(0,ROUND(Inputs!$B$10*Inputs!$B$11+NORMSINV(B1092)*SQRT(Inputs!$B$10*Inputs!$B$11),0))</f>
        <v>518</v>
      </c>
      <c r="D1092" s="52">
        <f ca="1">C1092*Inputs!$B$12</f>
        <v>62160000</v>
      </c>
    </row>
    <row r="1093" spans="1:4" ht="13.5" customHeight="1" x14ac:dyDescent="0.3">
      <c r="A1093" s="46">
        <v>1089</v>
      </c>
      <c r="B1093" s="47">
        <f t="shared" ref="B1093:B1156" ca="1" si="17">RAND()</f>
        <v>0.70060852458980516</v>
      </c>
      <c r="C1093" s="48">
        <f t="array" aca="1" ref="C1093" ca="1">MAX(0,ROUND(Inputs!$B$10*Inputs!$B$11+NORMSINV(B1093)*SQRT(Inputs!$B$10*Inputs!$B$11),0))</f>
        <v>512</v>
      </c>
      <c r="D1093" s="49">
        <f ca="1">C1093*Inputs!$B$12</f>
        <v>61440000</v>
      </c>
    </row>
    <row r="1094" spans="1:4" ht="13.5" customHeight="1" x14ac:dyDescent="0.3">
      <c r="A1094" s="50">
        <v>1090</v>
      </c>
      <c r="B1094" s="51">
        <f t="shared" ca="1" si="17"/>
        <v>0.45285738681893084</v>
      </c>
      <c r="C1094" s="48">
        <f t="array" aca="1" ref="C1094" ca="1">MAX(0,ROUND(Inputs!$B$10*Inputs!$B$11+NORMSINV(B1094)*SQRT(Inputs!$B$10*Inputs!$B$11),0))</f>
        <v>497</v>
      </c>
      <c r="D1094" s="52">
        <f ca="1">C1094*Inputs!$B$12</f>
        <v>59640000</v>
      </c>
    </row>
    <row r="1095" spans="1:4" ht="13.5" customHeight="1" x14ac:dyDescent="0.3">
      <c r="A1095" s="46">
        <v>1091</v>
      </c>
      <c r="B1095" s="47">
        <f t="shared" ca="1" si="17"/>
        <v>0.11716109524296958</v>
      </c>
      <c r="C1095" s="48">
        <f t="array" aca="1" ref="C1095" ca="1">MAX(0,ROUND(Inputs!$B$10*Inputs!$B$11+NORMSINV(B1095)*SQRT(Inputs!$B$10*Inputs!$B$11),0))</f>
        <v>473</v>
      </c>
      <c r="D1095" s="49">
        <f ca="1">C1095*Inputs!$B$12</f>
        <v>56760000</v>
      </c>
    </row>
    <row r="1096" spans="1:4" ht="13.5" customHeight="1" x14ac:dyDescent="0.3">
      <c r="A1096" s="50">
        <v>1092</v>
      </c>
      <c r="B1096" s="51">
        <f t="shared" ca="1" si="17"/>
        <v>0.11681123943518457</v>
      </c>
      <c r="C1096" s="48">
        <f t="array" aca="1" ref="C1096" ca="1">MAX(0,ROUND(Inputs!$B$10*Inputs!$B$11+NORMSINV(B1096)*SQRT(Inputs!$B$10*Inputs!$B$11),0))</f>
        <v>473</v>
      </c>
      <c r="D1096" s="52">
        <f ca="1">C1096*Inputs!$B$12</f>
        <v>56760000</v>
      </c>
    </row>
    <row r="1097" spans="1:4" ht="13.5" customHeight="1" x14ac:dyDescent="0.3">
      <c r="A1097" s="46">
        <v>1093</v>
      </c>
      <c r="B1097" s="47">
        <f t="shared" ca="1" si="17"/>
        <v>0.34476493451065571</v>
      </c>
      <c r="C1097" s="48">
        <f t="array" aca="1" ref="C1097" ca="1">MAX(0,ROUND(Inputs!$B$10*Inputs!$B$11+NORMSINV(B1097)*SQRT(Inputs!$B$10*Inputs!$B$11),0))</f>
        <v>491</v>
      </c>
      <c r="D1097" s="49">
        <f ca="1">C1097*Inputs!$B$12</f>
        <v>58920000</v>
      </c>
    </row>
    <row r="1098" spans="1:4" ht="13.5" customHeight="1" x14ac:dyDescent="0.3">
      <c r="A1098" s="50">
        <v>1094</v>
      </c>
      <c r="B1098" s="51">
        <f t="shared" ca="1" si="17"/>
        <v>0.3303111270184077</v>
      </c>
      <c r="C1098" s="48">
        <f t="array" aca="1" ref="C1098" ca="1">MAX(0,ROUND(Inputs!$B$10*Inputs!$B$11+NORMSINV(B1098)*SQRT(Inputs!$B$10*Inputs!$B$11),0))</f>
        <v>490</v>
      </c>
      <c r="D1098" s="52">
        <f ca="1">C1098*Inputs!$B$12</f>
        <v>58800000</v>
      </c>
    </row>
    <row r="1099" spans="1:4" ht="13.5" customHeight="1" x14ac:dyDescent="0.3">
      <c r="A1099" s="46">
        <v>1095</v>
      </c>
      <c r="B1099" s="47">
        <f t="shared" ca="1" si="17"/>
        <v>0.18291574591717363</v>
      </c>
      <c r="C1099" s="48">
        <f t="array" aca="1" ref="C1099" ca="1">MAX(0,ROUND(Inputs!$B$10*Inputs!$B$11+NORMSINV(B1099)*SQRT(Inputs!$B$10*Inputs!$B$11),0))</f>
        <v>480</v>
      </c>
      <c r="D1099" s="49">
        <f ca="1">C1099*Inputs!$B$12</f>
        <v>57600000</v>
      </c>
    </row>
    <row r="1100" spans="1:4" ht="13.5" customHeight="1" x14ac:dyDescent="0.3">
      <c r="A1100" s="50">
        <v>1096</v>
      </c>
      <c r="B1100" s="51">
        <f t="shared" ca="1" si="17"/>
        <v>0.33010037064623843</v>
      </c>
      <c r="C1100" s="48">
        <f t="array" aca="1" ref="C1100" ca="1">MAX(0,ROUND(Inputs!$B$10*Inputs!$B$11+NORMSINV(B1100)*SQRT(Inputs!$B$10*Inputs!$B$11),0))</f>
        <v>490</v>
      </c>
      <c r="D1100" s="52">
        <f ca="1">C1100*Inputs!$B$12</f>
        <v>58800000</v>
      </c>
    </row>
    <row r="1101" spans="1:4" ht="13.5" customHeight="1" x14ac:dyDescent="0.3">
      <c r="A1101" s="46">
        <v>1097</v>
      </c>
      <c r="B1101" s="47">
        <f t="shared" ca="1" si="17"/>
        <v>0.74209490796256805</v>
      </c>
      <c r="C1101" s="48">
        <f t="array" aca="1" ref="C1101" ca="1">MAX(0,ROUND(Inputs!$B$10*Inputs!$B$11+NORMSINV(B1101)*SQRT(Inputs!$B$10*Inputs!$B$11),0))</f>
        <v>515</v>
      </c>
      <c r="D1101" s="49">
        <f ca="1">C1101*Inputs!$B$12</f>
        <v>61800000</v>
      </c>
    </row>
    <row r="1102" spans="1:4" ht="13.5" customHeight="1" x14ac:dyDescent="0.3">
      <c r="A1102" s="50">
        <v>1098</v>
      </c>
      <c r="B1102" s="51">
        <f t="shared" ca="1" si="17"/>
        <v>7.3338665764870581E-2</v>
      </c>
      <c r="C1102" s="48">
        <f t="array" aca="1" ref="C1102" ca="1">MAX(0,ROUND(Inputs!$B$10*Inputs!$B$11+NORMSINV(B1102)*SQRT(Inputs!$B$10*Inputs!$B$11),0))</f>
        <v>468</v>
      </c>
      <c r="D1102" s="52">
        <f ca="1">C1102*Inputs!$B$12</f>
        <v>56160000</v>
      </c>
    </row>
    <row r="1103" spans="1:4" ht="13.5" customHeight="1" x14ac:dyDescent="0.3">
      <c r="A1103" s="46">
        <v>1099</v>
      </c>
      <c r="B1103" s="47">
        <f t="shared" ca="1" si="17"/>
        <v>0.24230707215416658</v>
      </c>
      <c r="C1103" s="48">
        <f t="array" aca="1" ref="C1103" ca="1">MAX(0,ROUND(Inputs!$B$10*Inputs!$B$11+NORMSINV(B1103)*SQRT(Inputs!$B$10*Inputs!$B$11),0))</f>
        <v>484</v>
      </c>
      <c r="D1103" s="49">
        <f ca="1">C1103*Inputs!$B$12</f>
        <v>58080000</v>
      </c>
    </row>
    <row r="1104" spans="1:4" ht="13.5" customHeight="1" x14ac:dyDescent="0.3">
      <c r="A1104" s="50">
        <v>1100</v>
      </c>
      <c r="B1104" s="51">
        <f t="shared" ca="1" si="17"/>
        <v>0.64149934513473283</v>
      </c>
      <c r="C1104" s="48">
        <f t="array" aca="1" ref="C1104" ca="1">MAX(0,ROUND(Inputs!$B$10*Inputs!$B$11+NORMSINV(B1104)*SQRT(Inputs!$B$10*Inputs!$B$11),0))</f>
        <v>508</v>
      </c>
      <c r="D1104" s="52">
        <f ca="1">C1104*Inputs!$B$12</f>
        <v>60960000</v>
      </c>
    </row>
    <row r="1105" spans="1:4" ht="13.5" customHeight="1" x14ac:dyDescent="0.3">
      <c r="A1105" s="46">
        <v>1101</v>
      </c>
      <c r="B1105" s="47">
        <f t="shared" ca="1" si="17"/>
        <v>0.96374114005660905</v>
      </c>
      <c r="C1105" s="48">
        <f t="array" aca="1" ref="C1105" ca="1">MAX(0,ROUND(Inputs!$B$10*Inputs!$B$11+NORMSINV(B1105)*SQRT(Inputs!$B$10*Inputs!$B$11),0))</f>
        <v>540</v>
      </c>
      <c r="D1105" s="49">
        <f ca="1">C1105*Inputs!$B$12</f>
        <v>64800000</v>
      </c>
    </row>
    <row r="1106" spans="1:4" ht="13.5" customHeight="1" x14ac:dyDescent="0.3">
      <c r="A1106" s="50">
        <v>1102</v>
      </c>
      <c r="B1106" s="51">
        <f t="shared" ca="1" si="17"/>
        <v>0.53078336347989474</v>
      </c>
      <c r="C1106" s="48">
        <f t="array" aca="1" ref="C1106" ca="1">MAX(0,ROUND(Inputs!$B$10*Inputs!$B$11+NORMSINV(B1106)*SQRT(Inputs!$B$10*Inputs!$B$11),0))</f>
        <v>502</v>
      </c>
      <c r="D1106" s="52">
        <f ca="1">C1106*Inputs!$B$12</f>
        <v>60240000</v>
      </c>
    </row>
    <row r="1107" spans="1:4" ht="13.5" customHeight="1" x14ac:dyDescent="0.3">
      <c r="A1107" s="46">
        <v>1103</v>
      </c>
      <c r="B1107" s="47">
        <f t="shared" ca="1" si="17"/>
        <v>0.74002997909226864</v>
      </c>
      <c r="C1107" s="48">
        <f t="array" aca="1" ref="C1107" ca="1">MAX(0,ROUND(Inputs!$B$10*Inputs!$B$11+NORMSINV(B1107)*SQRT(Inputs!$B$10*Inputs!$B$11),0))</f>
        <v>514</v>
      </c>
      <c r="D1107" s="49">
        <f ca="1">C1107*Inputs!$B$12</f>
        <v>61680000</v>
      </c>
    </row>
    <row r="1108" spans="1:4" ht="13.5" customHeight="1" x14ac:dyDescent="0.3">
      <c r="A1108" s="50">
        <v>1104</v>
      </c>
      <c r="B1108" s="51">
        <f t="shared" ca="1" si="17"/>
        <v>0.52308121796177298</v>
      </c>
      <c r="C1108" s="48">
        <f t="array" aca="1" ref="C1108" ca="1">MAX(0,ROUND(Inputs!$B$10*Inputs!$B$11+NORMSINV(B1108)*SQRT(Inputs!$B$10*Inputs!$B$11),0))</f>
        <v>501</v>
      </c>
      <c r="D1108" s="52">
        <f ca="1">C1108*Inputs!$B$12</f>
        <v>60120000</v>
      </c>
    </row>
    <row r="1109" spans="1:4" ht="13.5" customHeight="1" x14ac:dyDescent="0.3">
      <c r="A1109" s="46">
        <v>1105</v>
      </c>
      <c r="B1109" s="47">
        <f t="shared" ca="1" si="17"/>
        <v>0.72888521666927863</v>
      </c>
      <c r="C1109" s="48">
        <f t="array" aca="1" ref="C1109" ca="1">MAX(0,ROUND(Inputs!$B$10*Inputs!$B$11+NORMSINV(B1109)*SQRT(Inputs!$B$10*Inputs!$B$11),0))</f>
        <v>514</v>
      </c>
      <c r="D1109" s="49">
        <f ca="1">C1109*Inputs!$B$12</f>
        <v>61680000</v>
      </c>
    </row>
    <row r="1110" spans="1:4" ht="13.5" customHeight="1" x14ac:dyDescent="0.3">
      <c r="A1110" s="50">
        <v>1106</v>
      </c>
      <c r="B1110" s="51">
        <f t="shared" ca="1" si="17"/>
        <v>0.88694116290663294</v>
      </c>
      <c r="C1110" s="48">
        <f t="array" aca="1" ref="C1110" ca="1">MAX(0,ROUND(Inputs!$B$10*Inputs!$B$11+NORMSINV(B1110)*SQRT(Inputs!$B$10*Inputs!$B$11),0))</f>
        <v>527</v>
      </c>
      <c r="D1110" s="52">
        <f ca="1">C1110*Inputs!$B$12</f>
        <v>63240000</v>
      </c>
    </row>
    <row r="1111" spans="1:4" ht="13.5" customHeight="1" x14ac:dyDescent="0.3">
      <c r="A1111" s="46">
        <v>1107</v>
      </c>
      <c r="B1111" s="47">
        <f t="shared" ca="1" si="17"/>
        <v>0.42469441300615329</v>
      </c>
      <c r="C1111" s="48">
        <f t="array" aca="1" ref="C1111" ca="1">MAX(0,ROUND(Inputs!$B$10*Inputs!$B$11+NORMSINV(B1111)*SQRT(Inputs!$B$10*Inputs!$B$11),0))</f>
        <v>496</v>
      </c>
      <c r="D1111" s="49">
        <f ca="1">C1111*Inputs!$B$12</f>
        <v>59520000</v>
      </c>
    </row>
    <row r="1112" spans="1:4" ht="13.5" customHeight="1" x14ac:dyDescent="0.3">
      <c r="A1112" s="50">
        <v>1108</v>
      </c>
      <c r="B1112" s="51">
        <f t="shared" ca="1" si="17"/>
        <v>0.13610071379515498</v>
      </c>
      <c r="C1112" s="48">
        <f t="array" aca="1" ref="C1112" ca="1">MAX(0,ROUND(Inputs!$B$10*Inputs!$B$11+NORMSINV(B1112)*SQRT(Inputs!$B$10*Inputs!$B$11),0))</f>
        <v>475</v>
      </c>
      <c r="D1112" s="52">
        <f ca="1">C1112*Inputs!$B$12</f>
        <v>57000000</v>
      </c>
    </row>
    <row r="1113" spans="1:4" ht="13.5" customHeight="1" x14ac:dyDescent="0.3">
      <c r="A1113" s="46">
        <v>1109</v>
      </c>
      <c r="B1113" s="47">
        <f t="shared" ca="1" si="17"/>
        <v>0.59378962304008398</v>
      </c>
      <c r="C1113" s="48">
        <f t="array" aca="1" ref="C1113" ca="1">MAX(0,ROUND(Inputs!$B$10*Inputs!$B$11+NORMSINV(B1113)*SQRT(Inputs!$B$10*Inputs!$B$11),0))</f>
        <v>505</v>
      </c>
      <c r="D1113" s="49">
        <f ca="1">C1113*Inputs!$B$12</f>
        <v>60600000</v>
      </c>
    </row>
    <row r="1114" spans="1:4" ht="13.5" customHeight="1" x14ac:dyDescent="0.3">
      <c r="A1114" s="50">
        <v>1110</v>
      </c>
      <c r="B1114" s="51">
        <f t="shared" ca="1" si="17"/>
        <v>0.61596097430472718</v>
      </c>
      <c r="C1114" s="48">
        <f t="array" aca="1" ref="C1114" ca="1">MAX(0,ROUND(Inputs!$B$10*Inputs!$B$11+NORMSINV(B1114)*SQRT(Inputs!$B$10*Inputs!$B$11),0))</f>
        <v>507</v>
      </c>
      <c r="D1114" s="52">
        <f ca="1">C1114*Inputs!$B$12</f>
        <v>60840000</v>
      </c>
    </row>
    <row r="1115" spans="1:4" ht="13.5" customHeight="1" x14ac:dyDescent="0.3">
      <c r="A1115" s="46">
        <v>1111</v>
      </c>
      <c r="B1115" s="47">
        <f t="shared" ca="1" si="17"/>
        <v>0.44086317761295823</v>
      </c>
      <c r="C1115" s="48">
        <f t="array" aca="1" ref="C1115" ca="1">MAX(0,ROUND(Inputs!$B$10*Inputs!$B$11+NORMSINV(B1115)*SQRT(Inputs!$B$10*Inputs!$B$11),0))</f>
        <v>497</v>
      </c>
      <c r="D1115" s="49">
        <f ca="1">C1115*Inputs!$B$12</f>
        <v>59640000</v>
      </c>
    </row>
    <row r="1116" spans="1:4" ht="13.5" customHeight="1" x14ac:dyDescent="0.3">
      <c r="A1116" s="50">
        <v>1112</v>
      </c>
      <c r="B1116" s="51">
        <f t="shared" ca="1" si="17"/>
        <v>4.3401468276572541E-2</v>
      </c>
      <c r="C1116" s="48">
        <f t="array" aca="1" ref="C1116" ca="1">MAX(0,ROUND(Inputs!$B$10*Inputs!$B$11+NORMSINV(B1116)*SQRT(Inputs!$B$10*Inputs!$B$11),0))</f>
        <v>462</v>
      </c>
      <c r="D1116" s="52">
        <f ca="1">C1116*Inputs!$B$12</f>
        <v>55440000</v>
      </c>
    </row>
    <row r="1117" spans="1:4" ht="13.5" customHeight="1" x14ac:dyDescent="0.3">
      <c r="A1117" s="46">
        <v>1113</v>
      </c>
      <c r="B1117" s="47">
        <f t="shared" ca="1" si="17"/>
        <v>0.81624262325238128</v>
      </c>
      <c r="C1117" s="48">
        <f t="array" aca="1" ref="C1117" ca="1">MAX(0,ROUND(Inputs!$B$10*Inputs!$B$11+NORMSINV(B1117)*SQRT(Inputs!$B$10*Inputs!$B$11),0))</f>
        <v>520</v>
      </c>
      <c r="D1117" s="49">
        <f ca="1">C1117*Inputs!$B$12</f>
        <v>62400000</v>
      </c>
    </row>
    <row r="1118" spans="1:4" ht="13.5" customHeight="1" x14ac:dyDescent="0.3">
      <c r="A1118" s="50">
        <v>1114</v>
      </c>
      <c r="B1118" s="51">
        <f t="shared" ca="1" si="17"/>
        <v>0.48633436145613607</v>
      </c>
      <c r="C1118" s="48">
        <f t="array" aca="1" ref="C1118" ca="1">MAX(0,ROUND(Inputs!$B$10*Inputs!$B$11+NORMSINV(B1118)*SQRT(Inputs!$B$10*Inputs!$B$11),0))</f>
        <v>499</v>
      </c>
      <c r="D1118" s="52">
        <f ca="1">C1118*Inputs!$B$12</f>
        <v>59880000</v>
      </c>
    </row>
    <row r="1119" spans="1:4" ht="13.5" customHeight="1" x14ac:dyDescent="0.3">
      <c r="A1119" s="46">
        <v>1115</v>
      </c>
      <c r="B1119" s="47">
        <f t="shared" ca="1" si="17"/>
        <v>0.52481286401517879</v>
      </c>
      <c r="C1119" s="48">
        <f t="array" aca="1" ref="C1119" ca="1">MAX(0,ROUND(Inputs!$B$10*Inputs!$B$11+NORMSINV(B1119)*SQRT(Inputs!$B$10*Inputs!$B$11),0))</f>
        <v>501</v>
      </c>
      <c r="D1119" s="49">
        <f ca="1">C1119*Inputs!$B$12</f>
        <v>60120000</v>
      </c>
    </row>
    <row r="1120" spans="1:4" ht="13.5" customHeight="1" x14ac:dyDescent="0.3">
      <c r="A1120" s="50">
        <v>1116</v>
      </c>
      <c r="B1120" s="51">
        <f t="shared" ca="1" si="17"/>
        <v>0.19268649532160553</v>
      </c>
      <c r="C1120" s="48">
        <f t="array" aca="1" ref="C1120" ca="1">MAX(0,ROUND(Inputs!$B$10*Inputs!$B$11+NORMSINV(B1120)*SQRT(Inputs!$B$10*Inputs!$B$11),0))</f>
        <v>481</v>
      </c>
      <c r="D1120" s="52">
        <f ca="1">C1120*Inputs!$B$12</f>
        <v>57720000</v>
      </c>
    </row>
    <row r="1121" spans="1:4" ht="13.5" customHeight="1" x14ac:dyDescent="0.3">
      <c r="A1121" s="46">
        <v>1117</v>
      </c>
      <c r="B1121" s="47">
        <f t="shared" ca="1" si="17"/>
        <v>0.99425728902888599</v>
      </c>
      <c r="C1121" s="48">
        <f t="array" aca="1" ref="C1121" ca="1">MAX(0,ROUND(Inputs!$B$10*Inputs!$B$11+NORMSINV(B1121)*SQRT(Inputs!$B$10*Inputs!$B$11),0))</f>
        <v>557</v>
      </c>
      <c r="D1121" s="49">
        <f ca="1">C1121*Inputs!$B$12</f>
        <v>66840000</v>
      </c>
    </row>
    <row r="1122" spans="1:4" ht="13.5" customHeight="1" x14ac:dyDescent="0.3">
      <c r="A1122" s="50">
        <v>1118</v>
      </c>
      <c r="B1122" s="51">
        <f t="shared" ca="1" si="17"/>
        <v>0.14846633228318451</v>
      </c>
      <c r="C1122" s="48">
        <f t="array" aca="1" ref="C1122" ca="1">MAX(0,ROUND(Inputs!$B$10*Inputs!$B$11+NORMSINV(B1122)*SQRT(Inputs!$B$10*Inputs!$B$11),0))</f>
        <v>477</v>
      </c>
      <c r="D1122" s="52">
        <f ca="1">C1122*Inputs!$B$12</f>
        <v>57240000</v>
      </c>
    </row>
    <row r="1123" spans="1:4" ht="13.5" customHeight="1" x14ac:dyDescent="0.3">
      <c r="A1123" s="46">
        <v>1119</v>
      </c>
      <c r="B1123" s="47">
        <f t="shared" ca="1" si="17"/>
        <v>0.35954429066983751</v>
      </c>
      <c r="C1123" s="48">
        <f t="array" aca="1" ref="C1123" ca="1">MAX(0,ROUND(Inputs!$B$10*Inputs!$B$11+NORMSINV(B1123)*SQRT(Inputs!$B$10*Inputs!$B$11),0))</f>
        <v>492</v>
      </c>
      <c r="D1123" s="49">
        <f ca="1">C1123*Inputs!$B$12</f>
        <v>59040000</v>
      </c>
    </row>
    <row r="1124" spans="1:4" ht="13.5" customHeight="1" x14ac:dyDescent="0.3">
      <c r="A1124" s="50">
        <v>1120</v>
      </c>
      <c r="B1124" s="51">
        <f t="shared" ca="1" si="17"/>
        <v>0.95515325029570053</v>
      </c>
      <c r="C1124" s="48">
        <f t="array" aca="1" ref="C1124" ca="1">MAX(0,ROUND(Inputs!$B$10*Inputs!$B$11+NORMSINV(B1124)*SQRT(Inputs!$B$10*Inputs!$B$11),0))</f>
        <v>538</v>
      </c>
      <c r="D1124" s="52">
        <f ca="1">C1124*Inputs!$B$12</f>
        <v>64560000</v>
      </c>
    </row>
    <row r="1125" spans="1:4" ht="13.5" customHeight="1" x14ac:dyDescent="0.3">
      <c r="A1125" s="46">
        <v>1121</v>
      </c>
      <c r="B1125" s="47">
        <f t="shared" ca="1" si="17"/>
        <v>0.21555365214754385</v>
      </c>
      <c r="C1125" s="48">
        <f t="array" aca="1" ref="C1125" ca="1">MAX(0,ROUND(Inputs!$B$10*Inputs!$B$11+NORMSINV(B1125)*SQRT(Inputs!$B$10*Inputs!$B$11),0))</f>
        <v>482</v>
      </c>
      <c r="D1125" s="49">
        <f ca="1">C1125*Inputs!$B$12</f>
        <v>57840000</v>
      </c>
    </row>
    <row r="1126" spans="1:4" ht="13.5" customHeight="1" x14ac:dyDescent="0.3">
      <c r="A1126" s="50">
        <v>1122</v>
      </c>
      <c r="B1126" s="51">
        <f t="shared" ca="1" si="17"/>
        <v>0.23452309288844753</v>
      </c>
      <c r="C1126" s="48">
        <f t="array" aca="1" ref="C1126" ca="1">MAX(0,ROUND(Inputs!$B$10*Inputs!$B$11+NORMSINV(B1126)*SQRT(Inputs!$B$10*Inputs!$B$11),0))</f>
        <v>484</v>
      </c>
      <c r="D1126" s="52">
        <f ca="1">C1126*Inputs!$B$12</f>
        <v>58080000</v>
      </c>
    </row>
    <row r="1127" spans="1:4" ht="13.5" customHeight="1" x14ac:dyDescent="0.3">
      <c r="A1127" s="46">
        <v>1123</v>
      </c>
      <c r="B1127" s="47">
        <f t="shared" ca="1" si="17"/>
        <v>0.6573171001461342</v>
      </c>
      <c r="C1127" s="48">
        <f t="array" aca="1" ref="C1127" ca="1">MAX(0,ROUND(Inputs!$B$10*Inputs!$B$11+NORMSINV(B1127)*SQRT(Inputs!$B$10*Inputs!$B$11),0))</f>
        <v>509</v>
      </c>
      <c r="D1127" s="49">
        <f ca="1">C1127*Inputs!$B$12</f>
        <v>61080000</v>
      </c>
    </row>
    <row r="1128" spans="1:4" ht="13.5" customHeight="1" x14ac:dyDescent="0.3">
      <c r="A1128" s="50">
        <v>1124</v>
      </c>
      <c r="B1128" s="51">
        <f t="shared" ca="1" si="17"/>
        <v>0.97365886040008387</v>
      </c>
      <c r="C1128" s="48">
        <f t="array" aca="1" ref="C1128" ca="1">MAX(0,ROUND(Inputs!$B$10*Inputs!$B$11+NORMSINV(B1128)*SQRT(Inputs!$B$10*Inputs!$B$11),0))</f>
        <v>543</v>
      </c>
      <c r="D1128" s="52">
        <f ca="1">C1128*Inputs!$B$12</f>
        <v>65160000</v>
      </c>
    </row>
    <row r="1129" spans="1:4" ht="13.5" customHeight="1" x14ac:dyDescent="0.3">
      <c r="A1129" s="46">
        <v>1125</v>
      </c>
      <c r="B1129" s="47">
        <f t="shared" ca="1" si="17"/>
        <v>0.32345522735487409</v>
      </c>
      <c r="C1129" s="48">
        <f t="array" aca="1" ref="C1129" ca="1">MAX(0,ROUND(Inputs!$B$10*Inputs!$B$11+NORMSINV(B1129)*SQRT(Inputs!$B$10*Inputs!$B$11),0))</f>
        <v>490</v>
      </c>
      <c r="D1129" s="49">
        <f ca="1">C1129*Inputs!$B$12</f>
        <v>58800000</v>
      </c>
    </row>
    <row r="1130" spans="1:4" ht="13.5" customHeight="1" x14ac:dyDescent="0.3">
      <c r="A1130" s="50">
        <v>1126</v>
      </c>
      <c r="B1130" s="51">
        <f t="shared" ca="1" si="17"/>
        <v>0.45736192065337944</v>
      </c>
      <c r="C1130" s="48">
        <f t="array" aca="1" ref="C1130" ca="1">MAX(0,ROUND(Inputs!$B$10*Inputs!$B$11+NORMSINV(B1130)*SQRT(Inputs!$B$10*Inputs!$B$11),0))</f>
        <v>498</v>
      </c>
      <c r="D1130" s="52">
        <f ca="1">C1130*Inputs!$B$12</f>
        <v>59760000</v>
      </c>
    </row>
    <row r="1131" spans="1:4" ht="13.5" customHeight="1" x14ac:dyDescent="0.3">
      <c r="A1131" s="46">
        <v>1127</v>
      </c>
      <c r="B1131" s="47">
        <f t="shared" ca="1" si="17"/>
        <v>7.9520603691267899E-2</v>
      </c>
      <c r="C1131" s="48">
        <f t="array" aca="1" ref="C1131" ca="1">MAX(0,ROUND(Inputs!$B$10*Inputs!$B$11+NORMSINV(B1131)*SQRT(Inputs!$B$10*Inputs!$B$11),0))</f>
        <v>469</v>
      </c>
      <c r="D1131" s="49">
        <f ca="1">C1131*Inputs!$B$12</f>
        <v>56280000</v>
      </c>
    </row>
    <row r="1132" spans="1:4" ht="13.5" customHeight="1" x14ac:dyDescent="0.3">
      <c r="A1132" s="50">
        <v>1128</v>
      </c>
      <c r="B1132" s="51">
        <f t="shared" ca="1" si="17"/>
        <v>0.51712171863724576</v>
      </c>
      <c r="C1132" s="48">
        <f t="array" aca="1" ref="C1132" ca="1">MAX(0,ROUND(Inputs!$B$10*Inputs!$B$11+NORMSINV(B1132)*SQRT(Inputs!$B$10*Inputs!$B$11),0))</f>
        <v>501</v>
      </c>
      <c r="D1132" s="52">
        <f ca="1">C1132*Inputs!$B$12</f>
        <v>60120000</v>
      </c>
    </row>
    <row r="1133" spans="1:4" ht="13.5" customHeight="1" x14ac:dyDescent="0.3">
      <c r="A1133" s="46">
        <v>1129</v>
      </c>
      <c r="B1133" s="47">
        <f t="shared" ca="1" si="17"/>
        <v>0.28262277893923915</v>
      </c>
      <c r="C1133" s="48">
        <f t="array" aca="1" ref="C1133" ca="1">MAX(0,ROUND(Inputs!$B$10*Inputs!$B$11+NORMSINV(B1133)*SQRT(Inputs!$B$10*Inputs!$B$11),0))</f>
        <v>487</v>
      </c>
      <c r="D1133" s="49">
        <f ca="1">C1133*Inputs!$B$12</f>
        <v>58440000</v>
      </c>
    </row>
    <row r="1134" spans="1:4" ht="13.5" customHeight="1" x14ac:dyDescent="0.3">
      <c r="A1134" s="50">
        <v>1130</v>
      </c>
      <c r="B1134" s="51">
        <f t="shared" ca="1" si="17"/>
        <v>0.3776768023616166</v>
      </c>
      <c r="C1134" s="48">
        <f t="array" aca="1" ref="C1134" ca="1">MAX(0,ROUND(Inputs!$B$10*Inputs!$B$11+NORMSINV(B1134)*SQRT(Inputs!$B$10*Inputs!$B$11),0))</f>
        <v>493</v>
      </c>
      <c r="D1134" s="52">
        <f ca="1">C1134*Inputs!$B$12</f>
        <v>59160000</v>
      </c>
    </row>
    <row r="1135" spans="1:4" ht="13.5" customHeight="1" x14ac:dyDescent="0.3">
      <c r="A1135" s="46">
        <v>1131</v>
      </c>
      <c r="B1135" s="47">
        <f t="shared" ca="1" si="17"/>
        <v>0.87815037577393551</v>
      </c>
      <c r="C1135" s="48">
        <f t="array" aca="1" ref="C1135" ca="1">MAX(0,ROUND(Inputs!$B$10*Inputs!$B$11+NORMSINV(B1135)*SQRT(Inputs!$B$10*Inputs!$B$11),0))</f>
        <v>526</v>
      </c>
      <c r="D1135" s="49">
        <f ca="1">C1135*Inputs!$B$12</f>
        <v>63120000</v>
      </c>
    </row>
    <row r="1136" spans="1:4" ht="13.5" customHeight="1" x14ac:dyDescent="0.3">
      <c r="A1136" s="50">
        <v>1132</v>
      </c>
      <c r="B1136" s="51">
        <f t="shared" ca="1" si="17"/>
        <v>1.285403937496632E-2</v>
      </c>
      <c r="C1136" s="48">
        <f t="array" aca="1" ref="C1136" ca="1">MAX(0,ROUND(Inputs!$B$10*Inputs!$B$11+NORMSINV(B1136)*SQRT(Inputs!$B$10*Inputs!$B$11),0))</f>
        <v>450</v>
      </c>
      <c r="D1136" s="52">
        <f ca="1">C1136*Inputs!$B$12</f>
        <v>54000000</v>
      </c>
    </row>
    <row r="1137" spans="1:4" ht="13.5" customHeight="1" x14ac:dyDescent="0.3">
      <c r="A1137" s="46">
        <v>1133</v>
      </c>
      <c r="B1137" s="47">
        <f t="shared" ca="1" si="17"/>
        <v>0.33588659953616962</v>
      </c>
      <c r="C1137" s="48">
        <f t="array" aca="1" ref="C1137" ca="1">MAX(0,ROUND(Inputs!$B$10*Inputs!$B$11+NORMSINV(B1137)*SQRT(Inputs!$B$10*Inputs!$B$11),0))</f>
        <v>491</v>
      </c>
      <c r="D1137" s="49">
        <f ca="1">C1137*Inputs!$B$12</f>
        <v>58920000</v>
      </c>
    </row>
    <row r="1138" spans="1:4" ht="13.5" customHeight="1" x14ac:dyDescent="0.3">
      <c r="A1138" s="50">
        <v>1134</v>
      </c>
      <c r="B1138" s="51">
        <f t="shared" ca="1" si="17"/>
        <v>0.44863963285974451</v>
      </c>
      <c r="C1138" s="48">
        <f t="array" aca="1" ref="C1138" ca="1">MAX(0,ROUND(Inputs!$B$10*Inputs!$B$11+NORMSINV(B1138)*SQRT(Inputs!$B$10*Inputs!$B$11),0))</f>
        <v>497</v>
      </c>
      <c r="D1138" s="52">
        <f ca="1">C1138*Inputs!$B$12</f>
        <v>59640000</v>
      </c>
    </row>
    <row r="1139" spans="1:4" ht="13.5" customHeight="1" x14ac:dyDescent="0.3">
      <c r="A1139" s="46">
        <v>1135</v>
      </c>
      <c r="B1139" s="47">
        <f t="shared" ca="1" si="17"/>
        <v>0.26398655665901649</v>
      </c>
      <c r="C1139" s="48">
        <f t="array" aca="1" ref="C1139" ca="1">MAX(0,ROUND(Inputs!$B$10*Inputs!$B$11+NORMSINV(B1139)*SQRT(Inputs!$B$10*Inputs!$B$11),0))</f>
        <v>486</v>
      </c>
      <c r="D1139" s="49">
        <f ca="1">C1139*Inputs!$B$12</f>
        <v>58320000</v>
      </c>
    </row>
    <row r="1140" spans="1:4" ht="13.5" customHeight="1" x14ac:dyDescent="0.3">
      <c r="A1140" s="50">
        <v>1136</v>
      </c>
      <c r="B1140" s="51">
        <f t="shared" ca="1" si="17"/>
        <v>0.32821267928648823</v>
      </c>
      <c r="C1140" s="48">
        <f t="array" aca="1" ref="C1140" ca="1">MAX(0,ROUND(Inputs!$B$10*Inputs!$B$11+NORMSINV(B1140)*SQRT(Inputs!$B$10*Inputs!$B$11),0))</f>
        <v>490</v>
      </c>
      <c r="D1140" s="52">
        <f ca="1">C1140*Inputs!$B$12</f>
        <v>58800000</v>
      </c>
    </row>
    <row r="1141" spans="1:4" ht="13.5" customHeight="1" x14ac:dyDescent="0.3">
      <c r="A1141" s="46">
        <v>1137</v>
      </c>
      <c r="B1141" s="47">
        <f t="shared" ca="1" si="17"/>
        <v>0.67975669535822203</v>
      </c>
      <c r="C1141" s="48">
        <f t="array" aca="1" ref="C1141" ca="1">MAX(0,ROUND(Inputs!$B$10*Inputs!$B$11+NORMSINV(B1141)*SQRT(Inputs!$B$10*Inputs!$B$11),0))</f>
        <v>510</v>
      </c>
      <c r="D1141" s="49">
        <f ca="1">C1141*Inputs!$B$12</f>
        <v>61200000</v>
      </c>
    </row>
    <row r="1142" spans="1:4" ht="13.5" customHeight="1" x14ac:dyDescent="0.3">
      <c r="A1142" s="50">
        <v>1138</v>
      </c>
      <c r="B1142" s="51">
        <f t="shared" ca="1" si="17"/>
        <v>0.81509566440741998</v>
      </c>
      <c r="C1142" s="48">
        <f t="array" aca="1" ref="C1142" ca="1">MAX(0,ROUND(Inputs!$B$10*Inputs!$B$11+NORMSINV(B1142)*SQRT(Inputs!$B$10*Inputs!$B$11),0))</f>
        <v>520</v>
      </c>
      <c r="D1142" s="52">
        <f ca="1">C1142*Inputs!$B$12</f>
        <v>62400000</v>
      </c>
    </row>
    <row r="1143" spans="1:4" ht="13.5" customHeight="1" x14ac:dyDescent="0.3">
      <c r="A1143" s="46">
        <v>1139</v>
      </c>
      <c r="B1143" s="47">
        <f t="shared" ca="1" si="17"/>
        <v>0.4906279489677754</v>
      </c>
      <c r="C1143" s="48">
        <f t="array" aca="1" ref="C1143" ca="1">MAX(0,ROUND(Inputs!$B$10*Inputs!$B$11+NORMSINV(B1143)*SQRT(Inputs!$B$10*Inputs!$B$11),0))</f>
        <v>499</v>
      </c>
      <c r="D1143" s="49">
        <f ca="1">C1143*Inputs!$B$12</f>
        <v>59880000</v>
      </c>
    </row>
    <row r="1144" spans="1:4" ht="13.5" customHeight="1" x14ac:dyDescent="0.3">
      <c r="A1144" s="50">
        <v>1140</v>
      </c>
      <c r="B1144" s="51">
        <f t="shared" ca="1" si="17"/>
        <v>0.4190251003958495</v>
      </c>
      <c r="C1144" s="48">
        <f t="array" aca="1" ref="C1144" ca="1">MAX(0,ROUND(Inputs!$B$10*Inputs!$B$11+NORMSINV(B1144)*SQRT(Inputs!$B$10*Inputs!$B$11),0))</f>
        <v>495</v>
      </c>
      <c r="D1144" s="52">
        <f ca="1">C1144*Inputs!$B$12</f>
        <v>59400000</v>
      </c>
    </row>
    <row r="1145" spans="1:4" ht="13.5" customHeight="1" x14ac:dyDescent="0.3">
      <c r="A1145" s="46">
        <v>1141</v>
      </c>
      <c r="B1145" s="47">
        <f t="shared" ca="1" si="17"/>
        <v>0.95625348195712068</v>
      </c>
      <c r="C1145" s="48">
        <f t="array" aca="1" ref="C1145" ca="1">MAX(0,ROUND(Inputs!$B$10*Inputs!$B$11+NORMSINV(B1145)*SQRT(Inputs!$B$10*Inputs!$B$11),0))</f>
        <v>538</v>
      </c>
      <c r="D1145" s="49">
        <f ca="1">C1145*Inputs!$B$12</f>
        <v>64560000</v>
      </c>
    </row>
    <row r="1146" spans="1:4" ht="13.5" customHeight="1" x14ac:dyDescent="0.3">
      <c r="A1146" s="50">
        <v>1142</v>
      </c>
      <c r="B1146" s="51">
        <f t="shared" ca="1" si="17"/>
        <v>0.56930731472524554</v>
      </c>
      <c r="C1146" s="48">
        <f t="array" aca="1" ref="C1146" ca="1">MAX(0,ROUND(Inputs!$B$10*Inputs!$B$11+NORMSINV(B1146)*SQRT(Inputs!$B$10*Inputs!$B$11),0))</f>
        <v>504</v>
      </c>
      <c r="D1146" s="52">
        <f ca="1">C1146*Inputs!$B$12</f>
        <v>60480000</v>
      </c>
    </row>
    <row r="1147" spans="1:4" ht="13.5" customHeight="1" x14ac:dyDescent="0.3">
      <c r="A1147" s="46">
        <v>1143</v>
      </c>
      <c r="B1147" s="47">
        <f t="shared" ca="1" si="17"/>
        <v>0.54035820710530302</v>
      </c>
      <c r="C1147" s="48">
        <f t="array" aca="1" ref="C1147" ca="1">MAX(0,ROUND(Inputs!$B$10*Inputs!$B$11+NORMSINV(B1147)*SQRT(Inputs!$B$10*Inputs!$B$11),0))</f>
        <v>502</v>
      </c>
      <c r="D1147" s="49">
        <f ca="1">C1147*Inputs!$B$12</f>
        <v>60240000</v>
      </c>
    </row>
    <row r="1148" spans="1:4" ht="13.5" customHeight="1" x14ac:dyDescent="0.3">
      <c r="A1148" s="50">
        <v>1144</v>
      </c>
      <c r="B1148" s="51">
        <f t="shared" ca="1" si="17"/>
        <v>5.8321230401702784E-2</v>
      </c>
      <c r="C1148" s="48">
        <f t="array" aca="1" ref="C1148" ca="1">MAX(0,ROUND(Inputs!$B$10*Inputs!$B$11+NORMSINV(B1148)*SQRT(Inputs!$B$10*Inputs!$B$11),0))</f>
        <v>465</v>
      </c>
      <c r="D1148" s="52">
        <f ca="1">C1148*Inputs!$B$12</f>
        <v>55800000</v>
      </c>
    </row>
    <row r="1149" spans="1:4" ht="13.5" customHeight="1" x14ac:dyDescent="0.3">
      <c r="A1149" s="46">
        <v>1145</v>
      </c>
      <c r="B1149" s="47">
        <f t="shared" ca="1" si="17"/>
        <v>0.50343889360699012</v>
      </c>
      <c r="C1149" s="48">
        <f t="array" aca="1" ref="C1149" ca="1">MAX(0,ROUND(Inputs!$B$10*Inputs!$B$11+NORMSINV(B1149)*SQRT(Inputs!$B$10*Inputs!$B$11),0))</f>
        <v>500</v>
      </c>
      <c r="D1149" s="49">
        <f ca="1">C1149*Inputs!$B$12</f>
        <v>60000000</v>
      </c>
    </row>
    <row r="1150" spans="1:4" ht="13.5" customHeight="1" x14ac:dyDescent="0.3">
      <c r="A1150" s="50">
        <v>1146</v>
      </c>
      <c r="B1150" s="51">
        <f t="shared" ca="1" si="17"/>
        <v>0.73742665648181516</v>
      </c>
      <c r="C1150" s="48">
        <f t="array" aca="1" ref="C1150" ca="1">MAX(0,ROUND(Inputs!$B$10*Inputs!$B$11+NORMSINV(B1150)*SQRT(Inputs!$B$10*Inputs!$B$11),0))</f>
        <v>514</v>
      </c>
      <c r="D1150" s="52">
        <f ca="1">C1150*Inputs!$B$12</f>
        <v>61680000</v>
      </c>
    </row>
    <row r="1151" spans="1:4" ht="13.5" customHeight="1" x14ac:dyDescent="0.3">
      <c r="A1151" s="46">
        <v>1147</v>
      </c>
      <c r="B1151" s="47">
        <f t="shared" ca="1" si="17"/>
        <v>0.39415578282084962</v>
      </c>
      <c r="C1151" s="48">
        <f t="array" aca="1" ref="C1151" ca="1">MAX(0,ROUND(Inputs!$B$10*Inputs!$B$11+NORMSINV(B1151)*SQRT(Inputs!$B$10*Inputs!$B$11),0))</f>
        <v>494</v>
      </c>
      <c r="D1151" s="49">
        <f ca="1">C1151*Inputs!$B$12</f>
        <v>59280000</v>
      </c>
    </row>
    <row r="1152" spans="1:4" ht="13.5" customHeight="1" x14ac:dyDescent="0.3">
      <c r="A1152" s="50">
        <v>1148</v>
      </c>
      <c r="B1152" s="51">
        <f t="shared" ca="1" si="17"/>
        <v>0.84125708958513079</v>
      </c>
      <c r="C1152" s="48">
        <f t="array" aca="1" ref="C1152" ca="1">MAX(0,ROUND(Inputs!$B$10*Inputs!$B$11+NORMSINV(B1152)*SQRT(Inputs!$B$10*Inputs!$B$11),0))</f>
        <v>522</v>
      </c>
      <c r="D1152" s="52">
        <f ca="1">C1152*Inputs!$B$12</f>
        <v>62640000</v>
      </c>
    </row>
    <row r="1153" spans="1:4" ht="13.5" customHeight="1" x14ac:dyDescent="0.3">
      <c r="A1153" s="46">
        <v>1149</v>
      </c>
      <c r="B1153" s="47">
        <f t="shared" ca="1" si="17"/>
        <v>0.26046211715485823</v>
      </c>
      <c r="C1153" s="48">
        <f t="array" aca="1" ref="C1153" ca="1">MAX(0,ROUND(Inputs!$B$10*Inputs!$B$11+NORMSINV(B1153)*SQRT(Inputs!$B$10*Inputs!$B$11),0))</f>
        <v>486</v>
      </c>
      <c r="D1153" s="49">
        <f ca="1">C1153*Inputs!$B$12</f>
        <v>58320000</v>
      </c>
    </row>
    <row r="1154" spans="1:4" ht="13.5" customHeight="1" x14ac:dyDescent="0.3">
      <c r="A1154" s="50">
        <v>1150</v>
      </c>
      <c r="B1154" s="51">
        <f t="shared" ca="1" si="17"/>
        <v>2.7408900638668521E-2</v>
      </c>
      <c r="C1154" s="48">
        <f t="array" aca="1" ref="C1154" ca="1">MAX(0,ROUND(Inputs!$B$10*Inputs!$B$11+NORMSINV(B1154)*SQRT(Inputs!$B$10*Inputs!$B$11),0))</f>
        <v>457</v>
      </c>
      <c r="D1154" s="52">
        <f ca="1">C1154*Inputs!$B$12</f>
        <v>54840000</v>
      </c>
    </row>
    <row r="1155" spans="1:4" ht="13.5" customHeight="1" x14ac:dyDescent="0.3">
      <c r="A1155" s="46">
        <v>1151</v>
      </c>
      <c r="B1155" s="47">
        <f t="shared" ca="1" si="17"/>
        <v>1.0225586809241349E-2</v>
      </c>
      <c r="C1155" s="48">
        <f t="array" aca="1" ref="C1155" ca="1">MAX(0,ROUND(Inputs!$B$10*Inputs!$B$11+NORMSINV(B1155)*SQRT(Inputs!$B$10*Inputs!$B$11),0))</f>
        <v>448</v>
      </c>
      <c r="D1155" s="49">
        <f ca="1">C1155*Inputs!$B$12</f>
        <v>53760000</v>
      </c>
    </row>
    <row r="1156" spans="1:4" ht="13.5" customHeight="1" x14ac:dyDescent="0.3">
      <c r="A1156" s="50">
        <v>1152</v>
      </c>
      <c r="B1156" s="51">
        <f t="shared" ca="1" si="17"/>
        <v>0.77581563310240653</v>
      </c>
      <c r="C1156" s="48">
        <f t="array" aca="1" ref="C1156" ca="1">MAX(0,ROUND(Inputs!$B$10*Inputs!$B$11+NORMSINV(B1156)*SQRT(Inputs!$B$10*Inputs!$B$11),0))</f>
        <v>517</v>
      </c>
      <c r="D1156" s="52">
        <f ca="1">C1156*Inputs!$B$12</f>
        <v>62040000</v>
      </c>
    </row>
    <row r="1157" spans="1:4" ht="13.5" customHeight="1" x14ac:dyDescent="0.3">
      <c r="A1157" s="46">
        <v>1153</v>
      </c>
      <c r="B1157" s="47">
        <f t="shared" ref="B1157:B1220" ca="1" si="18">RAND()</f>
        <v>0.75550581713330889</v>
      </c>
      <c r="C1157" s="48">
        <f t="array" aca="1" ref="C1157" ca="1">MAX(0,ROUND(Inputs!$B$10*Inputs!$B$11+NORMSINV(B1157)*SQRT(Inputs!$B$10*Inputs!$B$11),0))</f>
        <v>515</v>
      </c>
      <c r="D1157" s="49">
        <f ca="1">C1157*Inputs!$B$12</f>
        <v>61800000</v>
      </c>
    </row>
    <row r="1158" spans="1:4" ht="13.5" customHeight="1" x14ac:dyDescent="0.3">
      <c r="A1158" s="50">
        <v>1154</v>
      </c>
      <c r="B1158" s="51">
        <f t="shared" ca="1" si="18"/>
        <v>0.14392613099425033</v>
      </c>
      <c r="C1158" s="48">
        <f t="array" aca="1" ref="C1158" ca="1">MAX(0,ROUND(Inputs!$B$10*Inputs!$B$11+NORMSINV(B1158)*SQRT(Inputs!$B$10*Inputs!$B$11),0))</f>
        <v>476</v>
      </c>
      <c r="D1158" s="52">
        <f ca="1">C1158*Inputs!$B$12</f>
        <v>57120000</v>
      </c>
    </row>
    <row r="1159" spans="1:4" ht="13.5" customHeight="1" x14ac:dyDescent="0.3">
      <c r="A1159" s="46">
        <v>1155</v>
      </c>
      <c r="B1159" s="47">
        <f t="shared" ca="1" si="18"/>
        <v>0.51829441836607315</v>
      </c>
      <c r="C1159" s="48">
        <f t="array" aca="1" ref="C1159" ca="1">MAX(0,ROUND(Inputs!$B$10*Inputs!$B$11+NORMSINV(B1159)*SQRT(Inputs!$B$10*Inputs!$B$11),0))</f>
        <v>501</v>
      </c>
      <c r="D1159" s="49">
        <f ca="1">C1159*Inputs!$B$12</f>
        <v>60120000</v>
      </c>
    </row>
    <row r="1160" spans="1:4" ht="13.5" customHeight="1" x14ac:dyDescent="0.3">
      <c r="A1160" s="50">
        <v>1156</v>
      </c>
      <c r="B1160" s="51">
        <f t="shared" ca="1" si="18"/>
        <v>0.3274052713791028</v>
      </c>
      <c r="C1160" s="48">
        <f t="array" aca="1" ref="C1160" ca="1">MAX(0,ROUND(Inputs!$B$10*Inputs!$B$11+NORMSINV(B1160)*SQRT(Inputs!$B$10*Inputs!$B$11),0))</f>
        <v>490</v>
      </c>
      <c r="D1160" s="52">
        <f ca="1">C1160*Inputs!$B$12</f>
        <v>58800000</v>
      </c>
    </row>
    <row r="1161" spans="1:4" ht="13.5" customHeight="1" x14ac:dyDescent="0.3">
      <c r="A1161" s="46">
        <v>1157</v>
      </c>
      <c r="B1161" s="47">
        <f t="shared" ca="1" si="18"/>
        <v>3.1046074205085317E-2</v>
      </c>
      <c r="C1161" s="48">
        <f t="array" aca="1" ref="C1161" ca="1">MAX(0,ROUND(Inputs!$B$10*Inputs!$B$11+NORMSINV(B1161)*SQRT(Inputs!$B$10*Inputs!$B$11),0))</f>
        <v>458</v>
      </c>
      <c r="D1161" s="49">
        <f ca="1">C1161*Inputs!$B$12</f>
        <v>54960000</v>
      </c>
    </row>
    <row r="1162" spans="1:4" ht="13.5" customHeight="1" x14ac:dyDescent="0.3">
      <c r="A1162" s="50">
        <v>1158</v>
      </c>
      <c r="B1162" s="51">
        <f t="shared" ca="1" si="18"/>
        <v>0.6446442154618538</v>
      </c>
      <c r="C1162" s="48">
        <f t="array" aca="1" ref="C1162" ca="1">MAX(0,ROUND(Inputs!$B$10*Inputs!$B$11+NORMSINV(B1162)*SQRT(Inputs!$B$10*Inputs!$B$11),0))</f>
        <v>508</v>
      </c>
      <c r="D1162" s="52">
        <f ca="1">C1162*Inputs!$B$12</f>
        <v>60960000</v>
      </c>
    </row>
    <row r="1163" spans="1:4" ht="13.5" customHeight="1" x14ac:dyDescent="0.3">
      <c r="A1163" s="46">
        <v>1159</v>
      </c>
      <c r="B1163" s="47">
        <f t="shared" ca="1" si="18"/>
        <v>0.27992094741762841</v>
      </c>
      <c r="C1163" s="48">
        <f t="array" aca="1" ref="C1163" ca="1">MAX(0,ROUND(Inputs!$B$10*Inputs!$B$11+NORMSINV(B1163)*SQRT(Inputs!$B$10*Inputs!$B$11),0))</f>
        <v>487</v>
      </c>
      <c r="D1163" s="49">
        <f ca="1">C1163*Inputs!$B$12</f>
        <v>58440000</v>
      </c>
    </row>
    <row r="1164" spans="1:4" ht="13.5" customHeight="1" x14ac:dyDescent="0.3">
      <c r="A1164" s="50">
        <v>1160</v>
      </c>
      <c r="B1164" s="51">
        <f t="shared" ca="1" si="18"/>
        <v>0.88325010571706974</v>
      </c>
      <c r="C1164" s="48">
        <f t="array" aca="1" ref="C1164" ca="1">MAX(0,ROUND(Inputs!$B$10*Inputs!$B$11+NORMSINV(B1164)*SQRT(Inputs!$B$10*Inputs!$B$11),0))</f>
        <v>527</v>
      </c>
      <c r="D1164" s="52">
        <f ca="1">C1164*Inputs!$B$12</f>
        <v>63240000</v>
      </c>
    </row>
    <row r="1165" spans="1:4" ht="13.5" customHeight="1" x14ac:dyDescent="0.3">
      <c r="A1165" s="46">
        <v>1161</v>
      </c>
      <c r="B1165" s="47">
        <f t="shared" ca="1" si="18"/>
        <v>0.52233455810149554</v>
      </c>
      <c r="C1165" s="48">
        <f t="array" aca="1" ref="C1165" ca="1">MAX(0,ROUND(Inputs!$B$10*Inputs!$B$11+NORMSINV(B1165)*SQRT(Inputs!$B$10*Inputs!$B$11),0))</f>
        <v>501</v>
      </c>
      <c r="D1165" s="49">
        <f ca="1">C1165*Inputs!$B$12</f>
        <v>60120000</v>
      </c>
    </row>
    <row r="1166" spans="1:4" ht="13.5" customHeight="1" x14ac:dyDescent="0.3">
      <c r="A1166" s="50">
        <v>1162</v>
      </c>
      <c r="B1166" s="51">
        <f t="shared" ca="1" si="18"/>
        <v>0.23253572927045518</v>
      </c>
      <c r="C1166" s="48">
        <f t="array" aca="1" ref="C1166" ca="1">MAX(0,ROUND(Inputs!$B$10*Inputs!$B$11+NORMSINV(B1166)*SQRT(Inputs!$B$10*Inputs!$B$11),0))</f>
        <v>484</v>
      </c>
      <c r="D1166" s="52">
        <f ca="1">C1166*Inputs!$B$12</f>
        <v>58080000</v>
      </c>
    </row>
    <row r="1167" spans="1:4" ht="13.5" customHeight="1" x14ac:dyDescent="0.3">
      <c r="A1167" s="46">
        <v>1163</v>
      </c>
      <c r="B1167" s="47">
        <f t="shared" ca="1" si="18"/>
        <v>0.38093587847892618</v>
      </c>
      <c r="C1167" s="48">
        <f t="array" aca="1" ref="C1167" ca="1">MAX(0,ROUND(Inputs!$B$10*Inputs!$B$11+NORMSINV(B1167)*SQRT(Inputs!$B$10*Inputs!$B$11),0))</f>
        <v>493</v>
      </c>
      <c r="D1167" s="49">
        <f ca="1">C1167*Inputs!$B$12</f>
        <v>59160000</v>
      </c>
    </row>
    <row r="1168" spans="1:4" ht="13.5" customHeight="1" x14ac:dyDescent="0.3">
      <c r="A1168" s="50">
        <v>1164</v>
      </c>
      <c r="B1168" s="51">
        <f t="shared" ca="1" si="18"/>
        <v>0.68711534341340041</v>
      </c>
      <c r="C1168" s="48">
        <f t="array" aca="1" ref="C1168" ca="1">MAX(0,ROUND(Inputs!$B$10*Inputs!$B$11+NORMSINV(B1168)*SQRT(Inputs!$B$10*Inputs!$B$11),0))</f>
        <v>511</v>
      </c>
      <c r="D1168" s="52">
        <f ca="1">C1168*Inputs!$B$12</f>
        <v>61320000</v>
      </c>
    </row>
    <row r="1169" spans="1:4" ht="13.5" customHeight="1" x14ac:dyDescent="0.3">
      <c r="A1169" s="46">
        <v>1165</v>
      </c>
      <c r="B1169" s="47">
        <f t="shared" ca="1" si="18"/>
        <v>0.27847168683003165</v>
      </c>
      <c r="C1169" s="48">
        <f t="array" aca="1" ref="C1169" ca="1">MAX(0,ROUND(Inputs!$B$10*Inputs!$B$11+NORMSINV(B1169)*SQRT(Inputs!$B$10*Inputs!$B$11),0))</f>
        <v>487</v>
      </c>
      <c r="D1169" s="49">
        <f ca="1">C1169*Inputs!$B$12</f>
        <v>58440000</v>
      </c>
    </row>
    <row r="1170" spans="1:4" ht="13.5" customHeight="1" x14ac:dyDescent="0.3">
      <c r="A1170" s="50">
        <v>1166</v>
      </c>
      <c r="B1170" s="51">
        <f t="shared" ca="1" si="18"/>
        <v>0.43520961603774333</v>
      </c>
      <c r="C1170" s="48">
        <f t="array" aca="1" ref="C1170" ca="1">MAX(0,ROUND(Inputs!$B$10*Inputs!$B$11+NORMSINV(B1170)*SQRT(Inputs!$B$10*Inputs!$B$11),0))</f>
        <v>496</v>
      </c>
      <c r="D1170" s="52">
        <f ca="1">C1170*Inputs!$B$12</f>
        <v>59520000</v>
      </c>
    </row>
    <row r="1171" spans="1:4" ht="13.5" customHeight="1" x14ac:dyDescent="0.3">
      <c r="A1171" s="46">
        <v>1167</v>
      </c>
      <c r="B1171" s="47">
        <f t="shared" ca="1" si="18"/>
        <v>0.63232175735969343</v>
      </c>
      <c r="C1171" s="48">
        <f t="array" aca="1" ref="C1171" ca="1">MAX(0,ROUND(Inputs!$B$10*Inputs!$B$11+NORMSINV(B1171)*SQRT(Inputs!$B$10*Inputs!$B$11),0))</f>
        <v>508</v>
      </c>
      <c r="D1171" s="49">
        <f ca="1">C1171*Inputs!$B$12</f>
        <v>60960000</v>
      </c>
    </row>
    <row r="1172" spans="1:4" ht="13.5" customHeight="1" x14ac:dyDescent="0.3">
      <c r="A1172" s="50">
        <v>1168</v>
      </c>
      <c r="B1172" s="51">
        <f t="shared" ca="1" si="18"/>
        <v>3.8902898003991049E-2</v>
      </c>
      <c r="C1172" s="48">
        <f t="array" aca="1" ref="C1172" ca="1">MAX(0,ROUND(Inputs!$B$10*Inputs!$B$11+NORMSINV(B1172)*SQRT(Inputs!$B$10*Inputs!$B$11),0))</f>
        <v>461</v>
      </c>
      <c r="D1172" s="52">
        <f ca="1">C1172*Inputs!$B$12</f>
        <v>55320000</v>
      </c>
    </row>
    <row r="1173" spans="1:4" ht="13.5" customHeight="1" x14ac:dyDescent="0.3">
      <c r="A1173" s="46">
        <v>1169</v>
      </c>
      <c r="B1173" s="47">
        <f t="shared" ca="1" si="18"/>
        <v>0.24682402754552812</v>
      </c>
      <c r="C1173" s="48">
        <f t="array" aca="1" ref="C1173" ca="1">MAX(0,ROUND(Inputs!$B$10*Inputs!$B$11+NORMSINV(B1173)*SQRT(Inputs!$B$10*Inputs!$B$11),0))</f>
        <v>485</v>
      </c>
      <c r="D1173" s="49">
        <f ca="1">C1173*Inputs!$B$12</f>
        <v>58200000</v>
      </c>
    </row>
    <row r="1174" spans="1:4" ht="13.5" customHeight="1" x14ac:dyDescent="0.3">
      <c r="A1174" s="50">
        <v>1170</v>
      </c>
      <c r="B1174" s="51">
        <f t="shared" ca="1" si="18"/>
        <v>0.62030391433684162</v>
      </c>
      <c r="C1174" s="48">
        <f t="array" aca="1" ref="C1174" ca="1">MAX(0,ROUND(Inputs!$B$10*Inputs!$B$11+NORMSINV(B1174)*SQRT(Inputs!$B$10*Inputs!$B$11),0))</f>
        <v>507</v>
      </c>
      <c r="D1174" s="52">
        <f ca="1">C1174*Inputs!$B$12</f>
        <v>60840000</v>
      </c>
    </row>
    <row r="1175" spans="1:4" ht="13.5" customHeight="1" x14ac:dyDescent="0.3">
      <c r="A1175" s="46">
        <v>1171</v>
      </c>
      <c r="B1175" s="47">
        <f t="shared" ca="1" si="18"/>
        <v>0.53386732325361741</v>
      </c>
      <c r="C1175" s="48">
        <f t="array" aca="1" ref="C1175" ca="1">MAX(0,ROUND(Inputs!$B$10*Inputs!$B$11+NORMSINV(B1175)*SQRT(Inputs!$B$10*Inputs!$B$11),0))</f>
        <v>502</v>
      </c>
      <c r="D1175" s="49">
        <f ca="1">C1175*Inputs!$B$12</f>
        <v>60240000</v>
      </c>
    </row>
    <row r="1176" spans="1:4" ht="13.5" customHeight="1" x14ac:dyDescent="0.3">
      <c r="A1176" s="50">
        <v>1172</v>
      </c>
      <c r="B1176" s="51">
        <f t="shared" ca="1" si="18"/>
        <v>0.84689838604655721</v>
      </c>
      <c r="C1176" s="48">
        <f t="array" aca="1" ref="C1176" ca="1">MAX(0,ROUND(Inputs!$B$10*Inputs!$B$11+NORMSINV(B1176)*SQRT(Inputs!$B$10*Inputs!$B$11),0))</f>
        <v>523</v>
      </c>
      <c r="D1176" s="52">
        <f ca="1">C1176*Inputs!$B$12</f>
        <v>62760000</v>
      </c>
    </row>
    <row r="1177" spans="1:4" ht="13.5" customHeight="1" x14ac:dyDescent="0.3">
      <c r="A1177" s="46">
        <v>1173</v>
      </c>
      <c r="B1177" s="47">
        <f t="shared" ca="1" si="18"/>
        <v>0.25224761419572705</v>
      </c>
      <c r="C1177" s="48">
        <f t="array" aca="1" ref="C1177" ca="1">MAX(0,ROUND(Inputs!$B$10*Inputs!$B$11+NORMSINV(B1177)*SQRT(Inputs!$B$10*Inputs!$B$11),0))</f>
        <v>485</v>
      </c>
      <c r="D1177" s="49">
        <f ca="1">C1177*Inputs!$B$12</f>
        <v>58200000</v>
      </c>
    </row>
    <row r="1178" spans="1:4" ht="13.5" customHeight="1" x14ac:dyDescent="0.3">
      <c r="A1178" s="50">
        <v>1174</v>
      </c>
      <c r="B1178" s="51">
        <f t="shared" ca="1" si="18"/>
        <v>0.20908592688316718</v>
      </c>
      <c r="C1178" s="48">
        <f t="array" aca="1" ref="C1178" ca="1">MAX(0,ROUND(Inputs!$B$10*Inputs!$B$11+NORMSINV(B1178)*SQRT(Inputs!$B$10*Inputs!$B$11),0))</f>
        <v>482</v>
      </c>
      <c r="D1178" s="52">
        <f ca="1">C1178*Inputs!$B$12</f>
        <v>57840000</v>
      </c>
    </row>
    <row r="1179" spans="1:4" ht="13.5" customHeight="1" x14ac:dyDescent="0.3">
      <c r="A1179" s="46">
        <v>1175</v>
      </c>
      <c r="B1179" s="47">
        <f t="shared" ca="1" si="18"/>
        <v>0.1145129327558686</v>
      </c>
      <c r="C1179" s="48">
        <f t="array" aca="1" ref="C1179" ca="1">MAX(0,ROUND(Inputs!$B$10*Inputs!$B$11+NORMSINV(B1179)*SQRT(Inputs!$B$10*Inputs!$B$11),0))</f>
        <v>473</v>
      </c>
      <c r="D1179" s="49">
        <f ca="1">C1179*Inputs!$B$12</f>
        <v>56760000</v>
      </c>
    </row>
    <row r="1180" spans="1:4" ht="13.5" customHeight="1" x14ac:dyDescent="0.3">
      <c r="A1180" s="50">
        <v>1176</v>
      </c>
      <c r="B1180" s="51">
        <f t="shared" ca="1" si="18"/>
        <v>0.3616266059785902</v>
      </c>
      <c r="C1180" s="48">
        <f t="array" aca="1" ref="C1180" ca="1">MAX(0,ROUND(Inputs!$B$10*Inputs!$B$11+NORMSINV(B1180)*SQRT(Inputs!$B$10*Inputs!$B$11),0))</f>
        <v>492</v>
      </c>
      <c r="D1180" s="52">
        <f ca="1">C1180*Inputs!$B$12</f>
        <v>59040000</v>
      </c>
    </row>
    <row r="1181" spans="1:4" ht="13.5" customHeight="1" x14ac:dyDescent="0.3">
      <c r="A1181" s="46">
        <v>1177</v>
      </c>
      <c r="B1181" s="47">
        <f t="shared" ca="1" si="18"/>
        <v>0.94632224757035444</v>
      </c>
      <c r="C1181" s="48">
        <f t="array" aca="1" ref="C1181" ca="1">MAX(0,ROUND(Inputs!$B$10*Inputs!$B$11+NORMSINV(B1181)*SQRT(Inputs!$B$10*Inputs!$B$11),0))</f>
        <v>536</v>
      </c>
      <c r="D1181" s="49">
        <f ca="1">C1181*Inputs!$B$12</f>
        <v>64320000</v>
      </c>
    </row>
    <row r="1182" spans="1:4" ht="13.5" customHeight="1" x14ac:dyDescent="0.3">
      <c r="A1182" s="50">
        <v>1178</v>
      </c>
      <c r="B1182" s="51">
        <f t="shared" ca="1" si="18"/>
        <v>0.38452897245541096</v>
      </c>
      <c r="C1182" s="48">
        <f t="array" aca="1" ref="C1182" ca="1">MAX(0,ROUND(Inputs!$B$10*Inputs!$B$11+NORMSINV(B1182)*SQRT(Inputs!$B$10*Inputs!$B$11),0))</f>
        <v>493</v>
      </c>
      <c r="D1182" s="52">
        <f ca="1">C1182*Inputs!$B$12</f>
        <v>59160000</v>
      </c>
    </row>
    <row r="1183" spans="1:4" ht="13.5" customHeight="1" x14ac:dyDescent="0.3">
      <c r="A1183" s="46">
        <v>1179</v>
      </c>
      <c r="B1183" s="47">
        <f t="shared" ca="1" si="18"/>
        <v>0.54502199309826793</v>
      </c>
      <c r="C1183" s="48">
        <f t="array" aca="1" ref="C1183" ca="1">MAX(0,ROUND(Inputs!$B$10*Inputs!$B$11+NORMSINV(B1183)*SQRT(Inputs!$B$10*Inputs!$B$11),0))</f>
        <v>503</v>
      </c>
      <c r="D1183" s="49">
        <f ca="1">C1183*Inputs!$B$12</f>
        <v>60360000</v>
      </c>
    </row>
    <row r="1184" spans="1:4" ht="13.5" customHeight="1" x14ac:dyDescent="0.3">
      <c r="A1184" s="50">
        <v>1180</v>
      </c>
      <c r="B1184" s="51">
        <f t="shared" ca="1" si="18"/>
        <v>0.76703235131965108</v>
      </c>
      <c r="C1184" s="48">
        <f t="array" aca="1" ref="C1184" ca="1">MAX(0,ROUND(Inputs!$B$10*Inputs!$B$11+NORMSINV(B1184)*SQRT(Inputs!$B$10*Inputs!$B$11),0))</f>
        <v>516</v>
      </c>
      <c r="D1184" s="52">
        <f ca="1">C1184*Inputs!$B$12</f>
        <v>61920000</v>
      </c>
    </row>
    <row r="1185" spans="1:4" ht="13.5" customHeight="1" x14ac:dyDescent="0.3">
      <c r="A1185" s="46">
        <v>1181</v>
      </c>
      <c r="B1185" s="47">
        <f t="shared" ca="1" si="18"/>
        <v>0.44691088090783615</v>
      </c>
      <c r="C1185" s="48">
        <f t="array" aca="1" ref="C1185" ca="1">MAX(0,ROUND(Inputs!$B$10*Inputs!$B$11+NORMSINV(B1185)*SQRT(Inputs!$B$10*Inputs!$B$11),0))</f>
        <v>497</v>
      </c>
      <c r="D1185" s="49">
        <f ca="1">C1185*Inputs!$B$12</f>
        <v>59640000</v>
      </c>
    </row>
    <row r="1186" spans="1:4" ht="13.5" customHeight="1" x14ac:dyDescent="0.3">
      <c r="A1186" s="50">
        <v>1182</v>
      </c>
      <c r="B1186" s="51">
        <f t="shared" ca="1" si="18"/>
        <v>2.9557964296489381E-2</v>
      </c>
      <c r="C1186" s="48">
        <f t="array" aca="1" ref="C1186" ca="1">MAX(0,ROUND(Inputs!$B$10*Inputs!$B$11+NORMSINV(B1186)*SQRT(Inputs!$B$10*Inputs!$B$11),0))</f>
        <v>458</v>
      </c>
      <c r="D1186" s="52">
        <f ca="1">C1186*Inputs!$B$12</f>
        <v>54960000</v>
      </c>
    </row>
    <row r="1187" spans="1:4" ht="13.5" customHeight="1" x14ac:dyDescent="0.3">
      <c r="A1187" s="46">
        <v>1183</v>
      </c>
      <c r="B1187" s="47">
        <f t="shared" ca="1" si="18"/>
        <v>0.56296896020808607</v>
      </c>
      <c r="C1187" s="48">
        <f t="array" aca="1" ref="C1187" ca="1">MAX(0,ROUND(Inputs!$B$10*Inputs!$B$11+NORMSINV(B1187)*SQRT(Inputs!$B$10*Inputs!$B$11),0))</f>
        <v>504</v>
      </c>
      <c r="D1187" s="49">
        <f ca="1">C1187*Inputs!$B$12</f>
        <v>60480000</v>
      </c>
    </row>
    <row r="1188" spans="1:4" ht="13.5" customHeight="1" x14ac:dyDescent="0.3">
      <c r="A1188" s="50">
        <v>1184</v>
      </c>
      <c r="B1188" s="51">
        <f t="shared" ca="1" si="18"/>
        <v>0.88153218787373988</v>
      </c>
      <c r="C1188" s="48">
        <f t="array" aca="1" ref="C1188" ca="1">MAX(0,ROUND(Inputs!$B$10*Inputs!$B$11+NORMSINV(B1188)*SQRT(Inputs!$B$10*Inputs!$B$11),0))</f>
        <v>526</v>
      </c>
      <c r="D1188" s="52">
        <f ca="1">C1188*Inputs!$B$12</f>
        <v>63120000</v>
      </c>
    </row>
    <row r="1189" spans="1:4" ht="13.5" customHeight="1" x14ac:dyDescent="0.3">
      <c r="A1189" s="46">
        <v>1185</v>
      </c>
      <c r="B1189" s="47">
        <f t="shared" ca="1" si="18"/>
        <v>0.29731701915262509</v>
      </c>
      <c r="C1189" s="48">
        <f t="array" aca="1" ref="C1189" ca="1">MAX(0,ROUND(Inputs!$B$10*Inputs!$B$11+NORMSINV(B1189)*SQRT(Inputs!$B$10*Inputs!$B$11),0))</f>
        <v>488</v>
      </c>
      <c r="D1189" s="49">
        <f ca="1">C1189*Inputs!$B$12</f>
        <v>58560000</v>
      </c>
    </row>
    <row r="1190" spans="1:4" ht="13.5" customHeight="1" x14ac:dyDescent="0.3">
      <c r="A1190" s="50">
        <v>1186</v>
      </c>
      <c r="B1190" s="51">
        <f t="shared" ca="1" si="18"/>
        <v>0.42647035878102679</v>
      </c>
      <c r="C1190" s="48">
        <f t="array" aca="1" ref="C1190" ca="1">MAX(0,ROUND(Inputs!$B$10*Inputs!$B$11+NORMSINV(B1190)*SQRT(Inputs!$B$10*Inputs!$B$11),0))</f>
        <v>496</v>
      </c>
      <c r="D1190" s="52">
        <f ca="1">C1190*Inputs!$B$12</f>
        <v>59520000</v>
      </c>
    </row>
    <row r="1191" spans="1:4" ht="13.5" customHeight="1" x14ac:dyDescent="0.3">
      <c r="A1191" s="46">
        <v>1187</v>
      </c>
      <c r="B1191" s="47">
        <f t="shared" ca="1" si="18"/>
        <v>0.18845241509337651</v>
      </c>
      <c r="C1191" s="48">
        <f t="array" aca="1" ref="C1191" ca="1">MAX(0,ROUND(Inputs!$B$10*Inputs!$B$11+NORMSINV(B1191)*SQRT(Inputs!$B$10*Inputs!$B$11),0))</f>
        <v>480</v>
      </c>
      <c r="D1191" s="49">
        <f ca="1">C1191*Inputs!$B$12</f>
        <v>57600000</v>
      </c>
    </row>
    <row r="1192" spans="1:4" ht="13.5" customHeight="1" x14ac:dyDescent="0.3">
      <c r="A1192" s="50">
        <v>1188</v>
      </c>
      <c r="B1192" s="51">
        <f t="shared" ca="1" si="18"/>
        <v>0.91064123350589188</v>
      </c>
      <c r="C1192" s="48">
        <f t="array" aca="1" ref="C1192" ca="1">MAX(0,ROUND(Inputs!$B$10*Inputs!$B$11+NORMSINV(B1192)*SQRT(Inputs!$B$10*Inputs!$B$11),0))</f>
        <v>530</v>
      </c>
      <c r="D1192" s="52">
        <f ca="1">C1192*Inputs!$B$12</f>
        <v>63600000</v>
      </c>
    </row>
    <row r="1193" spans="1:4" ht="13.5" customHeight="1" x14ac:dyDescent="0.3">
      <c r="A1193" s="46">
        <v>1189</v>
      </c>
      <c r="B1193" s="47">
        <f t="shared" ca="1" si="18"/>
        <v>0.1143720392267058</v>
      </c>
      <c r="C1193" s="48">
        <f t="array" aca="1" ref="C1193" ca="1">MAX(0,ROUND(Inputs!$B$10*Inputs!$B$11+NORMSINV(B1193)*SQRT(Inputs!$B$10*Inputs!$B$11),0))</f>
        <v>473</v>
      </c>
      <c r="D1193" s="49">
        <f ca="1">C1193*Inputs!$B$12</f>
        <v>56760000</v>
      </c>
    </row>
    <row r="1194" spans="1:4" ht="13.5" customHeight="1" x14ac:dyDescent="0.3">
      <c r="A1194" s="50">
        <v>1190</v>
      </c>
      <c r="B1194" s="51">
        <f t="shared" ca="1" si="18"/>
        <v>0.80567836616560018</v>
      </c>
      <c r="C1194" s="48">
        <f t="array" aca="1" ref="C1194" ca="1">MAX(0,ROUND(Inputs!$B$10*Inputs!$B$11+NORMSINV(B1194)*SQRT(Inputs!$B$10*Inputs!$B$11),0))</f>
        <v>519</v>
      </c>
      <c r="D1194" s="52">
        <f ca="1">C1194*Inputs!$B$12</f>
        <v>62280000</v>
      </c>
    </row>
    <row r="1195" spans="1:4" ht="13.5" customHeight="1" x14ac:dyDescent="0.3">
      <c r="A1195" s="46">
        <v>1191</v>
      </c>
      <c r="B1195" s="47">
        <f t="shared" ca="1" si="18"/>
        <v>0.50520257483267916</v>
      </c>
      <c r="C1195" s="48">
        <f t="array" aca="1" ref="C1195" ca="1">MAX(0,ROUND(Inputs!$B$10*Inputs!$B$11+NORMSINV(B1195)*SQRT(Inputs!$B$10*Inputs!$B$11),0))</f>
        <v>500</v>
      </c>
      <c r="D1195" s="49">
        <f ca="1">C1195*Inputs!$B$12</f>
        <v>60000000</v>
      </c>
    </row>
    <row r="1196" spans="1:4" ht="13.5" customHeight="1" x14ac:dyDescent="0.3">
      <c r="A1196" s="50">
        <v>1192</v>
      </c>
      <c r="B1196" s="51">
        <f t="shared" ca="1" si="18"/>
        <v>0.47585803344989863</v>
      </c>
      <c r="C1196" s="48">
        <f t="array" aca="1" ref="C1196" ca="1">MAX(0,ROUND(Inputs!$B$10*Inputs!$B$11+NORMSINV(B1196)*SQRT(Inputs!$B$10*Inputs!$B$11),0))</f>
        <v>499</v>
      </c>
      <c r="D1196" s="52">
        <f ca="1">C1196*Inputs!$B$12</f>
        <v>59880000</v>
      </c>
    </row>
    <row r="1197" spans="1:4" ht="13.5" customHeight="1" x14ac:dyDescent="0.3">
      <c r="A1197" s="46">
        <v>1193</v>
      </c>
      <c r="B1197" s="47">
        <f t="shared" ca="1" si="18"/>
        <v>0.60317744742027279</v>
      </c>
      <c r="C1197" s="48">
        <f t="array" aca="1" ref="C1197" ca="1">MAX(0,ROUND(Inputs!$B$10*Inputs!$B$11+NORMSINV(B1197)*SQRT(Inputs!$B$10*Inputs!$B$11),0))</f>
        <v>506</v>
      </c>
      <c r="D1197" s="49">
        <f ca="1">C1197*Inputs!$B$12</f>
        <v>60720000</v>
      </c>
    </row>
    <row r="1198" spans="1:4" ht="13.5" customHeight="1" x14ac:dyDescent="0.3">
      <c r="A1198" s="50">
        <v>1194</v>
      </c>
      <c r="B1198" s="51">
        <f t="shared" ca="1" si="18"/>
        <v>0.36319925714635937</v>
      </c>
      <c r="C1198" s="48">
        <f t="array" aca="1" ref="C1198" ca="1">MAX(0,ROUND(Inputs!$B$10*Inputs!$B$11+NORMSINV(B1198)*SQRT(Inputs!$B$10*Inputs!$B$11),0))</f>
        <v>492</v>
      </c>
      <c r="D1198" s="52">
        <f ca="1">C1198*Inputs!$B$12</f>
        <v>59040000</v>
      </c>
    </row>
    <row r="1199" spans="1:4" ht="13.5" customHeight="1" x14ac:dyDescent="0.3">
      <c r="A1199" s="46">
        <v>1195</v>
      </c>
      <c r="B1199" s="47">
        <f t="shared" ca="1" si="18"/>
        <v>0.37160679151258136</v>
      </c>
      <c r="C1199" s="48">
        <f t="array" aca="1" ref="C1199" ca="1">MAX(0,ROUND(Inputs!$B$10*Inputs!$B$11+NORMSINV(B1199)*SQRT(Inputs!$B$10*Inputs!$B$11),0))</f>
        <v>493</v>
      </c>
      <c r="D1199" s="49">
        <f ca="1">C1199*Inputs!$B$12</f>
        <v>59160000</v>
      </c>
    </row>
    <row r="1200" spans="1:4" ht="13.5" customHeight="1" x14ac:dyDescent="0.3">
      <c r="A1200" s="50">
        <v>1196</v>
      </c>
      <c r="B1200" s="51">
        <f t="shared" ca="1" si="18"/>
        <v>0.44781739876753757</v>
      </c>
      <c r="C1200" s="48">
        <f t="array" aca="1" ref="C1200" ca="1">MAX(0,ROUND(Inputs!$B$10*Inputs!$B$11+NORMSINV(B1200)*SQRT(Inputs!$B$10*Inputs!$B$11),0))</f>
        <v>497</v>
      </c>
      <c r="D1200" s="52">
        <f ca="1">C1200*Inputs!$B$12</f>
        <v>59640000</v>
      </c>
    </row>
    <row r="1201" spans="1:4" ht="13.5" customHeight="1" x14ac:dyDescent="0.3">
      <c r="A1201" s="46">
        <v>1197</v>
      </c>
      <c r="B1201" s="47">
        <f t="shared" ca="1" si="18"/>
        <v>0.13142712703286452</v>
      </c>
      <c r="C1201" s="48">
        <f t="array" aca="1" ref="C1201" ca="1">MAX(0,ROUND(Inputs!$B$10*Inputs!$B$11+NORMSINV(B1201)*SQRT(Inputs!$B$10*Inputs!$B$11),0))</f>
        <v>475</v>
      </c>
      <c r="D1201" s="49">
        <f ca="1">C1201*Inputs!$B$12</f>
        <v>57000000</v>
      </c>
    </row>
    <row r="1202" spans="1:4" ht="13.5" customHeight="1" x14ac:dyDescent="0.3">
      <c r="A1202" s="50">
        <v>1198</v>
      </c>
      <c r="B1202" s="51">
        <f t="shared" ca="1" si="18"/>
        <v>0.46701402158387373</v>
      </c>
      <c r="C1202" s="48">
        <f t="array" aca="1" ref="C1202" ca="1">MAX(0,ROUND(Inputs!$B$10*Inputs!$B$11+NORMSINV(B1202)*SQRT(Inputs!$B$10*Inputs!$B$11),0))</f>
        <v>498</v>
      </c>
      <c r="D1202" s="52">
        <f ca="1">C1202*Inputs!$B$12</f>
        <v>59760000</v>
      </c>
    </row>
    <row r="1203" spans="1:4" ht="13.5" customHeight="1" x14ac:dyDescent="0.3">
      <c r="A1203" s="46">
        <v>1199</v>
      </c>
      <c r="B1203" s="47">
        <f t="shared" ca="1" si="18"/>
        <v>0.99808544955263967</v>
      </c>
      <c r="C1203" s="48">
        <f t="array" aca="1" ref="C1203" ca="1">MAX(0,ROUND(Inputs!$B$10*Inputs!$B$11+NORMSINV(B1203)*SQRT(Inputs!$B$10*Inputs!$B$11),0))</f>
        <v>565</v>
      </c>
      <c r="D1203" s="49">
        <f ca="1">C1203*Inputs!$B$12</f>
        <v>67800000</v>
      </c>
    </row>
    <row r="1204" spans="1:4" ht="13.5" customHeight="1" x14ac:dyDescent="0.3">
      <c r="A1204" s="50">
        <v>1200</v>
      </c>
      <c r="B1204" s="51">
        <f t="shared" ca="1" si="18"/>
        <v>0.54019139184873499</v>
      </c>
      <c r="C1204" s="48">
        <f t="array" aca="1" ref="C1204" ca="1">MAX(0,ROUND(Inputs!$B$10*Inputs!$B$11+NORMSINV(B1204)*SQRT(Inputs!$B$10*Inputs!$B$11),0))</f>
        <v>502</v>
      </c>
      <c r="D1204" s="52">
        <f ca="1">C1204*Inputs!$B$12</f>
        <v>60240000</v>
      </c>
    </row>
    <row r="1205" spans="1:4" ht="13.5" customHeight="1" x14ac:dyDescent="0.3">
      <c r="A1205" s="46">
        <v>1201</v>
      </c>
      <c r="B1205" s="47">
        <f t="shared" ca="1" si="18"/>
        <v>0.53398448060565007</v>
      </c>
      <c r="C1205" s="48">
        <f t="array" aca="1" ref="C1205" ca="1">MAX(0,ROUND(Inputs!$B$10*Inputs!$B$11+NORMSINV(B1205)*SQRT(Inputs!$B$10*Inputs!$B$11),0))</f>
        <v>502</v>
      </c>
      <c r="D1205" s="49">
        <f ca="1">C1205*Inputs!$B$12</f>
        <v>60240000</v>
      </c>
    </row>
    <row r="1206" spans="1:4" ht="13.5" customHeight="1" x14ac:dyDescent="0.3">
      <c r="A1206" s="50">
        <v>1202</v>
      </c>
      <c r="B1206" s="51">
        <f t="shared" ca="1" si="18"/>
        <v>0.38021943418312443</v>
      </c>
      <c r="C1206" s="48">
        <f t="array" aca="1" ref="C1206" ca="1">MAX(0,ROUND(Inputs!$B$10*Inputs!$B$11+NORMSINV(B1206)*SQRT(Inputs!$B$10*Inputs!$B$11),0))</f>
        <v>493</v>
      </c>
      <c r="D1206" s="52">
        <f ca="1">C1206*Inputs!$B$12</f>
        <v>59160000</v>
      </c>
    </row>
    <row r="1207" spans="1:4" ht="13.5" customHeight="1" x14ac:dyDescent="0.3">
      <c r="A1207" s="46">
        <v>1203</v>
      </c>
      <c r="B1207" s="47">
        <f t="shared" ca="1" si="18"/>
        <v>0.31065010346700872</v>
      </c>
      <c r="C1207" s="48">
        <f t="array" aca="1" ref="C1207" ca="1">MAX(0,ROUND(Inputs!$B$10*Inputs!$B$11+NORMSINV(B1207)*SQRT(Inputs!$B$10*Inputs!$B$11),0))</f>
        <v>489</v>
      </c>
      <c r="D1207" s="49">
        <f ca="1">C1207*Inputs!$B$12</f>
        <v>58680000</v>
      </c>
    </row>
    <row r="1208" spans="1:4" ht="13.5" customHeight="1" x14ac:dyDescent="0.3">
      <c r="A1208" s="50">
        <v>1204</v>
      </c>
      <c r="B1208" s="51">
        <f t="shared" ca="1" si="18"/>
        <v>0.67080994954885775</v>
      </c>
      <c r="C1208" s="48">
        <f t="array" aca="1" ref="C1208" ca="1">MAX(0,ROUND(Inputs!$B$10*Inputs!$B$11+NORMSINV(B1208)*SQRT(Inputs!$B$10*Inputs!$B$11),0))</f>
        <v>510</v>
      </c>
      <c r="D1208" s="52">
        <f ca="1">C1208*Inputs!$B$12</f>
        <v>61200000</v>
      </c>
    </row>
    <row r="1209" spans="1:4" ht="13.5" customHeight="1" x14ac:dyDescent="0.3">
      <c r="A1209" s="46">
        <v>1205</v>
      </c>
      <c r="B1209" s="47">
        <f t="shared" ca="1" si="18"/>
        <v>6.4217728577494526E-2</v>
      </c>
      <c r="C1209" s="48">
        <f t="array" aca="1" ref="C1209" ca="1">MAX(0,ROUND(Inputs!$B$10*Inputs!$B$11+NORMSINV(B1209)*SQRT(Inputs!$B$10*Inputs!$B$11),0))</f>
        <v>466</v>
      </c>
      <c r="D1209" s="49">
        <f ca="1">C1209*Inputs!$B$12</f>
        <v>55920000</v>
      </c>
    </row>
    <row r="1210" spans="1:4" ht="13.5" customHeight="1" x14ac:dyDescent="0.3">
      <c r="A1210" s="50">
        <v>1206</v>
      </c>
      <c r="B1210" s="51">
        <f t="shared" ca="1" si="18"/>
        <v>0.32648107191871623</v>
      </c>
      <c r="C1210" s="48">
        <f t="array" aca="1" ref="C1210" ca="1">MAX(0,ROUND(Inputs!$B$10*Inputs!$B$11+NORMSINV(B1210)*SQRT(Inputs!$B$10*Inputs!$B$11),0))</f>
        <v>490</v>
      </c>
      <c r="D1210" s="52">
        <f ca="1">C1210*Inputs!$B$12</f>
        <v>58800000</v>
      </c>
    </row>
    <row r="1211" spans="1:4" ht="13.5" customHeight="1" x14ac:dyDescent="0.3">
      <c r="A1211" s="46">
        <v>1207</v>
      </c>
      <c r="B1211" s="47">
        <f t="shared" ca="1" si="18"/>
        <v>0.43624362958717022</v>
      </c>
      <c r="C1211" s="48">
        <f t="array" aca="1" ref="C1211" ca="1">MAX(0,ROUND(Inputs!$B$10*Inputs!$B$11+NORMSINV(B1211)*SQRT(Inputs!$B$10*Inputs!$B$11),0))</f>
        <v>496</v>
      </c>
      <c r="D1211" s="49">
        <f ca="1">C1211*Inputs!$B$12</f>
        <v>59520000</v>
      </c>
    </row>
    <row r="1212" spans="1:4" ht="13.5" customHeight="1" x14ac:dyDescent="0.3">
      <c r="A1212" s="50">
        <v>1208</v>
      </c>
      <c r="B1212" s="51">
        <f t="shared" ca="1" si="18"/>
        <v>0.92084498293886663</v>
      </c>
      <c r="C1212" s="48">
        <f t="array" aca="1" ref="C1212" ca="1">MAX(0,ROUND(Inputs!$B$10*Inputs!$B$11+NORMSINV(B1212)*SQRT(Inputs!$B$10*Inputs!$B$11),0))</f>
        <v>532</v>
      </c>
      <c r="D1212" s="52">
        <f ca="1">C1212*Inputs!$B$12</f>
        <v>63840000</v>
      </c>
    </row>
    <row r="1213" spans="1:4" ht="13.5" customHeight="1" x14ac:dyDescent="0.3">
      <c r="A1213" s="46">
        <v>1209</v>
      </c>
      <c r="B1213" s="47">
        <f t="shared" ca="1" si="18"/>
        <v>0.75045969316304084</v>
      </c>
      <c r="C1213" s="48">
        <f t="array" aca="1" ref="C1213" ca="1">MAX(0,ROUND(Inputs!$B$10*Inputs!$B$11+NORMSINV(B1213)*SQRT(Inputs!$B$10*Inputs!$B$11),0))</f>
        <v>515</v>
      </c>
      <c r="D1213" s="49">
        <f ca="1">C1213*Inputs!$B$12</f>
        <v>61800000</v>
      </c>
    </row>
    <row r="1214" spans="1:4" ht="13.5" customHeight="1" x14ac:dyDescent="0.3">
      <c r="A1214" s="50">
        <v>1210</v>
      </c>
      <c r="B1214" s="51">
        <f t="shared" ca="1" si="18"/>
        <v>0.63843645355330192</v>
      </c>
      <c r="C1214" s="48">
        <f t="array" aca="1" ref="C1214" ca="1">MAX(0,ROUND(Inputs!$B$10*Inputs!$B$11+NORMSINV(B1214)*SQRT(Inputs!$B$10*Inputs!$B$11),0))</f>
        <v>508</v>
      </c>
      <c r="D1214" s="52">
        <f ca="1">C1214*Inputs!$B$12</f>
        <v>60960000</v>
      </c>
    </row>
    <row r="1215" spans="1:4" ht="13.5" customHeight="1" x14ac:dyDescent="0.3">
      <c r="A1215" s="46">
        <v>1211</v>
      </c>
      <c r="B1215" s="47">
        <f t="shared" ca="1" si="18"/>
        <v>0.13047666465222352</v>
      </c>
      <c r="C1215" s="48">
        <f t="array" aca="1" ref="C1215" ca="1">MAX(0,ROUND(Inputs!$B$10*Inputs!$B$11+NORMSINV(B1215)*SQRT(Inputs!$B$10*Inputs!$B$11),0))</f>
        <v>475</v>
      </c>
      <c r="D1215" s="49">
        <f ca="1">C1215*Inputs!$B$12</f>
        <v>57000000</v>
      </c>
    </row>
    <row r="1216" spans="1:4" ht="13.5" customHeight="1" x14ac:dyDescent="0.3">
      <c r="A1216" s="50">
        <v>1212</v>
      </c>
      <c r="B1216" s="51">
        <f t="shared" ca="1" si="18"/>
        <v>0.25963551381057803</v>
      </c>
      <c r="C1216" s="48">
        <f t="array" aca="1" ref="C1216" ca="1">MAX(0,ROUND(Inputs!$B$10*Inputs!$B$11+NORMSINV(B1216)*SQRT(Inputs!$B$10*Inputs!$B$11),0))</f>
        <v>486</v>
      </c>
      <c r="D1216" s="52">
        <f ca="1">C1216*Inputs!$B$12</f>
        <v>58320000</v>
      </c>
    </row>
    <row r="1217" spans="1:4" ht="13.5" customHeight="1" x14ac:dyDescent="0.3">
      <c r="A1217" s="46">
        <v>1213</v>
      </c>
      <c r="B1217" s="47">
        <f t="shared" ca="1" si="18"/>
        <v>0.37189228889009274</v>
      </c>
      <c r="C1217" s="48">
        <f t="array" aca="1" ref="C1217" ca="1">MAX(0,ROUND(Inputs!$B$10*Inputs!$B$11+NORMSINV(B1217)*SQRT(Inputs!$B$10*Inputs!$B$11),0))</f>
        <v>493</v>
      </c>
      <c r="D1217" s="49">
        <f ca="1">C1217*Inputs!$B$12</f>
        <v>59160000</v>
      </c>
    </row>
    <row r="1218" spans="1:4" ht="13.5" customHeight="1" x14ac:dyDescent="0.3">
      <c r="A1218" s="50">
        <v>1214</v>
      </c>
      <c r="B1218" s="51">
        <f t="shared" ca="1" si="18"/>
        <v>8.0427063260701814E-3</v>
      </c>
      <c r="C1218" s="48">
        <f t="array" aca="1" ref="C1218" ca="1">MAX(0,ROUND(Inputs!$B$10*Inputs!$B$11+NORMSINV(B1218)*SQRT(Inputs!$B$10*Inputs!$B$11),0))</f>
        <v>446</v>
      </c>
      <c r="D1218" s="52">
        <f ca="1">C1218*Inputs!$B$12</f>
        <v>53520000</v>
      </c>
    </row>
    <row r="1219" spans="1:4" ht="13.5" customHeight="1" x14ac:dyDescent="0.3">
      <c r="A1219" s="46">
        <v>1215</v>
      </c>
      <c r="B1219" s="47">
        <f t="shared" ca="1" si="18"/>
        <v>0.15169924697927395</v>
      </c>
      <c r="C1219" s="48">
        <f t="array" aca="1" ref="C1219" ca="1">MAX(0,ROUND(Inputs!$B$10*Inputs!$B$11+NORMSINV(B1219)*SQRT(Inputs!$B$10*Inputs!$B$11),0))</f>
        <v>477</v>
      </c>
      <c r="D1219" s="49">
        <f ca="1">C1219*Inputs!$B$12</f>
        <v>57240000</v>
      </c>
    </row>
    <row r="1220" spans="1:4" ht="13.5" customHeight="1" x14ac:dyDescent="0.3">
      <c r="A1220" s="50">
        <v>1216</v>
      </c>
      <c r="B1220" s="51">
        <f t="shared" ca="1" si="18"/>
        <v>0.42110151236373139</v>
      </c>
      <c r="C1220" s="48">
        <f t="array" aca="1" ref="C1220" ca="1">MAX(0,ROUND(Inputs!$B$10*Inputs!$B$11+NORMSINV(B1220)*SQRT(Inputs!$B$10*Inputs!$B$11),0))</f>
        <v>496</v>
      </c>
      <c r="D1220" s="52">
        <f ca="1">C1220*Inputs!$B$12</f>
        <v>59520000</v>
      </c>
    </row>
    <row r="1221" spans="1:4" ht="13.5" customHeight="1" x14ac:dyDescent="0.3">
      <c r="A1221" s="46">
        <v>1217</v>
      </c>
      <c r="B1221" s="47">
        <f t="shared" ref="B1221:B1284" ca="1" si="19">RAND()</f>
        <v>0.68699292608311135</v>
      </c>
      <c r="C1221" s="48">
        <f t="array" aca="1" ref="C1221" ca="1">MAX(0,ROUND(Inputs!$B$10*Inputs!$B$11+NORMSINV(B1221)*SQRT(Inputs!$B$10*Inputs!$B$11),0))</f>
        <v>511</v>
      </c>
      <c r="D1221" s="49">
        <f ca="1">C1221*Inputs!$B$12</f>
        <v>61320000</v>
      </c>
    </row>
    <row r="1222" spans="1:4" ht="13.5" customHeight="1" x14ac:dyDescent="0.3">
      <c r="A1222" s="50">
        <v>1218</v>
      </c>
      <c r="B1222" s="51">
        <f t="shared" ca="1" si="19"/>
        <v>0.3327391129480548</v>
      </c>
      <c r="C1222" s="48">
        <f t="array" aca="1" ref="C1222" ca="1">MAX(0,ROUND(Inputs!$B$10*Inputs!$B$11+NORMSINV(B1222)*SQRT(Inputs!$B$10*Inputs!$B$11),0))</f>
        <v>490</v>
      </c>
      <c r="D1222" s="52">
        <f ca="1">C1222*Inputs!$B$12</f>
        <v>58800000</v>
      </c>
    </row>
    <row r="1223" spans="1:4" ht="13.5" customHeight="1" x14ac:dyDescent="0.3">
      <c r="A1223" s="46">
        <v>1219</v>
      </c>
      <c r="B1223" s="47">
        <f t="shared" ca="1" si="19"/>
        <v>0.91083151230095294</v>
      </c>
      <c r="C1223" s="48">
        <f t="array" aca="1" ref="C1223" ca="1">MAX(0,ROUND(Inputs!$B$10*Inputs!$B$11+NORMSINV(B1223)*SQRT(Inputs!$B$10*Inputs!$B$11),0))</f>
        <v>530</v>
      </c>
      <c r="D1223" s="49">
        <f ca="1">C1223*Inputs!$B$12</f>
        <v>63600000</v>
      </c>
    </row>
    <row r="1224" spans="1:4" ht="13.5" customHeight="1" x14ac:dyDescent="0.3">
      <c r="A1224" s="50">
        <v>1220</v>
      </c>
      <c r="B1224" s="51">
        <f t="shared" ca="1" si="19"/>
        <v>0.28843976890807033</v>
      </c>
      <c r="C1224" s="48">
        <f t="array" aca="1" ref="C1224" ca="1">MAX(0,ROUND(Inputs!$B$10*Inputs!$B$11+NORMSINV(B1224)*SQRT(Inputs!$B$10*Inputs!$B$11),0))</f>
        <v>488</v>
      </c>
      <c r="D1224" s="52">
        <f ca="1">C1224*Inputs!$B$12</f>
        <v>58560000</v>
      </c>
    </row>
    <row r="1225" spans="1:4" ht="13.5" customHeight="1" x14ac:dyDescent="0.3">
      <c r="A1225" s="46">
        <v>1221</v>
      </c>
      <c r="B1225" s="47">
        <f t="shared" ca="1" si="19"/>
        <v>8.2988110377938962E-2</v>
      </c>
      <c r="C1225" s="48">
        <f t="array" aca="1" ref="C1225" ca="1">MAX(0,ROUND(Inputs!$B$10*Inputs!$B$11+NORMSINV(B1225)*SQRT(Inputs!$B$10*Inputs!$B$11),0))</f>
        <v>469</v>
      </c>
      <c r="D1225" s="49">
        <f ca="1">C1225*Inputs!$B$12</f>
        <v>56280000</v>
      </c>
    </row>
    <row r="1226" spans="1:4" ht="13.5" customHeight="1" x14ac:dyDescent="0.3">
      <c r="A1226" s="50">
        <v>1222</v>
      </c>
      <c r="B1226" s="51">
        <f t="shared" ca="1" si="19"/>
        <v>0.29822131504868266</v>
      </c>
      <c r="C1226" s="48">
        <f t="array" aca="1" ref="C1226" ca="1">MAX(0,ROUND(Inputs!$B$10*Inputs!$B$11+NORMSINV(B1226)*SQRT(Inputs!$B$10*Inputs!$B$11),0))</f>
        <v>488</v>
      </c>
      <c r="D1226" s="52">
        <f ca="1">C1226*Inputs!$B$12</f>
        <v>58560000</v>
      </c>
    </row>
    <row r="1227" spans="1:4" ht="13.5" customHeight="1" x14ac:dyDescent="0.3">
      <c r="A1227" s="46">
        <v>1223</v>
      </c>
      <c r="B1227" s="47">
        <f t="shared" ca="1" si="19"/>
        <v>0.46257924259278038</v>
      </c>
      <c r="C1227" s="48">
        <f t="array" aca="1" ref="C1227" ca="1">MAX(0,ROUND(Inputs!$B$10*Inputs!$B$11+NORMSINV(B1227)*SQRT(Inputs!$B$10*Inputs!$B$11),0))</f>
        <v>498</v>
      </c>
      <c r="D1227" s="49">
        <f ca="1">C1227*Inputs!$B$12</f>
        <v>59760000</v>
      </c>
    </row>
    <row r="1228" spans="1:4" ht="13.5" customHeight="1" x14ac:dyDescent="0.3">
      <c r="A1228" s="50">
        <v>1224</v>
      </c>
      <c r="B1228" s="51">
        <f t="shared" ca="1" si="19"/>
        <v>0.73120931783744814</v>
      </c>
      <c r="C1228" s="48">
        <f t="array" aca="1" ref="C1228" ca="1">MAX(0,ROUND(Inputs!$B$10*Inputs!$B$11+NORMSINV(B1228)*SQRT(Inputs!$B$10*Inputs!$B$11),0))</f>
        <v>514</v>
      </c>
      <c r="D1228" s="52">
        <f ca="1">C1228*Inputs!$B$12</f>
        <v>61680000</v>
      </c>
    </row>
    <row r="1229" spans="1:4" ht="13.5" customHeight="1" x14ac:dyDescent="0.3">
      <c r="A1229" s="46">
        <v>1225</v>
      </c>
      <c r="B1229" s="47">
        <f t="shared" ca="1" si="19"/>
        <v>0.33502635064489794</v>
      </c>
      <c r="C1229" s="48">
        <f t="array" aca="1" ref="C1229" ca="1">MAX(0,ROUND(Inputs!$B$10*Inputs!$B$11+NORMSINV(B1229)*SQRT(Inputs!$B$10*Inputs!$B$11),0))</f>
        <v>490</v>
      </c>
      <c r="D1229" s="49">
        <f ca="1">C1229*Inputs!$B$12</f>
        <v>58800000</v>
      </c>
    </row>
    <row r="1230" spans="1:4" ht="13.5" customHeight="1" x14ac:dyDescent="0.3">
      <c r="A1230" s="50">
        <v>1226</v>
      </c>
      <c r="B1230" s="51">
        <f t="shared" ca="1" si="19"/>
        <v>7.2133528481017395E-2</v>
      </c>
      <c r="C1230" s="48">
        <f t="array" aca="1" ref="C1230" ca="1">MAX(0,ROUND(Inputs!$B$10*Inputs!$B$11+NORMSINV(B1230)*SQRT(Inputs!$B$10*Inputs!$B$11),0))</f>
        <v>467</v>
      </c>
      <c r="D1230" s="52">
        <f ca="1">C1230*Inputs!$B$12</f>
        <v>56040000</v>
      </c>
    </row>
    <row r="1231" spans="1:4" ht="13.5" customHeight="1" x14ac:dyDescent="0.3">
      <c r="A1231" s="46">
        <v>1227</v>
      </c>
      <c r="B1231" s="47">
        <f t="shared" ca="1" si="19"/>
        <v>0.92684254611186401</v>
      </c>
      <c r="C1231" s="48">
        <f t="array" aca="1" ref="C1231" ca="1">MAX(0,ROUND(Inputs!$B$10*Inputs!$B$11+NORMSINV(B1231)*SQRT(Inputs!$B$10*Inputs!$B$11),0))</f>
        <v>532</v>
      </c>
      <c r="D1231" s="49">
        <f ca="1">C1231*Inputs!$B$12</f>
        <v>63840000</v>
      </c>
    </row>
    <row r="1232" spans="1:4" ht="13.5" customHeight="1" x14ac:dyDescent="0.3">
      <c r="A1232" s="50">
        <v>1228</v>
      </c>
      <c r="B1232" s="51">
        <f t="shared" ca="1" si="19"/>
        <v>0.12929039842725121</v>
      </c>
      <c r="C1232" s="48">
        <f t="array" aca="1" ref="C1232" ca="1">MAX(0,ROUND(Inputs!$B$10*Inputs!$B$11+NORMSINV(B1232)*SQRT(Inputs!$B$10*Inputs!$B$11),0))</f>
        <v>475</v>
      </c>
      <c r="D1232" s="52">
        <f ca="1">C1232*Inputs!$B$12</f>
        <v>57000000</v>
      </c>
    </row>
    <row r="1233" spans="1:4" ht="13.5" customHeight="1" x14ac:dyDescent="0.3">
      <c r="A1233" s="46">
        <v>1229</v>
      </c>
      <c r="B1233" s="47">
        <f t="shared" ca="1" si="19"/>
        <v>0.67423921360582528</v>
      </c>
      <c r="C1233" s="48">
        <f t="array" aca="1" ref="C1233" ca="1">MAX(0,ROUND(Inputs!$B$10*Inputs!$B$11+NORMSINV(B1233)*SQRT(Inputs!$B$10*Inputs!$B$11),0))</f>
        <v>510</v>
      </c>
      <c r="D1233" s="49">
        <f ca="1">C1233*Inputs!$B$12</f>
        <v>61200000</v>
      </c>
    </row>
    <row r="1234" spans="1:4" ht="13.5" customHeight="1" x14ac:dyDescent="0.3">
      <c r="A1234" s="50">
        <v>1230</v>
      </c>
      <c r="B1234" s="51">
        <f t="shared" ca="1" si="19"/>
        <v>0.77977389427049293</v>
      </c>
      <c r="C1234" s="48">
        <f t="array" aca="1" ref="C1234" ca="1">MAX(0,ROUND(Inputs!$B$10*Inputs!$B$11+NORMSINV(B1234)*SQRT(Inputs!$B$10*Inputs!$B$11),0))</f>
        <v>517</v>
      </c>
      <c r="D1234" s="52">
        <f ca="1">C1234*Inputs!$B$12</f>
        <v>62040000</v>
      </c>
    </row>
    <row r="1235" spans="1:4" ht="13.5" customHeight="1" x14ac:dyDescent="0.3">
      <c r="A1235" s="46">
        <v>1231</v>
      </c>
      <c r="B1235" s="47">
        <f t="shared" ca="1" si="19"/>
        <v>0.48278020059021143</v>
      </c>
      <c r="C1235" s="48">
        <f t="array" aca="1" ref="C1235" ca="1">MAX(0,ROUND(Inputs!$B$10*Inputs!$B$11+NORMSINV(B1235)*SQRT(Inputs!$B$10*Inputs!$B$11),0))</f>
        <v>499</v>
      </c>
      <c r="D1235" s="49">
        <f ca="1">C1235*Inputs!$B$12</f>
        <v>59880000</v>
      </c>
    </row>
    <row r="1236" spans="1:4" ht="13.5" customHeight="1" x14ac:dyDescent="0.3">
      <c r="A1236" s="50">
        <v>1232</v>
      </c>
      <c r="B1236" s="51">
        <f t="shared" ca="1" si="19"/>
        <v>0.51835285383078489</v>
      </c>
      <c r="C1236" s="48">
        <f t="array" aca="1" ref="C1236" ca="1">MAX(0,ROUND(Inputs!$B$10*Inputs!$B$11+NORMSINV(B1236)*SQRT(Inputs!$B$10*Inputs!$B$11),0))</f>
        <v>501</v>
      </c>
      <c r="D1236" s="52">
        <f ca="1">C1236*Inputs!$B$12</f>
        <v>60120000</v>
      </c>
    </row>
    <row r="1237" spans="1:4" ht="13.5" customHeight="1" x14ac:dyDescent="0.3">
      <c r="A1237" s="46">
        <v>1233</v>
      </c>
      <c r="B1237" s="47">
        <f t="shared" ca="1" si="19"/>
        <v>0.25873951341801538</v>
      </c>
      <c r="C1237" s="48">
        <f t="array" aca="1" ref="C1237" ca="1">MAX(0,ROUND(Inputs!$B$10*Inputs!$B$11+NORMSINV(B1237)*SQRT(Inputs!$B$10*Inputs!$B$11),0))</f>
        <v>486</v>
      </c>
      <c r="D1237" s="49">
        <f ca="1">C1237*Inputs!$B$12</f>
        <v>58320000</v>
      </c>
    </row>
    <row r="1238" spans="1:4" ht="13.5" customHeight="1" x14ac:dyDescent="0.3">
      <c r="A1238" s="50">
        <v>1234</v>
      </c>
      <c r="B1238" s="51">
        <f t="shared" ca="1" si="19"/>
        <v>0.74362209713457517</v>
      </c>
      <c r="C1238" s="48">
        <f t="array" aca="1" ref="C1238" ca="1">MAX(0,ROUND(Inputs!$B$10*Inputs!$B$11+NORMSINV(B1238)*SQRT(Inputs!$B$10*Inputs!$B$11),0))</f>
        <v>515</v>
      </c>
      <c r="D1238" s="52">
        <f ca="1">C1238*Inputs!$B$12</f>
        <v>61800000</v>
      </c>
    </row>
    <row r="1239" spans="1:4" ht="13.5" customHeight="1" x14ac:dyDescent="0.3">
      <c r="A1239" s="46">
        <v>1235</v>
      </c>
      <c r="B1239" s="47">
        <f t="shared" ca="1" si="19"/>
        <v>0.68703238798444644</v>
      </c>
      <c r="C1239" s="48">
        <f t="array" aca="1" ref="C1239" ca="1">MAX(0,ROUND(Inputs!$B$10*Inputs!$B$11+NORMSINV(B1239)*SQRT(Inputs!$B$10*Inputs!$B$11),0))</f>
        <v>511</v>
      </c>
      <c r="D1239" s="49">
        <f ca="1">C1239*Inputs!$B$12</f>
        <v>61320000</v>
      </c>
    </row>
    <row r="1240" spans="1:4" ht="13.5" customHeight="1" x14ac:dyDescent="0.3">
      <c r="A1240" s="50">
        <v>1236</v>
      </c>
      <c r="B1240" s="51">
        <f t="shared" ca="1" si="19"/>
        <v>0.40978249679705869</v>
      </c>
      <c r="C1240" s="48">
        <f t="array" aca="1" ref="C1240" ca="1">MAX(0,ROUND(Inputs!$B$10*Inputs!$B$11+NORMSINV(B1240)*SQRT(Inputs!$B$10*Inputs!$B$11),0))</f>
        <v>495</v>
      </c>
      <c r="D1240" s="52">
        <f ca="1">C1240*Inputs!$B$12</f>
        <v>59400000</v>
      </c>
    </row>
    <row r="1241" spans="1:4" ht="13.5" customHeight="1" x14ac:dyDescent="0.3">
      <c r="A1241" s="46">
        <v>1237</v>
      </c>
      <c r="B1241" s="47">
        <f t="shared" ca="1" si="19"/>
        <v>0.46927661520275088</v>
      </c>
      <c r="C1241" s="48">
        <f t="array" aca="1" ref="C1241" ca="1">MAX(0,ROUND(Inputs!$B$10*Inputs!$B$11+NORMSINV(B1241)*SQRT(Inputs!$B$10*Inputs!$B$11),0))</f>
        <v>498</v>
      </c>
      <c r="D1241" s="49">
        <f ca="1">C1241*Inputs!$B$12</f>
        <v>59760000</v>
      </c>
    </row>
    <row r="1242" spans="1:4" ht="13.5" customHeight="1" x14ac:dyDescent="0.3">
      <c r="A1242" s="50">
        <v>1238</v>
      </c>
      <c r="B1242" s="51">
        <f t="shared" ca="1" si="19"/>
        <v>0.34065703936278224</v>
      </c>
      <c r="C1242" s="48">
        <f t="array" aca="1" ref="C1242" ca="1">MAX(0,ROUND(Inputs!$B$10*Inputs!$B$11+NORMSINV(B1242)*SQRT(Inputs!$B$10*Inputs!$B$11),0))</f>
        <v>491</v>
      </c>
      <c r="D1242" s="52">
        <f ca="1">C1242*Inputs!$B$12</f>
        <v>58920000</v>
      </c>
    </row>
    <row r="1243" spans="1:4" ht="13.5" customHeight="1" x14ac:dyDescent="0.3">
      <c r="A1243" s="46">
        <v>1239</v>
      </c>
      <c r="B1243" s="47">
        <f t="shared" ca="1" si="19"/>
        <v>0.74741927423795629</v>
      </c>
      <c r="C1243" s="48">
        <f t="array" aca="1" ref="C1243" ca="1">MAX(0,ROUND(Inputs!$B$10*Inputs!$B$11+NORMSINV(B1243)*SQRT(Inputs!$B$10*Inputs!$B$11),0))</f>
        <v>515</v>
      </c>
      <c r="D1243" s="49">
        <f ca="1">C1243*Inputs!$B$12</f>
        <v>61800000</v>
      </c>
    </row>
    <row r="1244" spans="1:4" ht="13.5" customHeight="1" x14ac:dyDescent="0.3">
      <c r="A1244" s="50">
        <v>1240</v>
      </c>
      <c r="B1244" s="51">
        <f t="shared" ca="1" si="19"/>
        <v>0.59837335303711137</v>
      </c>
      <c r="C1244" s="48">
        <f t="array" aca="1" ref="C1244" ca="1">MAX(0,ROUND(Inputs!$B$10*Inputs!$B$11+NORMSINV(B1244)*SQRT(Inputs!$B$10*Inputs!$B$11),0))</f>
        <v>506</v>
      </c>
      <c r="D1244" s="52">
        <f ca="1">C1244*Inputs!$B$12</f>
        <v>60720000</v>
      </c>
    </row>
    <row r="1245" spans="1:4" ht="13.5" customHeight="1" x14ac:dyDescent="0.3">
      <c r="A1245" s="46">
        <v>1241</v>
      </c>
      <c r="B1245" s="47">
        <f t="shared" ca="1" si="19"/>
        <v>0.13030351418660402</v>
      </c>
      <c r="C1245" s="48">
        <f t="array" aca="1" ref="C1245" ca="1">MAX(0,ROUND(Inputs!$B$10*Inputs!$B$11+NORMSINV(B1245)*SQRT(Inputs!$B$10*Inputs!$B$11),0))</f>
        <v>475</v>
      </c>
      <c r="D1245" s="49">
        <f ca="1">C1245*Inputs!$B$12</f>
        <v>57000000</v>
      </c>
    </row>
    <row r="1246" spans="1:4" ht="13.5" customHeight="1" x14ac:dyDescent="0.3">
      <c r="A1246" s="50">
        <v>1242</v>
      </c>
      <c r="B1246" s="51">
        <f t="shared" ca="1" si="19"/>
        <v>0.95621112410233611</v>
      </c>
      <c r="C1246" s="48">
        <f t="array" aca="1" ref="C1246" ca="1">MAX(0,ROUND(Inputs!$B$10*Inputs!$B$11+NORMSINV(B1246)*SQRT(Inputs!$B$10*Inputs!$B$11),0))</f>
        <v>538</v>
      </c>
      <c r="D1246" s="52">
        <f ca="1">C1246*Inputs!$B$12</f>
        <v>64560000</v>
      </c>
    </row>
    <row r="1247" spans="1:4" ht="13.5" customHeight="1" x14ac:dyDescent="0.3">
      <c r="A1247" s="46">
        <v>1243</v>
      </c>
      <c r="B1247" s="47">
        <f t="shared" ca="1" si="19"/>
        <v>0.86593610854388836</v>
      </c>
      <c r="C1247" s="48">
        <f t="array" aca="1" ref="C1247" ca="1">MAX(0,ROUND(Inputs!$B$10*Inputs!$B$11+NORMSINV(B1247)*SQRT(Inputs!$B$10*Inputs!$B$11),0))</f>
        <v>525</v>
      </c>
      <c r="D1247" s="49">
        <f ca="1">C1247*Inputs!$B$12</f>
        <v>63000000</v>
      </c>
    </row>
    <row r="1248" spans="1:4" ht="13.5" customHeight="1" x14ac:dyDescent="0.3">
      <c r="A1248" s="50">
        <v>1244</v>
      </c>
      <c r="B1248" s="51">
        <f t="shared" ca="1" si="19"/>
        <v>0.43039802337847999</v>
      </c>
      <c r="C1248" s="48">
        <f t="array" aca="1" ref="C1248" ca="1">MAX(0,ROUND(Inputs!$B$10*Inputs!$B$11+NORMSINV(B1248)*SQRT(Inputs!$B$10*Inputs!$B$11),0))</f>
        <v>496</v>
      </c>
      <c r="D1248" s="52">
        <f ca="1">C1248*Inputs!$B$12</f>
        <v>59520000</v>
      </c>
    </row>
    <row r="1249" spans="1:4" ht="13.5" customHeight="1" x14ac:dyDescent="0.3">
      <c r="A1249" s="46">
        <v>1245</v>
      </c>
      <c r="B1249" s="47">
        <f t="shared" ca="1" si="19"/>
        <v>0.90290129822255949</v>
      </c>
      <c r="C1249" s="48">
        <f t="array" aca="1" ref="C1249" ca="1">MAX(0,ROUND(Inputs!$B$10*Inputs!$B$11+NORMSINV(B1249)*SQRT(Inputs!$B$10*Inputs!$B$11),0))</f>
        <v>529</v>
      </c>
      <c r="D1249" s="49">
        <f ca="1">C1249*Inputs!$B$12</f>
        <v>63480000</v>
      </c>
    </row>
    <row r="1250" spans="1:4" ht="13.5" customHeight="1" x14ac:dyDescent="0.3">
      <c r="A1250" s="50">
        <v>1246</v>
      </c>
      <c r="B1250" s="51">
        <f t="shared" ca="1" si="19"/>
        <v>0.76131441035445391</v>
      </c>
      <c r="C1250" s="48">
        <f t="array" aca="1" ref="C1250" ca="1">MAX(0,ROUND(Inputs!$B$10*Inputs!$B$11+NORMSINV(B1250)*SQRT(Inputs!$B$10*Inputs!$B$11),0))</f>
        <v>516</v>
      </c>
      <c r="D1250" s="52">
        <f ca="1">C1250*Inputs!$B$12</f>
        <v>61920000</v>
      </c>
    </row>
    <row r="1251" spans="1:4" ht="13.5" customHeight="1" x14ac:dyDescent="0.3">
      <c r="A1251" s="46">
        <v>1247</v>
      </c>
      <c r="B1251" s="47">
        <f t="shared" ca="1" si="19"/>
        <v>0.98665781095072047</v>
      </c>
      <c r="C1251" s="48">
        <f t="array" aca="1" ref="C1251" ca="1">MAX(0,ROUND(Inputs!$B$10*Inputs!$B$11+NORMSINV(B1251)*SQRT(Inputs!$B$10*Inputs!$B$11),0))</f>
        <v>550</v>
      </c>
      <c r="D1251" s="49">
        <f ca="1">C1251*Inputs!$B$12</f>
        <v>66000000</v>
      </c>
    </row>
    <row r="1252" spans="1:4" ht="13.5" customHeight="1" x14ac:dyDescent="0.3">
      <c r="A1252" s="50">
        <v>1248</v>
      </c>
      <c r="B1252" s="51">
        <f t="shared" ca="1" si="19"/>
        <v>0.44189925166995203</v>
      </c>
      <c r="C1252" s="48">
        <f t="array" aca="1" ref="C1252" ca="1">MAX(0,ROUND(Inputs!$B$10*Inputs!$B$11+NORMSINV(B1252)*SQRT(Inputs!$B$10*Inputs!$B$11),0))</f>
        <v>497</v>
      </c>
      <c r="D1252" s="52">
        <f ca="1">C1252*Inputs!$B$12</f>
        <v>59640000</v>
      </c>
    </row>
    <row r="1253" spans="1:4" ht="13.5" customHeight="1" x14ac:dyDescent="0.3">
      <c r="A1253" s="46">
        <v>1249</v>
      </c>
      <c r="B1253" s="47">
        <f t="shared" ca="1" si="19"/>
        <v>0.16036021839982884</v>
      </c>
      <c r="C1253" s="48">
        <f t="array" aca="1" ref="C1253" ca="1">MAX(0,ROUND(Inputs!$B$10*Inputs!$B$11+NORMSINV(B1253)*SQRT(Inputs!$B$10*Inputs!$B$11),0))</f>
        <v>478</v>
      </c>
      <c r="D1253" s="49">
        <f ca="1">C1253*Inputs!$B$12</f>
        <v>57360000</v>
      </c>
    </row>
    <row r="1254" spans="1:4" ht="13.5" customHeight="1" x14ac:dyDescent="0.3">
      <c r="A1254" s="50">
        <v>1250</v>
      </c>
      <c r="B1254" s="51">
        <f t="shared" ca="1" si="19"/>
        <v>0.19820509572629907</v>
      </c>
      <c r="C1254" s="48">
        <f t="array" aca="1" ref="C1254" ca="1">MAX(0,ROUND(Inputs!$B$10*Inputs!$B$11+NORMSINV(B1254)*SQRT(Inputs!$B$10*Inputs!$B$11),0))</f>
        <v>481</v>
      </c>
      <c r="D1254" s="52">
        <f ca="1">C1254*Inputs!$B$12</f>
        <v>57720000</v>
      </c>
    </row>
    <row r="1255" spans="1:4" ht="13.5" customHeight="1" x14ac:dyDescent="0.3">
      <c r="A1255" s="46">
        <v>1251</v>
      </c>
      <c r="B1255" s="47">
        <f t="shared" ca="1" si="19"/>
        <v>0.27437840287599846</v>
      </c>
      <c r="C1255" s="48">
        <f t="array" aca="1" ref="C1255" ca="1">MAX(0,ROUND(Inputs!$B$10*Inputs!$B$11+NORMSINV(B1255)*SQRT(Inputs!$B$10*Inputs!$B$11),0))</f>
        <v>487</v>
      </c>
      <c r="D1255" s="49">
        <f ca="1">C1255*Inputs!$B$12</f>
        <v>58440000</v>
      </c>
    </row>
    <row r="1256" spans="1:4" ht="13.5" customHeight="1" x14ac:dyDescent="0.3">
      <c r="A1256" s="50">
        <v>1252</v>
      </c>
      <c r="B1256" s="51">
        <f t="shared" ca="1" si="19"/>
        <v>0.97603976302310425</v>
      </c>
      <c r="C1256" s="48">
        <f t="array" aca="1" ref="C1256" ca="1">MAX(0,ROUND(Inputs!$B$10*Inputs!$B$11+NORMSINV(B1256)*SQRT(Inputs!$B$10*Inputs!$B$11),0))</f>
        <v>544</v>
      </c>
      <c r="D1256" s="52">
        <f ca="1">C1256*Inputs!$B$12</f>
        <v>65280000</v>
      </c>
    </row>
    <row r="1257" spans="1:4" ht="13.5" customHeight="1" x14ac:dyDescent="0.3">
      <c r="A1257" s="46">
        <v>1253</v>
      </c>
      <c r="B1257" s="47">
        <f t="shared" ca="1" si="19"/>
        <v>0.64025909859359453</v>
      </c>
      <c r="C1257" s="48">
        <f t="array" aca="1" ref="C1257" ca="1">MAX(0,ROUND(Inputs!$B$10*Inputs!$B$11+NORMSINV(B1257)*SQRT(Inputs!$B$10*Inputs!$B$11),0))</f>
        <v>508</v>
      </c>
      <c r="D1257" s="49">
        <f ca="1">C1257*Inputs!$B$12</f>
        <v>60960000</v>
      </c>
    </row>
    <row r="1258" spans="1:4" ht="13.5" customHeight="1" x14ac:dyDescent="0.3">
      <c r="A1258" s="50">
        <v>1254</v>
      </c>
      <c r="B1258" s="51">
        <f t="shared" ca="1" si="19"/>
        <v>0.74365157335669052</v>
      </c>
      <c r="C1258" s="48">
        <f t="array" aca="1" ref="C1258" ca="1">MAX(0,ROUND(Inputs!$B$10*Inputs!$B$11+NORMSINV(B1258)*SQRT(Inputs!$B$10*Inputs!$B$11),0))</f>
        <v>515</v>
      </c>
      <c r="D1258" s="52">
        <f ca="1">C1258*Inputs!$B$12</f>
        <v>61800000</v>
      </c>
    </row>
    <row r="1259" spans="1:4" ht="13.5" customHeight="1" x14ac:dyDescent="0.3">
      <c r="A1259" s="46">
        <v>1255</v>
      </c>
      <c r="B1259" s="47">
        <f t="shared" ca="1" si="19"/>
        <v>0.40863724746873276</v>
      </c>
      <c r="C1259" s="48">
        <f t="array" aca="1" ref="C1259" ca="1">MAX(0,ROUND(Inputs!$B$10*Inputs!$B$11+NORMSINV(B1259)*SQRT(Inputs!$B$10*Inputs!$B$11),0))</f>
        <v>495</v>
      </c>
      <c r="D1259" s="49">
        <f ca="1">C1259*Inputs!$B$12</f>
        <v>59400000</v>
      </c>
    </row>
    <row r="1260" spans="1:4" ht="13.5" customHeight="1" x14ac:dyDescent="0.3">
      <c r="A1260" s="50">
        <v>1256</v>
      </c>
      <c r="B1260" s="51">
        <f t="shared" ca="1" si="19"/>
        <v>0.67098898147797836</v>
      </c>
      <c r="C1260" s="48">
        <f t="array" aca="1" ref="C1260" ca="1">MAX(0,ROUND(Inputs!$B$10*Inputs!$B$11+NORMSINV(B1260)*SQRT(Inputs!$B$10*Inputs!$B$11),0))</f>
        <v>510</v>
      </c>
      <c r="D1260" s="52">
        <f ca="1">C1260*Inputs!$B$12</f>
        <v>61200000</v>
      </c>
    </row>
    <row r="1261" spans="1:4" ht="13.5" customHeight="1" x14ac:dyDescent="0.3">
      <c r="A1261" s="46">
        <v>1257</v>
      </c>
      <c r="B1261" s="47">
        <f t="shared" ca="1" si="19"/>
        <v>0.86072848244966427</v>
      </c>
      <c r="C1261" s="48">
        <f t="array" aca="1" ref="C1261" ca="1">MAX(0,ROUND(Inputs!$B$10*Inputs!$B$11+NORMSINV(B1261)*SQRT(Inputs!$B$10*Inputs!$B$11),0))</f>
        <v>524</v>
      </c>
      <c r="D1261" s="49">
        <f ca="1">C1261*Inputs!$B$12</f>
        <v>62880000</v>
      </c>
    </row>
    <row r="1262" spans="1:4" ht="13.5" customHeight="1" x14ac:dyDescent="0.3">
      <c r="A1262" s="50">
        <v>1258</v>
      </c>
      <c r="B1262" s="51">
        <f t="shared" ca="1" si="19"/>
        <v>0.98646682287066889</v>
      </c>
      <c r="C1262" s="48">
        <f t="array" aca="1" ref="C1262" ca="1">MAX(0,ROUND(Inputs!$B$10*Inputs!$B$11+NORMSINV(B1262)*SQRT(Inputs!$B$10*Inputs!$B$11),0))</f>
        <v>549</v>
      </c>
      <c r="D1262" s="52">
        <f ca="1">C1262*Inputs!$B$12</f>
        <v>65880000</v>
      </c>
    </row>
    <row r="1263" spans="1:4" ht="13.5" customHeight="1" x14ac:dyDescent="0.3">
      <c r="A1263" s="46">
        <v>1259</v>
      </c>
      <c r="B1263" s="47">
        <f t="shared" ca="1" si="19"/>
        <v>8.4908208443934985E-2</v>
      </c>
      <c r="C1263" s="48">
        <f t="array" aca="1" ref="C1263" ca="1">MAX(0,ROUND(Inputs!$B$10*Inputs!$B$11+NORMSINV(B1263)*SQRT(Inputs!$B$10*Inputs!$B$11),0))</f>
        <v>469</v>
      </c>
      <c r="D1263" s="49">
        <f ca="1">C1263*Inputs!$B$12</f>
        <v>56280000</v>
      </c>
    </row>
    <row r="1264" spans="1:4" ht="13.5" customHeight="1" x14ac:dyDescent="0.3">
      <c r="A1264" s="50">
        <v>1260</v>
      </c>
      <c r="B1264" s="51">
        <f t="shared" ca="1" si="19"/>
        <v>0.66593617431462093</v>
      </c>
      <c r="C1264" s="48">
        <f t="array" aca="1" ref="C1264" ca="1">MAX(0,ROUND(Inputs!$B$10*Inputs!$B$11+NORMSINV(B1264)*SQRT(Inputs!$B$10*Inputs!$B$11),0))</f>
        <v>510</v>
      </c>
      <c r="D1264" s="52">
        <f ca="1">C1264*Inputs!$B$12</f>
        <v>61200000</v>
      </c>
    </row>
    <row r="1265" spans="1:4" ht="13.5" customHeight="1" x14ac:dyDescent="0.3">
      <c r="A1265" s="46">
        <v>1261</v>
      </c>
      <c r="B1265" s="47">
        <f t="shared" ca="1" si="19"/>
        <v>1.6497914165453542E-2</v>
      </c>
      <c r="C1265" s="48">
        <f t="array" aca="1" ref="C1265" ca="1">MAX(0,ROUND(Inputs!$B$10*Inputs!$B$11+NORMSINV(B1265)*SQRT(Inputs!$B$10*Inputs!$B$11),0))</f>
        <v>452</v>
      </c>
      <c r="D1265" s="49">
        <f ca="1">C1265*Inputs!$B$12</f>
        <v>54240000</v>
      </c>
    </row>
    <row r="1266" spans="1:4" ht="13.5" customHeight="1" x14ac:dyDescent="0.3">
      <c r="A1266" s="50">
        <v>1262</v>
      </c>
      <c r="B1266" s="51">
        <f t="shared" ca="1" si="19"/>
        <v>3.2824266107511768E-3</v>
      </c>
      <c r="C1266" s="48">
        <f t="array" aca="1" ref="C1266" ca="1">MAX(0,ROUND(Inputs!$B$10*Inputs!$B$11+NORMSINV(B1266)*SQRT(Inputs!$B$10*Inputs!$B$11),0))</f>
        <v>439</v>
      </c>
      <c r="D1266" s="52">
        <f ca="1">C1266*Inputs!$B$12</f>
        <v>52680000</v>
      </c>
    </row>
    <row r="1267" spans="1:4" ht="13.5" customHeight="1" x14ac:dyDescent="0.3">
      <c r="A1267" s="46">
        <v>1263</v>
      </c>
      <c r="B1267" s="47">
        <f t="shared" ca="1" si="19"/>
        <v>1.9021074354880874E-2</v>
      </c>
      <c r="C1267" s="48">
        <f t="array" aca="1" ref="C1267" ca="1">MAX(0,ROUND(Inputs!$B$10*Inputs!$B$11+NORMSINV(B1267)*SQRT(Inputs!$B$10*Inputs!$B$11),0))</f>
        <v>454</v>
      </c>
      <c r="D1267" s="49">
        <f ca="1">C1267*Inputs!$B$12</f>
        <v>54480000</v>
      </c>
    </row>
    <row r="1268" spans="1:4" ht="13.5" customHeight="1" x14ac:dyDescent="0.3">
      <c r="A1268" s="50">
        <v>1264</v>
      </c>
      <c r="B1268" s="51">
        <f t="shared" ca="1" si="19"/>
        <v>0.35594880939152485</v>
      </c>
      <c r="C1268" s="48">
        <f t="array" aca="1" ref="C1268" ca="1">MAX(0,ROUND(Inputs!$B$10*Inputs!$B$11+NORMSINV(B1268)*SQRT(Inputs!$B$10*Inputs!$B$11),0))</f>
        <v>492</v>
      </c>
      <c r="D1268" s="52">
        <f ca="1">C1268*Inputs!$B$12</f>
        <v>59040000</v>
      </c>
    </row>
    <row r="1269" spans="1:4" ht="13.5" customHeight="1" x14ac:dyDescent="0.3">
      <c r="A1269" s="46">
        <v>1265</v>
      </c>
      <c r="B1269" s="47">
        <f t="shared" ca="1" si="19"/>
        <v>0.83673922340188456</v>
      </c>
      <c r="C1269" s="48">
        <f t="array" aca="1" ref="C1269" ca="1">MAX(0,ROUND(Inputs!$B$10*Inputs!$B$11+NORMSINV(B1269)*SQRT(Inputs!$B$10*Inputs!$B$11),0))</f>
        <v>522</v>
      </c>
      <c r="D1269" s="49">
        <f ca="1">C1269*Inputs!$B$12</f>
        <v>62640000</v>
      </c>
    </row>
    <row r="1270" spans="1:4" ht="13.5" customHeight="1" x14ac:dyDescent="0.3">
      <c r="A1270" s="50">
        <v>1266</v>
      </c>
      <c r="B1270" s="51">
        <f t="shared" ca="1" si="19"/>
        <v>0.3904704103202814</v>
      </c>
      <c r="C1270" s="48">
        <f t="array" aca="1" ref="C1270" ca="1">MAX(0,ROUND(Inputs!$B$10*Inputs!$B$11+NORMSINV(B1270)*SQRT(Inputs!$B$10*Inputs!$B$11),0))</f>
        <v>494</v>
      </c>
      <c r="D1270" s="52">
        <f ca="1">C1270*Inputs!$B$12</f>
        <v>59280000</v>
      </c>
    </row>
    <row r="1271" spans="1:4" ht="13.5" customHeight="1" x14ac:dyDescent="0.3">
      <c r="A1271" s="46">
        <v>1267</v>
      </c>
      <c r="B1271" s="47">
        <f t="shared" ca="1" si="19"/>
        <v>0.50303421893459643</v>
      </c>
      <c r="C1271" s="48">
        <f t="array" aca="1" ref="C1271" ca="1">MAX(0,ROUND(Inputs!$B$10*Inputs!$B$11+NORMSINV(B1271)*SQRT(Inputs!$B$10*Inputs!$B$11),0))</f>
        <v>500</v>
      </c>
      <c r="D1271" s="49">
        <f ca="1">C1271*Inputs!$B$12</f>
        <v>60000000</v>
      </c>
    </row>
    <row r="1272" spans="1:4" ht="13.5" customHeight="1" x14ac:dyDescent="0.3">
      <c r="A1272" s="50">
        <v>1268</v>
      </c>
      <c r="B1272" s="51">
        <f t="shared" ca="1" si="19"/>
        <v>0.45542283385409499</v>
      </c>
      <c r="C1272" s="48">
        <f t="array" aca="1" ref="C1272" ca="1">MAX(0,ROUND(Inputs!$B$10*Inputs!$B$11+NORMSINV(B1272)*SQRT(Inputs!$B$10*Inputs!$B$11),0))</f>
        <v>497</v>
      </c>
      <c r="D1272" s="52">
        <f ca="1">C1272*Inputs!$B$12</f>
        <v>59640000</v>
      </c>
    </row>
    <row r="1273" spans="1:4" ht="13.5" customHeight="1" x14ac:dyDescent="0.3">
      <c r="A1273" s="46">
        <v>1269</v>
      </c>
      <c r="B1273" s="47">
        <f t="shared" ca="1" si="19"/>
        <v>0.15778064163524996</v>
      </c>
      <c r="C1273" s="48">
        <f t="array" aca="1" ref="C1273" ca="1">MAX(0,ROUND(Inputs!$B$10*Inputs!$B$11+NORMSINV(B1273)*SQRT(Inputs!$B$10*Inputs!$B$11),0))</f>
        <v>478</v>
      </c>
      <c r="D1273" s="49">
        <f ca="1">C1273*Inputs!$B$12</f>
        <v>57360000</v>
      </c>
    </row>
    <row r="1274" spans="1:4" ht="13.5" customHeight="1" x14ac:dyDescent="0.3">
      <c r="A1274" s="50">
        <v>1270</v>
      </c>
      <c r="B1274" s="51">
        <f t="shared" ca="1" si="19"/>
        <v>0.27625162833751493</v>
      </c>
      <c r="C1274" s="48">
        <f t="array" aca="1" ref="C1274" ca="1">MAX(0,ROUND(Inputs!$B$10*Inputs!$B$11+NORMSINV(B1274)*SQRT(Inputs!$B$10*Inputs!$B$11),0))</f>
        <v>487</v>
      </c>
      <c r="D1274" s="52">
        <f ca="1">C1274*Inputs!$B$12</f>
        <v>58440000</v>
      </c>
    </row>
    <row r="1275" spans="1:4" ht="13.5" customHeight="1" x14ac:dyDescent="0.3">
      <c r="A1275" s="46">
        <v>1271</v>
      </c>
      <c r="B1275" s="47">
        <f t="shared" ca="1" si="19"/>
        <v>0.58425929233760776</v>
      </c>
      <c r="C1275" s="48">
        <f t="array" aca="1" ref="C1275" ca="1">MAX(0,ROUND(Inputs!$B$10*Inputs!$B$11+NORMSINV(B1275)*SQRT(Inputs!$B$10*Inputs!$B$11),0))</f>
        <v>505</v>
      </c>
      <c r="D1275" s="49">
        <f ca="1">C1275*Inputs!$B$12</f>
        <v>60600000</v>
      </c>
    </row>
    <row r="1276" spans="1:4" ht="13.5" customHeight="1" x14ac:dyDescent="0.3">
      <c r="A1276" s="50">
        <v>1272</v>
      </c>
      <c r="B1276" s="51">
        <f t="shared" ca="1" si="19"/>
        <v>0.27631824001949945</v>
      </c>
      <c r="C1276" s="48">
        <f t="array" aca="1" ref="C1276" ca="1">MAX(0,ROUND(Inputs!$B$10*Inputs!$B$11+NORMSINV(B1276)*SQRT(Inputs!$B$10*Inputs!$B$11),0))</f>
        <v>487</v>
      </c>
      <c r="D1276" s="52">
        <f ca="1">C1276*Inputs!$B$12</f>
        <v>58440000</v>
      </c>
    </row>
    <row r="1277" spans="1:4" ht="13.5" customHeight="1" x14ac:dyDescent="0.3">
      <c r="A1277" s="46">
        <v>1273</v>
      </c>
      <c r="B1277" s="47">
        <f t="shared" ca="1" si="19"/>
        <v>0.15276613201314726</v>
      </c>
      <c r="C1277" s="48">
        <f t="array" aca="1" ref="C1277" ca="1">MAX(0,ROUND(Inputs!$B$10*Inputs!$B$11+NORMSINV(B1277)*SQRT(Inputs!$B$10*Inputs!$B$11),0))</f>
        <v>477</v>
      </c>
      <c r="D1277" s="49">
        <f ca="1">C1277*Inputs!$B$12</f>
        <v>57240000</v>
      </c>
    </row>
    <row r="1278" spans="1:4" ht="13.5" customHeight="1" x14ac:dyDescent="0.3">
      <c r="A1278" s="50">
        <v>1274</v>
      </c>
      <c r="B1278" s="51">
        <f t="shared" ca="1" si="19"/>
        <v>0.39195483908764917</v>
      </c>
      <c r="C1278" s="48">
        <f t="array" aca="1" ref="C1278" ca="1">MAX(0,ROUND(Inputs!$B$10*Inputs!$B$11+NORMSINV(B1278)*SQRT(Inputs!$B$10*Inputs!$B$11),0))</f>
        <v>494</v>
      </c>
      <c r="D1278" s="52">
        <f ca="1">C1278*Inputs!$B$12</f>
        <v>59280000</v>
      </c>
    </row>
    <row r="1279" spans="1:4" ht="13.5" customHeight="1" x14ac:dyDescent="0.3">
      <c r="A1279" s="46">
        <v>1275</v>
      </c>
      <c r="B1279" s="47">
        <f t="shared" ca="1" si="19"/>
        <v>0.84535137701878349</v>
      </c>
      <c r="C1279" s="48">
        <f t="array" aca="1" ref="C1279" ca="1">MAX(0,ROUND(Inputs!$B$10*Inputs!$B$11+NORMSINV(B1279)*SQRT(Inputs!$B$10*Inputs!$B$11),0))</f>
        <v>523</v>
      </c>
      <c r="D1279" s="49">
        <f ca="1">C1279*Inputs!$B$12</f>
        <v>62760000</v>
      </c>
    </row>
    <row r="1280" spans="1:4" ht="13.5" customHeight="1" x14ac:dyDescent="0.3">
      <c r="A1280" s="50">
        <v>1276</v>
      </c>
      <c r="B1280" s="51">
        <f t="shared" ca="1" si="19"/>
        <v>0.77550054261119095</v>
      </c>
      <c r="C1280" s="48">
        <f t="array" aca="1" ref="C1280" ca="1">MAX(0,ROUND(Inputs!$B$10*Inputs!$B$11+NORMSINV(B1280)*SQRT(Inputs!$B$10*Inputs!$B$11),0))</f>
        <v>517</v>
      </c>
      <c r="D1280" s="52">
        <f ca="1">C1280*Inputs!$B$12</f>
        <v>62040000</v>
      </c>
    </row>
    <row r="1281" spans="1:4" ht="13.5" customHeight="1" x14ac:dyDescent="0.3">
      <c r="A1281" s="46">
        <v>1277</v>
      </c>
      <c r="B1281" s="47">
        <f t="shared" ca="1" si="19"/>
        <v>0.59464261486674019</v>
      </c>
      <c r="C1281" s="48">
        <f t="array" aca="1" ref="C1281" ca="1">MAX(0,ROUND(Inputs!$B$10*Inputs!$B$11+NORMSINV(B1281)*SQRT(Inputs!$B$10*Inputs!$B$11),0))</f>
        <v>505</v>
      </c>
      <c r="D1281" s="49">
        <f ca="1">C1281*Inputs!$B$12</f>
        <v>60600000</v>
      </c>
    </row>
    <row r="1282" spans="1:4" ht="13.5" customHeight="1" x14ac:dyDescent="0.3">
      <c r="A1282" s="50">
        <v>1278</v>
      </c>
      <c r="B1282" s="51">
        <f t="shared" ca="1" si="19"/>
        <v>0.98053301843983409</v>
      </c>
      <c r="C1282" s="48">
        <f t="array" aca="1" ref="C1282" ca="1">MAX(0,ROUND(Inputs!$B$10*Inputs!$B$11+NORMSINV(B1282)*SQRT(Inputs!$B$10*Inputs!$B$11),0))</f>
        <v>546</v>
      </c>
      <c r="D1282" s="52">
        <f ca="1">C1282*Inputs!$B$12</f>
        <v>65520000</v>
      </c>
    </row>
    <row r="1283" spans="1:4" ht="13.5" customHeight="1" x14ac:dyDescent="0.3">
      <c r="A1283" s="46">
        <v>1279</v>
      </c>
      <c r="B1283" s="47">
        <f t="shared" ca="1" si="19"/>
        <v>0.3006394371005755</v>
      </c>
      <c r="C1283" s="48">
        <f t="array" aca="1" ref="C1283" ca="1">MAX(0,ROUND(Inputs!$B$10*Inputs!$B$11+NORMSINV(B1283)*SQRT(Inputs!$B$10*Inputs!$B$11),0))</f>
        <v>488</v>
      </c>
      <c r="D1283" s="49">
        <f ca="1">C1283*Inputs!$B$12</f>
        <v>58560000</v>
      </c>
    </row>
    <row r="1284" spans="1:4" ht="13.5" customHeight="1" x14ac:dyDescent="0.3">
      <c r="A1284" s="50">
        <v>1280</v>
      </c>
      <c r="B1284" s="51">
        <f t="shared" ca="1" si="19"/>
        <v>0.74576547566910434</v>
      </c>
      <c r="C1284" s="48">
        <f t="array" aca="1" ref="C1284" ca="1">MAX(0,ROUND(Inputs!$B$10*Inputs!$B$11+NORMSINV(B1284)*SQRT(Inputs!$B$10*Inputs!$B$11),0))</f>
        <v>515</v>
      </c>
      <c r="D1284" s="52">
        <f ca="1">C1284*Inputs!$B$12</f>
        <v>61800000</v>
      </c>
    </row>
    <row r="1285" spans="1:4" ht="13.5" customHeight="1" x14ac:dyDescent="0.3">
      <c r="A1285" s="46">
        <v>1281</v>
      </c>
      <c r="B1285" s="47">
        <f t="shared" ref="B1285:B1348" ca="1" si="20">RAND()</f>
        <v>8.1331354764421215E-2</v>
      </c>
      <c r="C1285" s="48">
        <f t="array" aca="1" ref="C1285" ca="1">MAX(0,ROUND(Inputs!$B$10*Inputs!$B$11+NORMSINV(B1285)*SQRT(Inputs!$B$10*Inputs!$B$11),0))</f>
        <v>469</v>
      </c>
      <c r="D1285" s="49">
        <f ca="1">C1285*Inputs!$B$12</f>
        <v>56280000</v>
      </c>
    </row>
    <row r="1286" spans="1:4" ht="13.5" customHeight="1" x14ac:dyDescent="0.3">
      <c r="A1286" s="50">
        <v>1282</v>
      </c>
      <c r="B1286" s="51">
        <f t="shared" ca="1" si="20"/>
        <v>0.51570732169957967</v>
      </c>
      <c r="C1286" s="48">
        <f t="array" aca="1" ref="C1286" ca="1">MAX(0,ROUND(Inputs!$B$10*Inputs!$B$11+NORMSINV(B1286)*SQRT(Inputs!$B$10*Inputs!$B$11),0))</f>
        <v>501</v>
      </c>
      <c r="D1286" s="52">
        <f ca="1">C1286*Inputs!$B$12</f>
        <v>60120000</v>
      </c>
    </row>
    <row r="1287" spans="1:4" ht="13.5" customHeight="1" x14ac:dyDescent="0.3">
      <c r="A1287" s="46">
        <v>1283</v>
      </c>
      <c r="B1287" s="47">
        <f t="shared" ca="1" si="20"/>
        <v>0.3361453514580971</v>
      </c>
      <c r="C1287" s="48">
        <f t="array" aca="1" ref="C1287" ca="1">MAX(0,ROUND(Inputs!$B$10*Inputs!$B$11+NORMSINV(B1287)*SQRT(Inputs!$B$10*Inputs!$B$11),0))</f>
        <v>491</v>
      </c>
      <c r="D1287" s="49">
        <f ca="1">C1287*Inputs!$B$12</f>
        <v>58920000</v>
      </c>
    </row>
    <row r="1288" spans="1:4" ht="13.5" customHeight="1" x14ac:dyDescent="0.3">
      <c r="A1288" s="50">
        <v>1284</v>
      </c>
      <c r="B1288" s="51">
        <f t="shared" ca="1" si="20"/>
        <v>0.23047902013274579</v>
      </c>
      <c r="C1288" s="48">
        <f t="array" aca="1" ref="C1288" ca="1">MAX(0,ROUND(Inputs!$B$10*Inputs!$B$11+NORMSINV(B1288)*SQRT(Inputs!$B$10*Inputs!$B$11),0))</f>
        <v>484</v>
      </c>
      <c r="D1288" s="52">
        <f ca="1">C1288*Inputs!$B$12</f>
        <v>58080000</v>
      </c>
    </row>
    <row r="1289" spans="1:4" ht="13.5" customHeight="1" x14ac:dyDescent="0.3">
      <c r="A1289" s="46">
        <v>1285</v>
      </c>
      <c r="B1289" s="47">
        <f t="shared" ca="1" si="20"/>
        <v>0.62975499216762676</v>
      </c>
      <c r="C1289" s="48">
        <f t="array" aca="1" ref="C1289" ca="1">MAX(0,ROUND(Inputs!$B$10*Inputs!$B$11+NORMSINV(B1289)*SQRT(Inputs!$B$10*Inputs!$B$11),0))</f>
        <v>507</v>
      </c>
      <c r="D1289" s="49">
        <f ca="1">C1289*Inputs!$B$12</f>
        <v>60840000</v>
      </c>
    </row>
    <row r="1290" spans="1:4" ht="13.5" customHeight="1" x14ac:dyDescent="0.3">
      <c r="A1290" s="50">
        <v>1286</v>
      </c>
      <c r="B1290" s="51">
        <f t="shared" ca="1" si="20"/>
        <v>0.46229629337005262</v>
      </c>
      <c r="C1290" s="48">
        <f t="array" aca="1" ref="C1290" ca="1">MAX(0,ROUND(Inputs!$B$10*Inputs!$B$11+NORMSINV(B1290)*SQRT(Inputs!$B$10*Inputs!$B$11),0))</f>
        <v>498</v>
      </c>
      <c r="D1290" s="52">
        <f ca="1">C1290*Inputs!$B$12</f>
        <v>59760000</v>
      </c>
    </row>
    <row r="1291" spans="1:4" ht="13.5" customHeight="1" x14ac:dyDescent="0.3">
      <c r="A1291" s="46">
        <v>1287</v>
      </c>
      <c r="B1291" s="47">
        <f t="shared" ca="1" si="20"/>
        <v>0.1890799711738228</v>
      </c>
      <c r="C1291" s="48">
        <f t="array" aca="1" ref="C1291" ca="1">MAX(0,ROUND(Inputs!$B$10*Inputs!$B$11+NORMSINV(B1291)*SQRT(Inputs!$B$10*Inputs!$B$11),0))</f>
        <v>480</v>
      </c>
      <c r="D1291" s="49">
        <f ca="1">C1291*Inputs!$B$12</f>
        <v>57600000</v>
      </c>
    </row>
    <row r="1292" spans="1:4" ht="13.5" customHeight="1" x14ac:dyDescent="0.3">
      <c r="A1292" s="50">
        <v>1288</v>
      </c>
      <c r="B1292" s="51">
        <f t="shared" ca="1" si="20"/>
        <v>0.25373916263087792</v>
      </c>
      <c r="C1292" s="48">
        <f t="array" aca="1" ref="C1292" ca="1">MAX(0,ROUND(Inputs!$B$10*Inputs!$B$11+NORMSINV(B1292)*SQRT(Inputs!$B$10*Inputs!$B$11),0))</f>
        <v>485</v>
      </c>
      <c r="D1292" s="52">
        <f ca="1">C1292*Inputs!$B$12</f>
        <v>58200000</v>
      </c>
    </row>
    <row r="1293" spans="1:4" ht="13.5" customHeight="1" x14ac:dyDescent="0.3">
      <c r="A1293" s="46">
        <v>1289</v>
      </c>
      <c r="B1293" s="47">
        <f t="shared" ca="1" si="20"/>
        <v>0.72710503892741685</v>
      </c>
      <c r="C1293" s="48">
        <f t="array" aca="1" ref="C1293" ca="1">MAX(0,ROUND(Inputs!$B$10*Inputs!$B$11+NORMSINV(B1293)*SQRT(Inputs!$B$10*Inputs!$B$11),0))</f>
        <v>514</v>
      </c>
      <c r="D1293" s="49">
        <f ca="1">C1293*Inputs!$B$12</f>
        <v>61680000</v>
      </c>
    </row>
    <row r="1294" spans="1:4" ht="13.5" customHeight="1" x14ac:dyDescent="0.3">
      <c r="A1294" s="50">
        <v>1290</v>
      </c>
      <c r="B1294" s="51">
        <f t="shared" ca="1" si="20"/>
        <v>0.850838074218073</v>
      </c>
      <c r="C1294" s="48">
        <f t="array" aca="1" ref="C1294" ca="1">MAX(0,ROUND(Inputs!$B$10*Inputs!$B$11+NORMSINV(B1294)*SQRT(Inputs!$B$10*Inputs!$B$11),0))</f>
        <v>523</v>
      </c>
      <c r="D1294" s="52">
        <f ca="1">C1294*Inputs!$B$12</f>
        <v>62760000</v>
      </c>
    </row>
    <row r="1295" spans="1:4" ht="13.5" customHeight="1" x14ac:dyDescent="0.3">
      <c r="A1295" s="46">
        <v>1291</v>
      </c>
      <c r="B1295" s="47">
        <f t="shared" ca="1" si="20"/>
        <v>0.14611494108729162</v>
      </c>
      <c r="C1295" s="48">
        <f t="array" aca="1" ref="C1295" ca="1">MAX(0,ROUND(Inputs!$B$10*Inputs!$B$11+NORMSINV(B1295)*SQRT(Inputs!$B$10*Inputs!$B$11),0))</f>
        <v>476</v>
      </c>
      <c r="D1295" s="49">
        <f ca="1">C1295*Inputs!$B$12</f>
        <v>57120000</v>
      </c>
    </row>
    <row r="1296" spans="1:4" ht="13.5" customHeight="1" x14ac:dyDescent="0.3">
      <c r="A1296" s="50">
        <v>1292</v>
      </c>
      <c r="B1296" s="51">
        <f t="shared" ca="1" si="20"/>
        <v>0.72033265705174798</v>
      </c>
      <c r="C1296" s="48">
        <f t="array" aca="1" ref="C1296" ca="1">MAX(0,ROUND(Inputs!$B$10*Inputs!$B$11+NORMSINV(B1296)*SQRT(Inputs!$B$10*Inputs!$B$11),0))</f>
        <v>513</v>
      </c>
      <c r="D1296" s="52">
        <f ca="1">C1296*Inputs!$B$12</f>
        <v>61560000</v>
      </c>
    </row>
    <row r="1297" spans="1:4" ht="13.5" customHeight="1" x14ac:dyDescent="0.3">
      <c r="A1297" s="46">
        <v>1293</v>
      </c>
      <c r="B1297" s="47">
        <f t="shared" ca="1" si="20"/>
        <v>0.27280473126128058</v>
      </c>
      <c r="C1297" s="48">
        <f t="array" aca="1" ref="C1297" ca="1">MAX(0,ROUND(Inputs!$B$10*Inputs!$B$11+NORMSINV(B1297)*SQRT(Inputs!$B$10*Inputs!$B$11),0))</f>
        <v>486</v>
      </c>
      <c r="D1297" s="49">
        <f ca="1">C1297*Inputs!$B$12</f>
        <v>58320000</v>
      </c>
    </row>
    <row r="1298" spans="1:4" ht="13.5" customHeight="1" x14ac:dyDescent="0.3">
      <c r="A1298" s="50">
        <v>1294</v>
      </c>
      <c r="B1298" s="51">
        <f t="shared" ca="1" si="20"/>
        <v>0.37819655779793881</v>
      </c>
      <c r="C1298" s="48">
        <f t="array" aca="1" ref="C1298" ca="1">MAX(0,ROUND(Inputs!$B$10*Inputs!$B$11+NORMSINV(B1298)*SQRT(Inputs!$B$10*Inputs!$B$11),0))</f>
        <v>493</v>
      </c>
      <c r="D1298" s="52">
        <f ca="1">C1298*Inputs!$B$12</f>
        <v>59160000</v>
      </c>
    </row>
    <row r="1299" spans="1:4" ht="13.5" customHeight="1" x14ac:dyDescent="0.3">
      <c r="A1299" s="46">
        <v>1295</v>
      </c>
      <c r="B1299" s="47">
        <f t="shared" ca="1" si="20"/>
        <v>0.95386472307719028</v>
      </c>
      <c r="C1299" s="48">
        <f t="array" aca="1" ref="C1299" ca="1">MAX(0,ROUND(Inputs!$B$10*Inputs!$B$11+NORMSINV(B1299)*SQRT(Inputs!$B$10*Inputs!$B$11),0))</f>
        <v>538</v>
      </c>
      <c r="D1299" s="49">
        <f ca="1">C1299*Inputs!$B$12</f>
        <v>64560000</v>
      </c>
    </row>
    <row r="1300" spans="1:4" ht="13.5" customHeight="1" x14ac:dyDescent="0.3">
      <c r="A1300" s="50">
        <v>1296</v>
      </c>
      <c r="B1300" s="51">
        <f t="shared" ca="1" si="20"/>
        <v>7.0035139914174649E-2</v>
      </c>
      <c r="C1300" s="48">
        <f t="array" aca="1" ref="C1300" ca="1">MAX(0,ROUND(Inputs!$B$10*Inputs!$B$11+NORMSINV(B1300)*SQRT(Inputs!$B$10*Inputs!$B$11),0))</f>
        <v>467</v>
      </c>
      <c r="D1300" s="52">
        <f ca="1">C1300*Inputs!$B$12</f>
        <v>56040000</v>
      </c>
    </row>
    <row r="1301" spans="1:4" ht="13.5" customHeight="1" x14ac:dyDescent="0.3">
      <c r="A1301" s="46">
        <v>1297</v>
      </c>
      <c r="B1301" s="47">
        <f t="shared" ca="1" si="20"/>
        <v>0.54651277671015785</v>
      </c>
      <c r="C1301" s="48">
        <f t="array" aca="1" ref="C1301" ca="1">MAX(0,ROUND(Inputs!$B$10*Inputs!$B$11+NORMSINV(B1301)*SQRT(Inputs!$B$10*Inputs!$B$11),0))</f>
        <v>503</v>
      </c>
      <c r="D1301" s="49">
        <f ca="1">C1301*Inputs!$B$12</f>
        <v>60360000</v>
      </c>
    </row>
    <row r="1302" spans="1:4" ht="13.5" customHeight="1" x14ac:dyDescent="0.3">
      <c r="A1302" s="50">
        <v>1298</v>
      </c>
      <c r="B1302" s="51">
        <f t="shared" ca="1" si="20"/>
        <v>0.22831688943589612</v>
      </c>
      <c r="C1302" s="48">
        <f t="array" aca="1" ref="C1302" ca="1">MAX(0,ROUND(Inputs!$B$10*Inputs!$B$11+NORMSINV(B1302)*SQRT(Inputs!$B$10*Inputs!$B$11),0))</f>
        <v>483</v>
      </c>
      <c r="D1302" s="52">
        <f ca="1">C1302*Inputs!$B$12</f>
        <v>57960000</v>
      </c>
    </row>
    <row r="1303" spans="1:4" ht="13.5" customHeight="1" x14ac:dyDescent="0.3">
      <c r="A1303" s="46">
        <v>1299</v>
      </c>
      <c r="B1303" s="47">
        <f t="shared" ca="1" si="20"/>
        <v>0.25514446110629752</v>
      </c>
      <c r="C1303" s="48">
        <f t="array" aca="1" ref="C1303" ca="1">MAX(0,ROUND(Inputs!$B$10*Inputs!$B$11+NORMSINV(B1303)*SQRT(Inputs!$B$10*Inputs!$B$11),0))</f>
        <v>485</v>
      </c>
      <c r="D1303" s="49">
        <f ca="1">C1303*Inputs!$B$12</f>
        <v>58200000</v>
      </c>
    </row>
    <row r="1304" spans="1:4" ht="13.5" customHeight="1" x14ac:dyDescent="0.3">
      <c r="A1304" s="50">
        <v>1300</v>
      </c>
      <c r="B1304" s="51">
        <f t="shared" ca="1" si="20"/>
        <v>0.41013207581640876</v>
      </c>
      <c r="C1304" s="48">
        <f t="array" aca="1" ref="C1304" ca="1">MAX(0,ROUND(Inputs!$B$10*Inputs!$B$11+NORMSINV(B1304)*SQRT(Inputs!$B$10*Inputs!$B$11),0))</f>
        <v>495</v>
      </c>
      <c r="D1304" s="52">
        <f ca="1">C1304*Inputs!$B$12</f>
        <v>59400000</v>
      </c>
    </row>
    <row r="1305" spans="1:4" ht="13.5" customHeight="1" x14ac:dyDescent="0.3">
      <c r="A1305" s="46">
        <v>1301</v>
      </c>
      <c r="B1305" s="47">
        <f t="shared" ca="1" si="20"/>
        <v>9.4083869756351968E-2</v>
      </c>
      <c r="C1305" s="48">
        <f t="array" aca="1" ref="C1305" ca="1">MAX(0,ROUND(Inputs!$B$10*Inputs!$B$11+NORMSINV(B1305)*SQRT(Inputs!$B$10*Inputs!$B$11),0))</f>
        <v>471</v>
      </c>
      <c r="D1305" s="49">
        <f ca="1">C1305*Inputs!$B$12</f>
        <v>56520000</v>
      </c>
    </row>
    <row r="1306" spans="1:4" ht="13.5" customHeight="1" x14ac:dyDescent="0.3">
      <c r="A1306" s="50">
        <v>1302</v>
      </c>
      <c r="B1306" s="51">
        <f t="shared" ca="1" si="20"/>
        <v>0.68629330476205541</v>
      </c>
      <c r="C1306" s="48">
        <f t="array" aca="1" ref="C1306" ca="1">MAX(0,ROUND(Inputs!$B$10*Inputs!$B$11+NORMSINV(B1306)*SQRT(Inputs!$B$10*Inputs!$B$11),0))</f>
        <v>511</v>
      </c>
      <c r="D1306" s="52">
        <f ca="1">C1306*Inputs!$B$12</f>
        <v>61320000</v>
      </c>
    </row>
    <row r="1307" spans="1:4" ht="13.5" customHeight="1" x14ac:dyDescent="0.3">
      <c r="A1307" s="46">
        <v>1303</v>
      </c>
      <c r="B1307" s="47">
        <f t="shared" ca="1" si="20"/>
        <v>0.60928159170034246</v>
      </c>
      <c r="C1307" s="48">
        <f t="array" aca="1" ref="C1307" ca="1">MAX(0,ROUND(Inputs!$B$10*Inputs!$B$11+NORMSINV(B1307)*SQRT(Inputs!$B$10*Inputs!$B$11),0))</f>
        <v>506</v>
      </c>
      <c r="D1307" s="49">
        <f ca="1">C1307*Inputs!$B$12</f>
        <v>60720000</v>
      </c>
    </row>
    <row r="1308" spans="1:4" ht="13.5" customHeight="1" x14ac:dyDescent="0.3">
      <c r="A1308" s="50">
        <v>1304</v>
      </c>
      <c r="B1308" s="51">
        <f t="shared" ca="1" si="20"/>
        <v>0.34468086344564208</v>
      </c>
      <c r="C1308" s="48">
        <f t="array" aca="1" ref="C1308" ca="1">MAX(0,ROUND(Inputs!$B$10*Inputs!$B$11+NORMSINV(B1308)*SQRT(Inputs!$B$10*Inputs!$B$11),0))</f>
        <v>491</v>
      </c>
      <c r="D1308" s="52">
        <f ca="1">C1308*Inputs!$B$12</f>
        <v>58920000</v>
      </c>
    </row>
    <row r="1309" spans="1:4" ht="13.5" customHeight="1" x14ac:dyDescent="0.3">
      <c r="A1309" s="46">
        <v>1305</v>
      </c>
      <c r="B1309" s="47">
        <f t="shared" ca="1" si="20"/>
        <v>0.45483057245741898</v>
      </c>
      <c r="C1309" s="48">
        <f t="array" aca="1" ref="C1309" ca="1">MAX(0,ROUND(Inputs!$B$10*Inputs!$B$11+NORMSINV(B1309)*SQRT(Inputs!$B$10*Inputs!$B$11),0))</f>
        <v>497</v>
      </c>
      <c r="D1309" s="49">
        <f ca="1">C1309*Inputs!$B$12</f>
        <v>59640000</v>
      </c>
    </row>
    <row r="1310" spans="1:4" ht="13.5" customHeight="1" x14ac:dyDescent="0.3">
      <c r="A1310" s="50">
        <v>1306</v>
      </c>
      <c r="B1310" s="51">
        <f t="shared" ca="1" si="20"/>
        <v>0.25514005390799677</v>
      </c>
      <c r="C1310" s="48">
        <f t="array" aca="1" ref="C1310" ca="1">MAX(0,ROUND(Inputs!$B$10*Inputs!$B$11+NORMSINV(B1310)*SQRT(Inputs!$B$10*Inputs!$B$11),0))</f>
        <v>485</v>
      </c>
      <c r="D1310" s="52">
        <f ca="1">C1310*Inputs!$B$12</f>
        <v>58200000</v>
      </c>
    </row>
    <row r="1311" spans="1:4" ht="13.5" customHeight="1" x14ac:dyDescent="0.3">
      <c r="A1311" s="46">
        <v>1307</v>
      </c>
      <c r="B1311" s="47">
        <f t="shared" ca="1" si="20"/>
        <v>0.19632040481566193</v>
      </c>
      <c r="C1311" s="48">
        <f t="array" aca="1" ref="C1311" ca="1">MAX(0,ROUND(Inputs!$B$10*Inputs!$B$11+NORMSINV(B1311)*SQRT(Inputs!$B$10*Inputs!$B$11),0))</f>
        <v>481</v>
      </c>
      <c r="D1311" s="49">
        <f ca="1">C1311*Inputs!$B$12</f>
        <v>57720000</v>
      </c>
    </row>
    <row r="1312" spans="1:4" ht="13.5" customHeight="1" x14ac:dyDescent="0.3">
      <c r="A1312" s="50">
        <v>1308</v>
      </c>
      <c r="B1312" s="51">
        <f t="shared" ca="1" si="20"/>
        <v>0.10038349136583813</v>
      </c>
      <c r="C1312" s="48">
        <f t="array" aca="1" ref="C1312" ca="1">MAX(0,ROUND(Inputs!$B$10*Inputs!$B$11+NORMSINV(B1312)*SQRT(Inputs!$B$10*Inputs!$B$11),0))</f>
        <v>471</v>
      </c>
      <c r="D1312" s="52">
        <f ca="1">C1312*Inputs!$B$12</f>
        <v>56520000</v>
      </c>
    </row>
    <row r="1313" spans="1:4" ht="13.5" customHeight="1" x14ac:dyDescent="0.3">
      <c r="A1313" s="46">
        <v>1309</v>
      </c>
      <c r="B1313" s="47">
        <f t="shared" ca="1" si="20"/>
        <v>0.65904612185834099</v>
      </c>
      <c r="C1313" s="48">
        <f t="array" aca="1" ref="C1313" ca="1">MAX(0,ROUND(Inputs!$B$10*Inputs!$B$11+NORMSINV(B1313)*SQRT(Inputs!$B$10*Inputs!$B$11),0))</f>
        <v>509</v>
      </c>
      <c r="D1313" s="49">
        <f ca="1">C1313*Inputs!$B$12</f>
        <v>61080000</v>
      </c>
    </row>
    <row r="1314" spans="1:4" ht="13.5" customHeight="1" x14ac:dyDescent="0.3">
      <c r="A1314" s="50">
        <v>1310</v>
      </c>
      <c r="B1314" s="51">
        <f t="shared" ca="1" si="20"/>
        <v>0.43222428511149025</v>
      </c>
      <c r="C1314" s="48">
        <f t="array" aca="1" ref="C1314" ca="1">MAX(0,ROUND(Inputs!$B$10*Inputs!$B$11+NORMSINV(B1314)*SQRT(Inputs!$B$10*Inputs!$B$11),0))</f>
        <v>496</v>
      </c>
      <c r="D1314" s="52">
        <f ca="1">C1314*Inputs!$B$12</f>
        <v>59520000</v>
      </c>
    </row>
    <row r="1315" spans="1:4" ht="13.5" customHeight="1" x14ac:dyDescent="0.3">
      <c r="A1315" s="46">
        <v>1311</v>
      </c>
      <c r="B1315" s="47">
        <f t="shared" ca="1" si="20"/>
        <v>0.65217726101330087</v>
      </c>
      <c r="C1315" s="48">
        <f t="array" aca="1" ref="C1315" ca="1">MAX(0,ROUND(Inputs!$B$10*Inputs!$B$11+NORMSINV(B1315)*SQRT(Inputs!$B$10*Inputs!$B$11),0))</f>
        <v>509</v>
      </c>
      <c r="D1315" s="49">
        <f ca="1">C1315*Inputs!$B$12</f>
        <v>61080000</v>
      </c>
    </row>
    <row r="1316" spans="1:4" ht="13.5" customHeight="1" x14ac:dyDescent="0.3">
      <c r="A1316" s="50">
        <v>1312</v>
      </c>
      <c r="B1316" s="51">
        <f t="shared" ca="1" si="20"/>
        <v>0.64730277739100306</v>
      </c>
      <c r="C1316" s="48">
        <f t="array" aca="1" ref="C1316" ca="1">MAX(0,ROUND(Inputs!$B$10*Inputs!$B$11+NORMSINV(B1316)*SQRT(Inputs!$B$10*Inputs!$B$11),0))</f>
        <v>508</v>
      </c>
      <c r="D1316" s="52">
        <f ca="1">C1316*Inputs!$B$12</f>
        <v>60960000</v>
      </c>
    </row>
    <row r="1317" spans="1:4" ht="13.5" customHeight="1" x14ac:dyDescent="0.3">
      <c r="A1317" s="46">
        <v>1313</v>
      </c>
      <c r="B1317" s="47">
        <f t="shared" ca="1" si="20"/>
        <v>0.71443028986258794</v>
      </c>
      <c r="C1317" s="48">
        <f t="array" aca="1" ref="C1317" ca="1">MAX(0,ROUND(Inputs!$B$10*Inputs!$B$11+NORMSINV(B1317)*SQRT(Inputs!$B$10*Inputs!$B$11),0))</f>
        <v>513</v>
      </c>
      <c r="D1317" s="49">
        <f ca="1">C1317*Inputs!$B$12</f>
        <v>61560000</v>
      </c>
    </row>
    <row r="1318" spans="1:4" ht="13.5" customHeight="1" x14ac:dyDescent="0.3">
      <c r="A1318" s="50">
        <v>1314</v>
      </c>
      <c r="B1318" s="51">
        <f t="shared" ca="1" si="20"/>
        <v>0.14647560127975401</v>
      </c>
      <c r="C1318" s="48">
        <f t="array" aca="1" ref="C1318" ca="1">MAX(0,ROUND(Inputs!$B$10*Inputs!$B$11+NORMSINV(B1318)*SQRT(Inputs!$B$10*Inputs!$B$11),0))</f>
        <v>476</v>
      </c>
      <c r="D1318" s="52">
        <f ca="1">C1318*Inputs!$B$12</f>
        <v>57120000</v>
      </c>
    </row>
    <row r="1319" spans="1:4" ht="13.5" customHeight="1" x14ac:dyDescent="0.3">
      <c r="A1319" s="46">
        <v>1315</v>
      </c>
      <c r="B1319" s="47">
        <f t="shared" ca="1" si="20"/>
        <v>0.88158258709571236</v>
      </c>
      <c r="C1319" s="48">
        <f t="array" aca="1" ref="C1319" ca="1">MAX(0,ROUND(Inputs!$B$10*Inputs!$B$11+NORMSINV(B1319)*SQRT(Inputs!$B$10*Inputs!$B$11),0))</f>
        <v>526</v>
      </c>
      <c r="D1319" s="49">
        <f ca="1">C1319*Inputs!$B$12</f>
        <v>63120000</v>
      </c>
    </row>
    <row r="1320" spans="1:4" ht="13.5" customHeight="1" x14ac:dyDescent="0.3">
      <c r="A1320" s="50">
        <v>1316</v>
      </c>
      <c r="B1320" s="51">
        <f t="shared" ca="1" si="20"/>
        <v>0.58352040068810118</v>
      </c>
      <c r="C1320" s="48">
        <f t="array" aca="1" ref="C1320" ca="1">MAX(0,ROUND(Inputs!$B$10*Inputs!$B$11+NORMSINV(B1320)*SQRT(Inputs!$B$10*Inputs!$B$11),0))</f>
        <v>505</v>
      </c>
      <c r="D1320" s="52">
        <f ca="1">C1320*Inputs!$B$12</f>
        <v>60600000</v>
      </c>
    </row>
    <row r="1321" spans="1:4" ht="13.5" customHeight="1" x14ac:dyDescent="0.3">
      <c r="A1321" s="46">
        <v>1317</v>
      </c>
      <c r="B1321" s="47">
        <f t="shared" ca="1" si="20"/>
        <v>0.88202460939371941</v>
      </c>
      <c r="C1321" s="48">
        <f t="array" aca="1" ref="C1321" ca="1">MAX(0,ROUND(Inputs!$B$10*Inputs!$B$11+NORMSINV(B1321)*SQRT(Inputs!$B$10*Inputs!$B$11),0))</f>
        <v>527</v>
      </c>
      <c r="D1321" s="49">
        <f ca="1">C1321*Inputs!$B$12</f>
        <v>63240000</v>
      </c>
    </row>
    <row r="1322" spans="1:4" ht="13.5" customHeight="1" x14ac:dyDescent="0.3">
      <c r="A1322" s="50">
        <v>1318</v>
      </c>
      <c r="B1322" s="51">
        <f t="shared" ca="1" si="20"/>
        <v>4.8236107034514752E-2</v>
      </c>
      <c r="C1322" s="48">
        <f t="array" aca="1" ref="C1322" ca="1">MAX(0,ROUND(Inputs!$B$10*Inputs!$B$11+NORMSINV(B1322)*SQRT(Inputs!$B$10*Inputs!$B$11),0))</f>
        <v>463</v>
      </c>
      <c r="D1322" s="52">
        <f ca="1">C1322*Inputs!$B$12</f>
        <v>55560000</v>
      </c>
    </row>
    <row r="1323" spans="1:4" ht="13.5" customHeight="1" x14ac:dyDescent="0.3">
      <c r="A1323" s="46">
        <v>1319</v>
      </c>
      <c r="B1323" s="47">
        <f t="shared" ca="1" si="20"/>
        <v>0.88542852129307781</v>
      </c>
      <c r="C1323" s="48">
        <f t="array" aca="1" ref="C1323" ca="1">MAX(0,ROUND(Inputs!$B$10*Inputs!$B$11+NORMSINV(B1323)*SQRT(Inputs!$B$10*Inputs!$B$11),0))</f>
        <v>527</v>
      </c>
      <c r="D1323" s="49">
        <f ca="1">C1323*Inputs!$B$12</f>
        <v>63240000</v>
      </c>
    </row>
    <row r="1324" spans="1:4" ht="13.5" customHeight="1" x14ac:dyDescent="0.3">
      <c r="A1324" s="50">
        <v>1320</v>
      </c>
      <c r="B1324" s="51">
        <f t="shared" ca="1" si="20"/>
        <v>0.28959335766194694</v>
      </c>
      <c r="C1324" s="48">
        <f t="array" aca="1" ref="C1324" ca="1">MAX(0,ROUND(Inputs!$B$10*Inputs!$B$11+NORMSINV(B1324)*SQRT(Inputs!$B$10*Inputs!$B$11),0))</f>
        <v>488</v>
      </c>
      <c r="D1324" s="52">
        <f ca="1">C1324*Inputs!$B$12</f>
        <v>58560000</v>
      </c>
    </row>
    <row r="1325" spans="1:4" ht="13.5" customHeight="1" x14ac:dyDescent="0.3">
      <c r="A1325" s="46">
        <v>1321</v>
      </c>
      <c r="B1325" s="47">
        <f t="shared" ca="1" si="20"/>
        <v>0.14826160944732092</v>
      </c>
      <c r="C1325" s="48">
        <f t="array" aca="1" ref="C1325" ca="1">MAX(0,ROUND(Inputs!$B$10*Inputs!$B$11+NORMSINV(B1325)*SQRT(Inputs!$B$10*Inputs!$B$11),0))</f>
        <v>477</v>
      </c>
      <c r="D1325" s="49">
        <f ca="1">C1325*Inputs!$B$12</f>
        <v>57240000</v>
      </c>
    </row>
    <row r="1326" spans="1:4" ht="13.5" customHeight="1" x14ac:dyDescent="0.3">
      <c r="A1326" s="50">
        <v>1322</v>
      </c>
      <c r="B1326" s="51">
        <f t="shared" ca="1" si="20"/>
        <v>0.34561174452654664</v>
      </c>
      <c r="C1326" s="48">
        <f t="array" aca="1" ref="C1326" ca="1">MAX(0,ROUND(Inputs!$B$10*Inputs!$B$11+NORMSINV(B1326)*SQRT(Inputs!$B$10*Inputs!$B$11),0))</f>
        <v>491</v>
      </c>
      <c r="D1326" s="52">
        <f ca="1">C1326*Inputs!$B$12</f>
        <v>58920000</v>
      </c>
    </row>
    <row r="1327" spans="1:4" ht="13.5" customHeight="1" x14ac:dyDescent="0.3">
      <c r="A1327" s="46">
        <v>1323</v>
      </c>
      <c r="B1327" s="47">
        <f t="shared" ca="1" si="20"/>
        <v>0.52181676655609288</v>
      </c>
      <c r="C1327" s="48">
        <f t="array" aca="1" ref="C1327" ca="1">MAX(0,ROUND(Inputs!$B$10*Inputs!$B$11+NORMSINV(B1327)*SQRT(Inputs!$B$10*Inputs!$B$11),0))</f>
        <v>501</v>
      </c>
      <c r="D1327" s="49">
        <f ca="1">C1327*Inputs!$B$12</f>
        <v>60120000</v>
      </c>
    </row>
    <row r="1328" spans="1:4" ht="13.5" customHeight="1" x14ac:dyDescent="0.3">
      <c r="A1328" s="50">
        <v>1324</v>
      </c>
      <c r="B1328" s="51">
        <f t="shared" ca="1" si="20"/>
        <v>0.10203795860575005</v>
      </c>
      <c r="C1328" s="48">
        <f t="array" aca="1" ref="C1328" ca="1">MAX(0,ROUND(Inputs!$B$10*Inputs!$B$11+NORMSINV(B1328)*SQRT(Inputs!$B$10*Inputs!$B$11),0))</f>
        <v>472</v>
      </c>
      <c r="D1328" s="52">
        <f ca="1">C1328*Inputs!$B$12</f>
        <v>56640000</v>
      </c>
    </row>
    <row r="1329" spans="1:4" ht="13.5" customHeight="1" x14ac:dyDescent="0.3">
      <c r="A1329" s="46">
        <v>1325</v>
      </c>
      <c r="B1329" s="47">
        <f t="shared" ca="1" si="20"/>
        <v>0.40697853283919849</v>
      </c>
      <c r="C1329" s="48">
        <f t="array" aca="1" ref="C1329" ca="1">MAX(0,ROUND(Inputs!$B$10*Inputs!$B$11+NORMSINV(B1329)*SQRT(Inputs!$B$10*Inputs!$B$11),0))</f>
        <v>495</v>
      </c>
      <c r="D1329" s="49">
        <f ca="1">C1329*Inputs!$B$12</f>
        <v>59400000</v>
      </c>
    </row>
    <row r="1330" spans="1:4" ht="13.5" customHeight="1" x14ac:dyDescent="0.3">
      <c r="A1330" s="50">
        <v>1326</v>
      </c>
      <c r="B1330" s="51">
        <f t="shared" ca="1" si="20"/>
        <v>0.85209511819821515</v>
      </c>
      <c r="C1330" s="48">
        <f t="array" aca="1" ref="C1330" ca="1">MAX(0,ROUND(Inputs!$B$10*Inputs!$B$11+NORMSINV(B1330)*SQRT(Inputs!$B$10*Inputs!$B$11),0))</f>
        <v>523</v>
      </c>
      <c r="D1330" s="52">
        <f ca="1">C1330*Inputs!$B$12</f>
        <v>62760000</v>
      </c>
    </row>
    <row r="1331" spans="1:4" ht="13.5" customHeight="1" x14ac:dyDescent="0.3">
      <c r="A1331" s="46">
        <v>1327</v>
      </c>
      <c r="B1331" s="47">
        <f t="shared" ca="1" si="20"/>
        <v>0.98076892610116873</v>
      </c>
      <c r="C1331" s="48">
        <f t="array" aca="1" ref="C1331" ca="1">MAX(0,ROUND(Inputs!$B$10*Inputs!$B$11+NORMSINV(B1331)*SQRT(Inputs!$B$10*Inputs!$B$11),0))</f>
        <v>546</v>
      </c>
      <c r="D1331" s="49">
        <f ca="1">C1331*Inputs!$B$12</f>
        <v>65520000</v>
      </c>
    </row>
    <row r="1332" spans="1:4" ht="13.5" customHeight="1" x14ac:dyDescent="0.3">
      <c r="A1332" s="50">
        <v>1328</v>
      </c>
      <c r="B1332" s="51">
        <f t="shared" ca="1" si="20"/>
        <v>0.51866965862599324</v>
      </c>
      <c r="C1332" s="48">
        <f t="array" aca="1" ref="C1332" ca="1">MAX(0,ROUND(Inputs!$B$10*Inputs!$B$11+NORMSINV(B1332)*SQRT(Inputs!$B$10*Inputs!$B$11),0))</f>
        <v>501</v>
      </c>
      <c r="D1332" s="52">
        <f ca="1">C1332*Inputs!$B$12</f>
        <v>60120000</v>
      </c>
    </row>
    <row r="1333" spans="1:4" ht="13.5" customHeight="1" x14ac:dyDescent="0.3">
      <c r="A1333" s="46">
        <v>1329</v>
      </c>
      <c r="B1333" s="47">
        <f t="shared" ca="1" si="20"/>
        <v>2.6598651383829219E-2</v>
      </c>
      <c r="C1333" s="48">
        <f t="array" aca="1" ref="C1333" ca="1">MAX(0,ROUND(Inputs!$B$10*Inputs!$B$11+NORMSINV(B1333)*SQRT(Inputs!$B$10*Inputs!$B$11),0))</f>
        <v>457</v>
      </c>
      <c r="D1333" s="49">
        <f ca="1">C1333*Inputs!$B$12</f>
        <v>54840000</v>
      </c>
    </row>
    <row r="1334" spans="1:4" ht="13.5" customHeight="1" x14ac:dyDescent="0.3">
      <c r="A1334" s="50">
        <v>1330</v>
      </c>
      <c r="B1334" s="51">
        <f t="shared" ca="1" si="20"/>
        <v>0.52505260418651301</v>
      </c>
      <c r="C1334" s="48">
        <f t="array" aca="1" ref="C1334" ca="1">MAX(0,ROUND(Inputs!$B$10*Inputs!$B$11+NORMSINV(B1334)*SQRT(Inputs!$B$10*Inputs!$B$11),0))</f>
        <v>501</v>
      </c>
      <c r="D1334" s="52">
        <f ca="1">C1334*Inputs!$B$12</f>
        <v>60120000</v>
      </c>
    </row>
    <row r="1335" spans="1:4" ht="13.5" customHeight="1" x14ac:dyDescent="0.3">
      <c r="A1335" s="46">
        <v>1331</v>
      </c>
      <c r="B1335" s="47">
        <f t="shared" ca="1" si="20"/>
        <v>0.43082650268745759</v>
      </c>
      <c r="C1335" s="48">
        <f t="array" aca="1" ref="C1335" ca="1">MAX(0,ROUND(Inputs!$B$10*Inputs!$B$11+NORMSINV(B1335)*SQRT(Inputs!$B$10*Inputs!$B$11),0))</f>
        <v>496</v>
      </c>
      <c r="D1335" s="49">
        <f ca="1">C1335*Inputs!$B$12</f>
        <v>59520000</v>
      </c>
    </row>
    <row r="1336" spans="1:4" ht="13.5" customHeight="1" x14ac:dyDescent="0.3">
      <c r="A1336" s="50">
        <v>1332</v>
      </c>
      <c r="B1336" s="51">
        <f t="shared" ca="1" si="20"/>
        <v>0.91561378006773031</v>
      </c>
      <c r="C1336" s="48">
        <f t="array" aca="1" ref="C1336" ca="1">MAX(0,ROUND(Inputs!$B$10*Inputs!$B$11+NORMSINV(B1336)*SQRT(Inputs!$B$10*Inputs!$B$11),0))</f>
        <v>531</v>
      </c>
      <c r="D1336" s="52">
        <f ca="1">C1336*Inputs!$B$12</f>
        <v>63720000</v>
      </c>
    </row>
    <row r="1337" spans="1:4" ht="13.5" customHeight="1" x14ac:dyDescent="0.3">
      <c r="A1337" s="46">
        <v>1333</v>
      </c>
      <c r="B1337" s="47">
        <f t="shared" ca="1" si="20"/>
        <v>0.44977981514427179</v>
      </c>
      <c r="C1337" s="48">
        <f t="array" aca="1" ref="C1337" ca="1">MAX(0,ROUND(Inputs!$B$10*Inputs!$B$11+NORMSINV(B1337)*SQRT(Inputs!$B$10*Inputs!$B$11),0))</f>
        <v>497</v>
      </c>
      <c r="D1337" s="49">
        <f ca="1">C1337*Inputs!$B$12</f>
        <v>59640000</v>
      </c>
    </row>
    <row r="1338" spans="1:4" ht="13.5" customHeight="1" x14ac:dyDescent="0.3">
      <c r="A1338" s="50">
        <v>1334</v>
      </c>
      <c r="B1338" s="51">
        <f t="shared" ca="1" si="20"/>
        <v>0.25121562995508084</v>
      </c>
      <c r="C1338" s="48">
        <f t="array" aca="1" ref="C1338" ca="1">MAX(0,ROUND(Inputs!$B$10*Inputs!$B$11+NORMSINV(B1338)*SQRT(Inputs!$B$10*Inputs!$B$11),0))</f>
        <v>485</v>
      </c>
      <c r="D1338" s="52">
        <f ca="1">C1338*Inputs!$B$12</f>
        <v>58200000</v>
      </c>
    </row>
    <row r="1339" spans="1:4" ht="13.5" customHeight="1" x14ac:dyDescent="0.3">
      <c r="A1339" s="46">
        <v>1335</v>
      </c>
      <c r="B1339" s="47">
        <f t="shared" ca="1" si="20"/>
        <v>0.57498814277161181</v>
      </c>
      <c r="C1339" s="48">
        <f t="array" aca="1" ref="C1339" ca="1">MAX(0,ROUND(Inputs!$B$10*Inputs!$B$11+NORMSINV(B1339)*SQRT(Inputs!$B$10*Inputs!$B$11),0))</f>
        <v>504</v>
      </c>
      <c r="D1339" s="49">
        <f ca="1">C1339*Inputs!$B$12</f>
        <v>60480000</v>
      </c>
    </row>
    <row r="1340" spans="1:4" ht="13.5" customHeight="1" x14ac:dyDescent="0.3">
      <c r="A1340" s="50">
        <v>1336</v>
      </c>
      <c r="B1340" s="51">
        <f t="shared" ca="1" si="20"/>
        <v>0.54434697920397823</v>
      </c>
      <c r="C1340" s="48">
        <f t="array" aca="1" ref="C1340" ca="1">MAX(0,ROUND(Inputs!$B$10*Inputs!$B$11+NORMSINV(B1340)*SQRT(Inputs!$B$10*Inputs!$B$11),0))</f>
        <v>502</v>
      </c>
      <c r="D1340" s="52">
        <f ca="1">C1340*Inputs!$B$12</f>
        <v>60240000</v>
      </c>
    </row>
    <row r="1341" spans="1:4" ht="13.5" customHeight="1" x14ac:dyDescent="0.3">
      <c r="A1341" s="46">
        <v>1337</v>
      </c>
      <c r="B1341" s="47">
        <f t="shared" ca="1" si="20"/>
        <v>0.24497779205793291</v>
      </c>
      <c r="C1341" s="48">
        <f t="array" aca="1" ref="C1341" ca="1">MAX(0,ROUND(Inputs!$B$10*Inputs!$B$11+NORMSINV(B1341)*SQRT(Inputs!$B$10*Inputs!$B$11),0))</f>
        <v>485</v>
      </c>
      <c r="D1341" s="49">
        <f ca="1">C1341*Inputs!$B$12</f>
        <v>58200000</v>
      </c>
    </row>
    <row r="1342" spans="1:4" ht="13.5" customHeight="1" x14ac:dyDescent="0.3">
      <c r="A1342" s="50">
        <v>1338</v>
      </c>
      <c r="B1342" s="51">
        <f t="shared" ca="1" si="20"/>
        <v>0.22033142392221361</v>
      </c>
      <c r="C1342" s="48">
        <f t="array" aca="1" ref="C1342" ca="1">MAX(0,ROUND(Inputs!$B$10*Inputs!$B$11+NORMSINV(B1342)*SQRT(Inputs!$B$10*Inputs!$B$11),0))</f>
        <v>483</v>
      </c>
      <c r="D1342" s="52">
        <f ca="1">C1342*Inputs!$B$12</f>
        <v>57960000</v>
      </c>
    </row>
    <row r="1343" spans="1:4" ht="13.5" customHeight="1" x14ac:dyDescent="0.3">
      <c r="A1343" s="46">
        <v>1339</v>
      </c>
      <c r="B1343" s="47">
        <f t="shared" ca="1" si="20"/>
        <v>0.24337642354734823</v>
      </c>
      <c r="C1343" s="48">
        <f t="array" aca="1" ref="C1343" ca="1">MAX(0,ROUND(Inputs!$B$10*Inputs!$B$11+NORMSINV(B1343)*SQRT(Inputs!$B$10*Inputs!$B$11),0))</f>
        <v>484</v>
      </c>
      <c r="D1343" s="49">
        <f ca="1">C1343*Inputs!$B$12</f>
        <v>58080000</v>
      </c>
    </row>
    <row r="1344" spans="1:4" ht="13.5" customHeight="1" x14ac:dyDescent="0.3">
      <c r="A1344" s="50">
        <v>1340</v>
      </c>
      <c r="B1344" s="51">
        <f t="shared" ca="1" si="20"/>
        <v>0.45186788347002305</v>
      </c>
      <c r="C1344" s="48">
        <f t="array" aca="1" ref="C1344" ca="1">MAX(0,ROUND(Inputs!$B$10*Inputs!$B$11+NORMSINV(B1344)*SQRT(Inputs!$B$10*Inputs!$B$11),0))</f>
        <v>497</v>
      </c>
      <c r="D1344" s="52">
        <f ca="1">C1344*Inputs!$B$12</f>
        <v>59640000</v>
      </c>
    </row>
    <row r="1345" spans="1:4" ht="13.5" customHeight="1" x14ac:dyDescent="0.3">
      <c r="A1345" s="46">
        <v>1341</v>
      </c>
      <c r="B1345" s="47">
        <f t="shared" ca="1" si="20"/>
        <v>0.37519399044343982</v>
      </c>
      <c r="C1345" s="48">
        <f t="array" aca="1" ref="C1345" ca="1">MAX(0,ROUND(Inputs!$B$10*Inputs!$B$11+NORMSINV(B1345)*SQRT(Inputs!$B$10*Inputs!$B$11),0))</f>
        <v>493</v>
      </c>
      <c r="D1345" s="49">
        <f ca="1">C1345*Inputs!$B$12</f>
        <v>59160000</v>
      </c>
    </row>
    <row r="1346" spans="1:4" ht="13.5" customHeight="1" x14ac:dyDescent="0.3">
      <c r="A1346" s="50">
        <v>1342</v>
      </c>
      <c r="B1346" s="51">
        <f t="shared" ca="1" si="20"/>
        <v>7.8753233451471449E-2</v>
      </c>
      <c r="C1346" s="48">
        <f t="array" aca="1" ref="C1346" ca="1">MAX(0,ROUND(Inputs!$B$10*Inputs!$B$11+NORMSINV(B1346)*SQRT(Inputs!$B$10*Inputs!$B$11),0))</f>
        <v>468</v>
      </c>
      <c r="D1346" s="52">
        <f ca="1">C1346*Inputs!$B$12</f>
        <v>56160000</v>
      </c>
    </row>
    <row r="1347" spans="1:4" ht="13.5" customHeight="1" x14ac:dyDescent="0.3">
      <c r="A1347" s="46">
        <v>1343</v>
      </c>
      <c r="B1347" s="47">
        <f t="shared" ca="1" si="20"/>
        <v>0.61538066114751189</v>
      </c>
      <c r="C1347" s="48">
        <f t="array" aca="1" ref="C1347" ca="1">MAX(0,ROUND(Inputs!$B$10*Inputs!$B$11+NORMSINV(B1347)*SQRT(Inputs!$B$10*Inputs!$B$11),0))</f>
        <v>507</v>
      </c>
      <c r="D1347" s="49">
        <f ca="1">C1347*Inputs!$B$12</f>
        <v>60840000</v>
      </c>
    </row>
    <row r="1348" spans="1:4" ht="13.5" customHeight="1" x14ac:dyDescent="0.3">
      <c r="A1348" s="50">
        <v>1344</v>
      </c>
      <c r="B1348" s="51">
        <f t="shared" ca="1" si="20"/>
        <v>0.57831883296512987</v>
      </c>
      <c r="C1348" s="48">
        <f t="array" aca="1" ref="C1348" ca="1">MAX(0,ROUND(Inputs!$B$10*Inputs!$B$11+NORMSINV(B1348)*SQRT(Inputs!$B$10*Inputs!$B$11),0))</f>
        <v>504</v>
      </c>
      <c r="D1348" s="52">
        <f ca="1">C1348*Inputs!$B$12</f>
        <v>60480000</v>
      </c>
    </row>
    <row r="1349" spans="1:4" ht="13.5" customHeight="1" x14ac:dyDescent="0.3">
      <c r="A1349" s="46">
        <v>1345</v>
      </c>
      <c r="B1349" s="47">
        <f t="shared" ref="B1349:B1412" ca="1" si="21">RAND()</f>
        <v>8.3219882084743624E-2</v>
      </c>
      <c r="C1349" s="48">
        <f t="array" aca="1" ref="C1349" ca="1">MAX(0,ROUND(Inputs!$B$10*Inputs!$B$11+NORMSINV(B1349)*SQRT(Inputs!$B$10*Inputs!$B$11),0))</f>
        <v>469</v>
      </c>
      <c r="D1349" s="49">
        <f ca="1">C1349*Inputs!$B$12</f>
        <v>56280000</v>
      </c>
    </row>
    <row r="1350" spans="1:4" ht="13.5" customHeight="1" x14ac:dyDescent="0.3">
      <c r="A1350" s="50">
        <v>1346</v>
      </c>
      <c r="B1350" s="51">
        <f t="shared" ca="1" si="21"/>
        <v>0.96622802440382338</v>
      </c>
      <c r="C1350" s="48">
        <f t="array" aca="1" ref="C1350" ca="1">MAX(0,ROUND(Inputs!$B$10*Inputs!$B$11+NORMSINV(B1350)*SQRT(Inputs!$B$10*Inputs!$B$11),0))</f>
        <v>541</v>
      </c>
      <c r="D1350" s="52">
        <f ca="1">C1350*Inputs!$B$12</f>
        <v>64920000</v>
      </c>
    </row>
    <row r="1351" spans="1:4" ht="13.5" customHeight="1" x14ac:dyDescent="0.3">
      <c r="A1351" s="46">
        <v>1347</v>
      </c>
      <c r="B1351" s="47">
        <f t="shared" ca="1" si="21"/>
        <v>0.46679523885106666</v>
      </c>
      <c r="C1351" s="48">
        <f t="array" aca="1" ref="C1351" ca="1">MAX(0,ROUND(Inputs!$B$10*Inputs!$B$11+NORMSINV(B1351)*SQRT(Inputs!$B$10*Inputs!$B$11),0))</f>
        <v>498</v>
      </c>
      <c r="D1351" s="49">
        <f ca="1">C1351*Inputs!$B$12</f>
        <v>59760000</v>
      </c>
    </row>
    <row r="1352" spans="1:4" ht="13.5" customHeight="1" x14ac:dyDescent="0.3">
      <c r="A1352" s="50">
        <v>1348</v>
      </c>
      <c r="B1352" s="51">
        <f t="shared" ca="1" si="21"/>
        <v>0.22543546481379506</v>
      </c>
      <c r="C1352" s="48">
        <f t="array" aca="1" ref="C1352" ca="1">MAX(0,ROUND(Inputs!$B$10*Inputs!$B$11+NORMSINV(B1352)*SQRT(Inputs!$B$10*Inputs!$B$11),0))</f>
        <v>483</v>
      </c>
      <c r="D1352" s="52">
        <f ca="1">C1352*Inputs!$B$12</f>
        <v>57960000</v>
      </c>
    </row>
    <row r="1353" spans="1:4" ht="13.5" customHeight="1" x14ac:dyDescent="0.3">
      <c r="A1353" s="46">
        <v>1349</v>
      </c>
      <c r="B1353" s="47">
        <f t="shared" ca="1" si="21"/>
        <v>0.45621062444783345</v>
      </c>
      <c r="C1353" s="48">
        <f t="array" aca="1" ref="C1353" ca="1">MAX(0,ROUND(Inputs!$B$10*Inputs!$B$11+NORMSINV(B1353)*SQRT(Inputs!$B$10*Inputs!$B$11),0))</f>
        <v>498</v>
      </c>
      <c r="D1353" s="49">
        <f ca="1">C1353*Inputs!$B$12</f>
        <v>59760000</v>
      </c>
    </row>
    <row r="1354" spans="1:4" ht="13.5" customHeight="1" x14ac:dyDescent="0.3">
      <c r="A1354" s="50">
        <v>1350</v>
      </c>
      <c r="B1354" s="51">
        <f t="shared" ca="1" si="21"/>
        <v>0.42275873366018035</v>
      </c>
      <c r="C1354" s="48">
        <f t="array" aca="1" ref="C1354" ca="1">MAX(0,ROUND(Inputs!$B$10*Inputs!$B$11+NORMSINV(B1354)*SQRT(Inputs!$B$10*Inputs!$B$11),0))</f>
        <v>496</v>
      </c>
      <c r="D1354" s="52">
        <f ca="1">C1354*Inputs!$B$12</f>
        <v>59520000</v>
      </c>
    </row>
    <row r="1355" spans="1:4" ht="13.5" customHeight="1" x14ac:dyDescent="0.3">
      <c r="A1355" s="46">
        <v>1351</v>
      </c>
      <c r="B1355" s="47">
        <f t="shared" ca="1" si="21"/>
        <v>0.24673594959856004</v>
      </c>
      <c r="C1355" s="48">
        <f t="array" aca="1" ref="C1355" ca="1">MAX(0,ROUND(Inputs!$B$10*Inputs!$B$11+NORMSINV(B1355)*SQRT(Inputs!$B$10*Inputs!$B$11),0))</f>
        <v>485</v>
      </c>
      <c r="D1355" s="49">
        <f ca="1">C1355*Inputs!$B$12</f>
        <v>58200000</v>
      </c>
    </row>
    <row r="1356" spans="1:4" ht="13.5" customHeight="1" x14ac:dyDescent="0.3">
      <c r="A1356" s="50">
        <v>1352</v>
      </c>
      <c r="B1356" s="51">
        <f t="shared" ca="1" si="21"/>
        <v>0.2687665702232942</v>
      </c>
      <c r="C1356" s="48">
        <f t="array" aca="1" ref="C1356" ca="1">MAX(0,ROUND(Inputs!$B$10*Inputs!$B$11+NORMSINV(B1356)*SQRT(Inputs!$B$10*Inputs!$B$11),0))</f>
        <v>486</v>
      </c>
      <c r="D1356" s="52">
        <f ca="1">C1356*Inputs!$B$12</f>
        <v>58320000</v>
      </c>
    </row>
    <row r="1357" spans="1:4" ht="13.5" customHeight="1" x14ac:dyDescent="0.3">
      <c r="A1357" s="46">
        <v>1353</v>
      </c>
      <c r="B1357" s="47">
        <f t="shared" ca="1" si="21"/>
        <v>8.7530529396951717E-2</v>
      </c>
      <c r="C1357" s="48">
        <f t="array" aca="1" ref="C1357" ca="1">MAX(0,ROUND(Inputs!$B$10*Inputs!$B$11+NORMSINV(B1357)*SQRT(Inputs!$B$10*Inputs!$B$11),0))</f>
        <v>470</v>
      </c>
      <c r="D1357" s="49">
        <f ca="1">C1357*Inputs!$B$12</f>
        <v>56400000</v>
      </c>
    </row>
    <row r="1358" spans="1:4" ht="13.5" customHeight="1" x14ac:dyDescent="0.3">
      <c r="A1358" s="50">
        <v>1354</v>
      </c>
      <c r="B1358" s="51">
        <f t="shared" ca="1" si="21"/>
        <v>0.40105581354207398</v>
      </c>
      <c r="C1358" s="48">
        <f t="array" aca="1" ref="C1358" ca="1">MAX(0,ROUND(Inputs!$B$10*Inputs!$B$11+NORMSINV(B1358)*SQRT(Inputs!$B$10*Inputs!$B$11),0))</f>
        <v>494</v>
      </c>
      <c r="D1358" s="52">
        <f ca="1">C1358*Inputs!$B$12</f>
        <v>59280000</v>
      </c>
    </row>
    <row r="1359" spans="1:4" ht="13.5" customHeight="1" x14ac:dyDescent="0.3">
      <c r="A1359" s="46">
        <v>1355</v>
      </c>
      <c r="B1359" s="47">
        <f t="shared" ca="1" si="21"/>
        <v>0.82216910146773514</v>
      </c>
      <c r="C1359" s="48">
        <f t="array" aca="1" ref="C1359" ca="1">MAX(0,ROUND(Inputs!$B$10*Inputs!$B$11+NORMSINV(B1359)*SQRT(Inputs!$B$10*Inputs!$B$11),0))</f>
        <v>521</v>
      </c>
      <c r="D1359" s="49">
        <f ca="1">C1359*Inputs!$B$12</f>
        <v>62520000</v>
      </c>
    </row>
    <row r="1360" spans="1:4" ht="13.5" customHeight="1" x14ac:dyDescent="0.3">
      <c r="A1360" s="50">
        <v>1356</v>
      </c>
      <c r="B1360" s="51">
        <f t="shared" ca="1" si="21"/>
        <v>0.95381000731502708</v>
      </c>
      <c r="C1360" s="48">
        <f t="array" aca="1" ref="C1360" ca="1">MAX(0,ROUND(Inputs!$B$10*Inputs!$B$11+NORMSINV(B1360)*SQRT(Inputs!$B$10*Inputs!$B$11),0))</f>
        <v>538</v>
      </c>
      <c r="D1360" s="52">
        <f ca="1">C1360*Inputs!$B$12</f>
        <v>64560000</v>
      </c>
    </row>
    <row r="1361" spans="1:4" ht="13.5" customHeight="1" x14ac:dyDescent="0.3">
      <c r="A1361" s="46">
        <v>1357</v>
      </c>
      <c r="B1361" s="47">
        <f t="shared" ca="1" si="21"/>
        <v>0.39932826754799211</v>
      </c>
      <c r="C1361" s="48">
        <f t="array" aca="1" ref="C1361" ca="1">MAX(0,ROUND(Inputs!$B$10*Inputs!$B$11+NORMSINV(B1361)*SQRT(Inputs!$B$10*Inputs!$B$11),0))</f>
        <v>494</v>
      </c>
      <c r="D1361" s="49">
        <f ca="1">C1361*Inputs!$B$12</f>
        <v>59280000</v>
      </c>
    </row>
    <row r="1362" spans="1:4" ht="13.5" customHeight="1" x14ac:dyDescent="0.3">
      <c r="A1362" s="50">
        <v>1358</v>
      </c>
      <c r="B1362" s="51">
        <f t="shared" ca="1" si="21"/>
        <v>1.2885056942293027E-2</v>
      </c>
      <c r="C1362" s="48">
        <f t="array" aca="1" ref="C1362" ca="1">MAX(0,ROUND(Inputs!$B$10*Inputs!$B$11+NORMSINV(B1362)*SQRT(Inputs!$B$10*Inputs!$B$11),0))</f>
        <v>450</v>
      </c>
      <c r="D1362" s="52">
        <f ca="1">C1362*Inputs!$B$12</f>
        <v>54000000</v>
      </c>
    </row>
    <row r="1363" spans="1:4" ht="13.5" customHeight="1" x14ac:dyDescent="0.3">
      <c r="A1363" s="46">
        <v>1359</v>
      </c>
      <c r="B1363" s="47">
        <f t="shared" ca="1" si="21"/>
        <v>0.53837930591187777</v>
      </c>
      <c r="C1363" s="48">
        <f t="array" aca="1" ref="C1363" ca="1">MAX(0,ROUND(Inputs!$B$10*Inputs!$B$11+NORMSINV(B1363)*SQRT(Inputs!$B$10*Inputs!$B$11),0))</f>
        <v>502</v>
      </c>
      <c r="D1363" s="49">
        <f ca="1">C1363*Inputs!$B$12</f>
        <v>60240000</v>
      </c>
    </row>
    <row r="1364" spans="1:4" ht="13.5" customHeight="1" x14ac:dyDescent="0.3">
      <c r="A1364" s="50">
        <v>1360</v>
      </c>
      <c r="B1364" s="51">
        <f t="shared" ca="1" si="21"/>
        <v>0.10542494747599473</v>
      </c>
      <c r="C1364" s="48">
        <f t="array" aca="1" ref="C1364" ca="1">MAX(0,ROUND(Inputs!$B$10*Inputs!$B$11+NORMSINV(B1364)*SQRT(Inputs!$B$10*Inputs!$B$11),0))</f>
        <v>472</v>
      </c>
      <c r="D1364" s="52">
        <f ca="1">C1364*Inputs!$B$12</f>
        <v>56640000</v>
      </c>
    </row>
    <row r="1365" spans="1:4" ht="13.5" customHeight="1" x14ac:dyDescent="0.3">
      <c r="A1365" s="46">
        <v>1361</v>
      </c>
      <c r="B1365" s="47">
        <f t="shared" ca="1" si="21"/>
        <v>5.3576120625840273E-2</v>
      </c>
      <c r="C1365" s="48">
        <f t="array" aca="1" ref="C1365" ca="1">MAX(0,ROUND(Inputs!$B$10*Inputs!$B$11+NORMSINV(B1365)*SQRT(Inputs!$B$10*Inputs!$B$11),0))</f>
        <v>464</v>
      </c>
      <c r="D1365" s="49">
        <f ca="1">C1365*Inputs!$B$12</f>
        <v>55680000</v>
      </c>
    </row>
    <row r="1366" spans="1:4" ht="13.5" customHeight="1" x14ac:dyDescent="0.3">
      <c r="A1366" s="50">
        <v>1362</v>
      </c>
      <c r="B1366" s="51">
        <f t="shared" ca="1" si="21"/>
        <v>0.33077977192122554</v>
      </c>
      <c r="C1366" s="48">
        <f t="array" aca="1" ref="C1366" ca="1">MAX(0,ROUND(Inputs!$B$10*Inputs!$B$11+NORMSINV(B1366)*SQRT(Inputs!$B$10*Inputs!$B$11),0))</f>
        <v>490</v>
      </c>
      <c r="D1366" s="52">
        <f ca="1">C1366*Inputs!$B$12</f>
        <v>58800000</v>
      </c>
    </row>
    <row r="1367" spans="1:4" ht="13.5" customHeight="1" x14ac:dyDescent="0.3">
      <c r="A1367" s="46">
        <v>1363</v>
      </c>
      <c r="B1367" s="47">
        <f t="shared" ca="1" si="21"/>
        <v>0.142610074237986</v>
      </c>
      <c r="C1367" s="48">
        <f t="array" aca="1" ref="C1367" ca="1">MAX(0,ROUND(Inputs!$B$10*Inputs!$B$11+NORMSINV(B1367)*SQRT(Inputs!$B$10*Inputs!$B$11),0))</f>
        <v>476</v>
      </c>
      <c r="D1367" s="49">
        <f ca="1">C1367*Inputs!$B$12</f>
        <v>57120000</v>
      </c>
    </row>
    <row r="1368" spans="1:4" ht="13.5" customHeight="1" x14ac:dyDescent="0.3">
      <c r="A1368" s="50">
        <v>1364</v>
      </c>
      <c r="B1368" s="51">
        <f t="shared" ca="1" si="21"/>
        <v>0.27884676930949792</v>
      </c>
      <c r="C1368" s="48">
        <f t="array" aca="1" ref="C1368" ca="1">MAX(0,ROUND(Inputs!$B$10*Inputs!$B$11+NORMSINV(B1368)*SQRT(Inputs!$B$10*Inputs!$B$11),0))</f>
        <v>487</v>
      </c>
      <c r="D1368" s="52">
        <f ca="1">C1368*Inputs!$B$12</f>
        <v>58440000</v>
      </c>
    </row>
    <row r="1369" spans="1:4" ht="13.5" customHeight="1" x14ac:dyDescent="0.3">
      <c r="A1369" s="46">
        <v>1365</v>
      </c>
      <c r="B1369" s="47">
        <f t="shared" ca="1" si="21"/>
        <v>0.36154610801011111</v>
      </c>
      <c r="C1369" s="48">
        <f t="array" aca="1" ref="C1369" ca="1">MAX(0,ROUND(Inputs!$B$10*Inputs!$B$11+NORMSINV(B1369)*SQRT(Inputs!$B$10*Inputs!$B$11),0))</f>
        <v>492</v>
      </c>
      <c r="D1369" s="49">
        <f ca="1">C1369*Inputs!$B$12</f>
        <v>59040000</v>
      </c>
    </row>
    <row r="1370" spans="1:4" ht="13.5" customHeight="1" x14ac:dyDescent="0.3">
      <c r="A1370" s="50">
        <v>1366</v>
      </c>
      <c r="B1370" s="51">
        <f t="shared" ca="1" si="21"/>
        <v>0.9178251348933586</v>
      </c>
      <c r="C1370" s="48">
        <f t="array" aca="1" ref="C1370" ca="1">MAX(0,ROUND(Inputs!$B$10*Inputs!$B$11+NORMSINV(B1370)*SQRT(Inputs!$B$10*Inputs!$B$11),0))</f>
        <v>531</v>
      </c>
      <c r="D1370" s="52">
        <f ca="1">C1370*Inputs!$B$12</f>
        <v>63720000</v>
      </c>
    </row>
    <row r="1371" spans="1:4" ht="13.5" customHeight="1" x14ac:dyDescent="0.3">
      <c r="A1371" s="46">
        <v>1367</v>
      </c>
      <c r="B1371" s="47">
        <f t="shared" ca="1" si="21"/>
        <v>0.87950342402439352</v>
      </c>
      <c r="C1371" s="48">
        <f t="array" aca="1" ref="C1371" ca="1">MAX(0,ROUND(Inputs!$B$10*Inputs!$B$11+NORMSINV(B1371)*SQRT(Inputs!$B$10*Inputs!$B$11),0))</f>
        <v>526</v>
      </c>
      <c r="D1371" s="49">
        <f ca="1">C1371*Inputs!$B$12</f>
        <v>63120000</v>
      </c>
    </row>
    <row r="1372" spans="1:4" ht="13.5" customHeight="1" x14ac:dyDescent="0.3">
      <c r="A1372" s="50">
        <v>1368</v>
      </c>
      <c r="B1372" s="51">
        <f t="shared" ca="1" si="21"/>
        <v>0.13823680333512012</v>
      </c>
      <c r="C1372" s="48">
        <f t="array" aca="1" ref="C1372" ca="1">MAX(0,ROUND(Inputs!$B$10*Inputs!$B$11+NORMSINV(B1372)*SQRT(Inputs!$B$10*Inputs!$B$11),0))</f>
        <v>476</v>
      </c>
      <c r="D1372" s="52">
        <f ca="1">C1372*Inputs!$B$12</f>
        <v>57120000</v>
      </c>
    </row>
    <row r="1373" spans="1:4" ht="13.5" customHeight="1" x14ac:dyDescent="0.3">
      <c r="A1373" s="46">
        <v>1369</v>
      </c>
      <c r="B1373" s="47">
        <f t="shared" ca="1" si="21"/>
        <v>0.1764723616286652</v>
      </c>
      <c r="C1373" s="48">
        <f t="array" aca="1" ref="C1373" ca="1">MAX(0,ROUND(Inputs!$B$10*Inputs!$B$11+NORMSINV(B1373)*SQRT(Inputs!$B$10*Inputs!$B$11),0))</f>
        <v>479</v>
      </c>
      <c r="D1373" s="49">
        <f ca="1">C1373*Inputs!$B$12</f>
        <v>57480000</v>
      </c>
    </row>
    <row r="1374" spans="1:4" ht="13.5" customHeight="1" x14ac:dyDescent="0.3">
      <c r="A1374" s="50">
        <v>1370</v>
      </c>
      <c r="B1374" s="51">
        <f t="shared" ca="1" si="21"/>
        <v>0.2504923698208873</v>
      </c>
      <c r="C1374" s="48">
        <f t="array" aca="1" ref="C1374" ca="1">MAX(0,ROUND(Inputs!$B$10*Inputs!$B$11+NORMSINV(B1374)*SQRT(Inputs!$B$10*Inputs!$B$11),0))</f>
        <v>485</v>
      </c>
      <c r="D1374" s="52">
        <f ca="1">C1374*Inputs!$B$12</f>
        <v>58200000</v>
      </c>
    </row>
    <row r="1375" spans="1:4" ht="13.5" customHeight="1" x14ac:dyDescent="0.3">
      <c r="A1375" s="46">
        <v>1371</v>
      </c>
      <c r="B1375" s="47">
        <f t="shared" ca="1" si="21"/>
        <v>0.12702639886485945</v>
      </c>
      <c r="C1375" s="48">
        <f t="array" aca="1" ref="C1375" ca="1">MAX(0,ROUND(Inputs!$B$10*Inputs!$B$11+NORMSINV(B1375)*SQRT(Inputs!$B$10*Inputs!$B$11),0))</f>
        <v>474</v>
      </c>
      <c r="D1375" s="49">
        <f ca="1">C1375*Inputs!$B$12</f>
        <v>56880000</v>
      </c>
    </row>
    <row r="1376" spans="1:4" ht="13.5" customHeight="1" x14ac:dyDescent="0.3">
      <c r="A1376" s="50">
        <v>1372</v>
      </c>
      <c r="B1376" s="51">
        <f t="shared" ca="1" si="21"/>
        <v>0.36648039881467598</v>
      </c>
      <c r="C1376" s="48">
        <f t="array" aca="1" ref="C1376" ca="1">MAX(0,ROUND(Inputs!$B$10*Inputs!$B$11+NORMSINV(B1376)*SQRT(Inputs!$B$10*Inputs!$B$11),0))</f>
        <v>492</v>
      </c>
      <c r="D1376" s="52">
        <f ca="1">C1376*Inputs!$B$12</f>
        <v>59040000</v>
      </c>
    </row>
    <row r="1377" spans="1:4" ht="13.5" customHeight="1" x14ac:dyDescent="0.3">
      <c r="A1377" s="46">
        <v>1373</v>
      </c>
      <c r="B1377" s="47">
        <f t="shared" ca="1" si="21"/>
        <v>0.98770897066507168</v>
      </c>
      <c r="C1377" s="48">
        <f t="array" aca="1" ref="C1377" ca="1">MAX(0,ROUND(Inputs!$B$10*Inputs!$B$11+NORMSINV(B1377)*SQRT(Inputs!$B$10*Inputs!$B$11),0))</f>
        <v>550</v>
      </c>
      <c r="D1377" s="49">
        <f ca="1">C1377*Inputs!$B$12</f>
        <v>66000000</v>
      </c>
    </row>
    <row r="1378" spans="1:4" ht="13.5" customHeight="1" x14ac:dyDescent="0.3">
      <c r="A1378" s="50">
        <v>1374</v>
      </c>
      <c r="B1378" s="51">
        <f t="shared" ca="1" si="21"/>
        <v>0.79388293649085417</v>
      </c>
      <c r="C1378" s="48">
        <f t="array" aca="1" ref="C1378" ca="1">MAX(0,ROUND(Inputs!$B$10*Inputs!$B$11+NORMSINV(B1378)*SQRT(Inputs!$B$10*Inputs!$B$11),0))</f>
        <v>518</v>
      </c>
      <c r="D1378" s="52">
        <f ca="1">C1378*Inputs!$B$12</f>
        <v>62160000</v>
      </c>
    </row>
    <row r="1379" spans="1:4" ht="13.5" customHeight="1" x14ac:dyDescent="0.3">
      <c r="A1379" s="46">
        <v>1375</v>
      </c>
      <c r="B1379" s="47">
        <f t="shared" ca="1" si="21"/>
        <v>7.6493318742610783E-2</v>
      </c>
      <c r="C1379" s="48">
        <f t="array" aca="1" ref="C1379" ca="1">MAX(0,ROUND(Inputs!$B$10*Inputs!$B$11+NORMSINV(B1379)*SQRT(Inputs!$B$10*Inputs!$B$11),0))</f>
        <v>468</v>
      </c>
      <c r="D1379" s="49">
        <f ca="1">C1379*Inputs!$B$12</f>
        <v>56160000</v>
      </c>
    </row>
    <row r="1380" spans="1:4" ht="13.5" customHeight="1" x14ac:dyDescent="0.3">
      <c r="A1380" s="50">
        <v>1376</v>
      </c>
      <c r="B1380" s="51">
        <f t="shared" ca="1" si="21"/>
        <v>0.96248011793982846</v>
      </c>
      <c r="C1380" s="48">
        <f t="array" aca="1" ref="C1380" ca="1">MAX(0,ROUND(Inputs!$B$10*Inputs!$B$11+NORMSINV(B1380)*SQRT(Inputs!$B$10*Inputs!$B$11),0))</f>
        <v>540</v>
      </c>
      <c r="D1380" s="52">
        <f ca="1">C1380*Inputs!$B$12</f>
        <v>64800000</v>
      </c>
    </row>
    <row r="1381" spans="1:4" ht="13.5" customHeight="1" x14ac:dyDescent="0.3">
      <c r="A1381" s="46">
        <v>1377</v>
      </c>
      <c r="B1381" s="47">
        <f t="shared" ca="1" si="21"/>
        <v>0.58382769473567331</v>
      </c>
      <c r="C1381" s="48">
        <f t="array" aca="1" ref="C1381" ca="1">MAX(0,ROUND(Inputs!$B$10*Inputs!$B$11+NORMSINV(B1381)*SQRT(Inputs!$B$10*Inputs!$B$11),0))</f>
        <v>505</v>
      </c>
      <c r="D1381" s="49">
        <f ca="1">C1381*Inputs!$B$12</f>
        <v>60600000</v>
      </c>
    </row>
    <row r="1382" spans="1:4" ht="13.5" customHeight="1" x14ac:dyDescent="0.3">
      <c r="A1382" s="50">
        <v>1378</v>
      </c>
      <c r="B1382" s="51">
        <f t="shared" ca="1" si="21"/>
        <v>0.8184285173714968</v>
      </c>
      <c r="C1382" s="48">
        <f t="array" aca="1" ref="C1382" ca="1">MAX(0,ROUND(Inputs!$B$10*Inputs!$B$11+NORMSINV(B1382)*SQRT(Inputs!$B$10*Inputs!$B$11),0))</f>
        <v>520</v>
      </c>
      <c r="D1382" s="52">
        <f ca="1">C1382*Inputs!$B$12</f>
        <v>62400000</v>
      </c>
    </row>
    <row r="1383" spans="1:4" ht="13.5" customHeight="1" x14ac:dyDescent="0.3">
      <c r="A1383" s="46">
        <v>1379</v>
      </c>
      <c r="B1383" s="47">
        <f t="shared" ca="1" si="21"/>
        <v>0.35805160140381931</v>
      </c>
      <c r="C1383" s="48">
        <f t="array" aca="1" ref="C1383" ca="1">MAX(0,ROUND(Inputs!$B$10*Inputs!$B$11+NORMSINV(B1383)*SQRT(Inputs!$B$10*Inputs!$B$11),0))</f>
        <v>492</v>
      </c>
      <c r="D1383" s="49">
        <f ca="1">C1383*Inputs!$B$12</f>
        <v>59040000</v>
      </c>
    </row>
    <row r="1384" spans="1:4" ht="13.5" customHeight="1" x14ac:dyDescent="0.3">
      <c r="A1384" s="50">
        <v>1380</v>
      </c>
      <c r="B1384" s="51">
        <f t="shared" ca="1" si="21"/>
        <v>0.88730249111833703</v>
      </c>
      <c r="C1384" s="48">
        <f t="array" aca="1" ref="C1384" ca="1">MAX(0,ROUND(Inputs!$B$10*Inputs!$B$11+NORMSINV(B1384)*SQRT(Inputs!$B$10*Inputs!$B$11),0))</f>
        <v>527</v>
      </c>
      <c r="D1384" s="52">
        <f ca="1">C1384*Inputs!$B$12</f>
        <v>63240000</v>
      </c>
    </row>
    <row r="1385" spans="1:4" ht="13.5" customHeight="1" x14ac:dyDescent="0.3">
      <c r="A1385" s="46">
        <v>1381</v>
      </c>
      <c r="B1385" s="47">
        <f t="shared" ca="1" si="21"/>
        <v>0.76770512684848269</v>
      </c>
      <c r="C1385" s="48">
        <f t="array" aca="1" ref="C1385" ca="1">MAX(0,ROUND(Inputs!$B$10*Inputs!$B$11+NORMSINV(B1385)*SQRT(Inputs!$B$10*Inputs!$B$11),0))</f>
        <v>516</v>
      </c>
      <c r="D1385" s="49">
        <f ca="1">C1385*Inputs!$B$12</f>
        <v>61920000</v>
      </c>
    </row>
    <row r="1386" spans="1:4" ht="13.5" customHeight="1" x14ac:dyDescent="0.3">
      <c r="A1386" s="50">
        <v>1382</v>
      </c>
      <c r="B1386" s="51">
        <f t="shared" ca="1" si="21"/>
        <v>0.93967991152058883</v>
      </c>
      <c r="C1386" s="48">
        <f t="array" aca="1" ref="C1386" ca="1">MAX(0,ROUND(Inputs!$B$10*Inputs!$B$11+NORMSINV(B1386)*SQRT(Inputs!$B$10*Inputs!$B$11),0))</f>
        <v>535</v>
      </c>
      <c r="D1386" s="52">
        <f ca="1">C1386*Inputs!$B$12</f>
        <v>64200000</v>
      </c>
    </row>
    <row r="1387" spans="1:4" ht="13.5" customHeight="1" x14ac:dyDescent="0.3">
      <c r="A1387" s="46">
        <v>1383</v>
      </c>
      <c r="B1387" s="47">
        <f t="shared" ca="1" si="21"/>
        <v>0.66304919155088182</v>
      </c>
      <c r="C1387" s="48">
        <f t="array" aca="1" ref="C1387" ca="1">MAX(0,ROUND(Inputs!$B$10*Inputs!$B$11+NORMSINV(B1387)*SQRT(Inputs!$B$10*Inputs!$B$11),0))</f>
        <v>509</v>
      </c>
      <c r="D1387" s="49">
        <f ca="1">C1387*Inputs!$B$12</f>
        <v>61080000</v>
      </c>
    </row>
    <row r="1388" spans="1:4" ht="13.5" customHeight="1" x14ac:dyDescent="0.3">
      <c r="A1388" s="50">
        <v>1384</v>
      </c>
      <c r="B1388" s="51">
        <f t="shared" ca="1" si="21"/>
        <v>0.4008849564340603</v>
      </c>
      <c r="C1388" s="48">
        <f t="array" aca="1" ref="C1388" ca="1">MAX(0,ROUND(Inputs!$B$10*Inputs!$B$11+NORMSINV(B1388)*SQRT(Inputs!$B$10*Inputs!$B$11),0))</f>
        <v>494</v>
      </c>
      <c r="D1388" s="52">
        <f ca="1">C1388*Inputs!$B$12</f>
        <v>59280000</v>
      </c>
    </row>
    <row r="1389" spans="1:4" ht="13.5" customHeight="1" x14ac:dyDescent="0.3">
      <c r="A1389" s="46">
        <v>1385</v>
      </c>
      <c r="B1389" s="47">
        <f t="shared" ca="1" si="21"/>
        <v>0.97824539599143778</v>
      </c>
      <c r="C1389" s="48">
        <f t="array" aca="1" ref="C1389" ca="1">MAX(0,ROUND(Inputs!$B$10*Inputs!$B$11+NORMSINV(B1389)*SQRT(Inputs!$B$10*Inputs!$B$11),0))</f>
        <v>545</v>
      </c>
      <c r="D1389" s="49">
        <f ca="1">C1389*Inputs!$B$12</f>
        <v>65400000</v>
      </c>
    </row>
    <row r="1390" spans="1:4" ht="13.5" customHeight="1" x14ac:dyDescent="0.3">
      <c r="A1390" s="50">
        <v>1386</v>
      </c>
      <c r="B1390" s="51">
        <f t="shared" ca="1" si="21"/>
        <v>0.97646349519141373</v>
      </c>
      <c r="C1390" s="48">
        <f t="array" aca="1" ref="C1390" ca="1">MAX(0,ROUND(Inputs!$B$10*Inputs!$B$11+NORMSINV(B1390)*SQRT(Inputs!$B$10*Inputs!$B$11),0))</f>
        <v>544</v>
      </c>
      <c r="D1390" s="52">
        <f ca="1">C1390*Inputs!$B$12</f>
        <v>65280000</v>
      </c>
    </row>
    <row r="1391" spans="1:4" ht="13.5" customHeight="1" x14ac:dyDescent="0.3">
      <c r="A1391" s="46">
        <v>1387</v>
      </c>
      <c r="B1391" s="47">
        <f t="shared" ca="1" si="21"/>
        <v>0.44430017642961883</v>
      </c>
      <c r="C1391" s="48">
        <f t="array" aca="1" ref="C1391" ca="1">MAX(0,ROUND(Inputs!$B$10*Inputs!$B$11+NORMSINV(B1391)*SQRT(Inputs!$B$10*Inputs!$B$11),0))</f>
        <v>497</v>
      </c>
      <c r="D1391" s="49">
        <f ca="1">C1391*Inputs!$B$12</f>
        <v>59640000</v>
      </c>
    </row>
    <row r="1392" spans="1:4" ht="13.5" customHeight="1" x14ac:dyDescent="0.3">
      <c r="A1392" s="50">
        <v>1388</v>
      </c>
      <c r="B1392" s="51">
        <f t="shared" ca="1" si="21"/>
        <v>0.86998084637113426</v>
      </c>
      <c r="C1392" s="48">
        <f t="array" aca="1" ref="C1392" ca="1">MAX(0,ROUND(Inputs!$B$10*Inputs!$B$11+NORMSINV(B1392)*SQRT(Inputs!$B$10*Inputs!$B$11),0))</f>
        <v>525</v>
      </c>
      <c r="D1392" s="52">
        <f ca="1">C1392*Inputs!$B$12</f>
        <v>63000000</v>
      </c>
    </row>
    <row r="1393" spans="1:4" ht="13.5" customHeight="1" x14ac:dyDescent="0.3">
      <c r="A1393" s="46">
        <v>1389</v>
      </c>
      <c r="B1393" s="47">
        <f t="shared" ca="1" si="21"/>
        <v>0.60270838647809655</v>
      </c>
      <c r="C1393" s="48">
        <f t="array" aca="1" ref="C1393" ca="1">MAX(0,ROUND(Inputs!$B$10*Inputs!$B$11+NORMSINV(B1393)*SQRT(Inputs!$B$10*Inputs!$B$11),0))</f>
        <v>506</v>
      </c>
      <c r="D1393" s="49">
        <f ca="1">C1393*Inputs!$B$12</f>
        <v>60720000</v>
      </c>
    </row>
    <row r="1394" spans="1:4" ht="13.5" customHeight="1" x14ac:dyDescent="0.3">
      <c r="A1394" s="50">
        <v>1390</v>
      </c>
      <c r="B1394" s="51">
        <f t="shared" ca="1" si="21"/>
        <v>0.10912755326670842</v>
      </c>
      <c r="C1394" s="48">
        <f t="array" aca="1" ref="C1394" ca="1">MAX(0,ROUND(Inputs!$B$10*Inputs!$B$11+NORMSINV(B1394)*SQRT(Inputs!$B$10*Inputs!$B$11),0))</f>
        <v>472</v>
      </c>
      <c r="D1394" s="52">
        <f ca="1">C1394*Inputs!$B$12</f>
        <v>56640000</v>
      </c>
    </row>
    <row r="1395" spans="1:4" ht="13.5" customHeight="1" x14ac:dyDescent="0.3">
      <c r="A1395" s="46">
        <v>1391</v>
      </c>
      <c r="B1395" s="47">
        <f t="shared" ca="1" si="21"/>
        <v>0.7397588457341977</v>
      </c>
      <c r="C1395" s="48">
        <f t="array" aca="1" ref="C1395" ca="1">MAX(0,ROUND(Inputs!$B$10*Inputs!$B$11+NORMSINV(B1395)*SQRT(Inputs!$B$10*Inputs!$B$11),0))</f>
        <v>514</v>
      </c>
      <c r="D1395" s="49">
        <f ca="1">C1395*Inputs!$B$12</f>
        <v>61680000</v>
      </c>
    </row>
    <row r="1396" spans="1:4" ht="13.5" customHeight="1" x14ac:dyDescent="0.3">
      <c r="A1396" s="50">
        <v>1392</v>
      </c>
      <c r="B1396" s="51">
        <f t="shared" ca="1" si="21"/>
        <v>0.41214411262840134</v>
      </c>
      <c r="C1396" s="48">
        <f t="array" aca="1" ref="C1396" ca="1">MAX(0,ROUND(Inputs!$B$10*Inputs!$B$11+NORMSINV(B1396)*SQRT(Inputs!$B$10*Inputs!$B$11),0))</f>
        <v>495</v>
      </c>
      <c r="D1396" s="52">
        <f ca="1">C1396*Inputs!$B$12</f>
        <v>59400000</v>
      </c>
    </row>
    <row r="1397" spans="1:4" ht="13.5" customHeight="1" x14ac:dyDescent="0.3">
      <c r="A1397" s="46">
        <v>1393</v>
      </c>
      <c r="B1397" s="47">
        <f t="shared" ca="1" si="21"/>
        <v>0.77809873273712493</v>
      </c>
      <c r="C1397" s="48">
        <f t="array" aca="1" ref="C1397" ca="1">MAX(0,ROUND(Inputs!$B$10*Inputs!$B$11+NORMSINV(B1397)*SQRT(Inputs!$B$10*Inputs!$B$11),0))</f>
        <v>517</v>
      </c>
      <c r="D1397" s="49">
        <f ca="1">C1397*Inputs!$B$12</f>
        <v>62040000</v>
      </c>
    </row>
    <row r="1398" spans="1:4" ht="13.5" customHeight="1" x14ac:dyDescent="0.3">
      <c r="A1398" s="50">
        <v>1394</v>
      </c>
      <c r="B1398" s="51">
        <f t="shared" ca="1" si="21"/>
        <v>0.43940095477963048</v>
      </c>
      <c r="C1398" s="48">
        <f t="array" aca="1" ref="C1398" ca="1">MAX(0,ROUND(Inputs!$B$10*Inputs!$B$11+NORMSINV(B1398)*SQRT(Inputs!$B$10*Inputs!$B$11),0))</f>
        <v>497</v>
      </c>
      <c r="D1398" s="52">
        <f ca="1">C1398*Inputs!$B$12</f>
        <v>59640000</v>
      </c>
    </row>
    <row r="1399" spans="1:4" ht="13.5" customHeight="1" x14ac:dyDescent="0.3">
      <c r="A1399" s="46">
        <v>1395</v>
      </c>
      <c r="B1399" s="47">
        <f t="shared" ca="1" si="21"/>
        <v>0.5767111977310293</v>
      </c>
      <c r="C1399" s="48">
        <f t="array" aca="1" ref="C1399" ca="1">MAX(0,ROUND(Inputs!$B$10*Inputs!$B$11+NORMSINV(B1399)*SQRT(Inputs!$B$10*Inputs!$B$11),0))</f>
        <v>504</v>
      </c>
      <c r="D1399" s="49">
        <f ca="1">C1399*Inputs!$B$12</f>
        <v>60480000</v>
      </c>
    </row>
    <row r="1400" spans="1:4" ht="13.5" customHeight="1" x14ac:dyDescent="0.3">
      <c r="A1400" s="50">
        <v>1396</v>
      </c>
      <c r="B1400" s="51">
        <f t="shared" ca="1" si="21"/>
        <v>0.30436787911510166</v>
      </c>
      <c r="C1400" s="48">
        <f t="array" aca="1" ref="C1400" ca="1">MAX(0,ROUND(Inputs!$B$10*Inputs!$B$11+NORMSINV(B1400)*SQRT(Inputs!$B$10*Inputs!$B$11),0))</f>
        <v>489</v>
      </c>
      <c r="D1400" s="52">
        <f ca="1">C1400*Inputs!$B$12</f>
        <v>58680000</v>
      </c>
    </row>
    <row r="1401" spans="1:4" ht="13.5" customHeight="1" x14ac:dyDescent="0.3">
      <c r="A1401" s="46">
        <v>1397</v>
      </c>
      <c r="B1401" s="47">
        <f t="shared" ca="1" si="21"/>
        <v>0.93136289930358207</v>
      </c>
      <c r="C1401" s="48">
        <f t="array" aca="1" ref="C1401" ca="1">MAX(0,ROUND(Inputs!$B$10*Inputs!$B$11+NORMSINV(B1401)*SQRT(Inputs!$B$10*Inputs!$B$11),0))</f>
        <v>533</v>
      </c>
      <c r="D1401" s="49">
        <f ca="1">C1401*Inputs!$B$12</f>
        <v>63960000</v>
      </c>
    </row>
    <row r="1402" spans="1:4" ht="13.5" customHeight="1" x14ac:dyDescent="0.3">
      <c r="A1402" s="50">
        <v>1398</v>
      </c>
      <c r="B1402" s="51">
        <f t="shared" ca="1" si="21"/>
        <v>0.12640462388680263</v>
      </c>
      <c r="C1402" s="48">
        <f t="array" aca="1" ref="C1402" ca="1">MAX(0,ROUND(Inputs!$B$10*Inputs!$B$11+NORMSINV(B1402)*SQRT(Inputs!$B$10*Inputs!$B$11),0))</f>
        <v>474</v>
      </c>
      <c r="D1402" s="52">
        <f ca="1">C1402*Inputs!$B$12</f>
        <v>56880000</v>
      </c>
    </row>
    <row r="1403" spans="1:4" ht="13.5" customHeight="1" x14ac:dyDescent="0.3">
      <c r="A1403" s="46">
        <v>1399</v>
      </c>
      <c r="B1403" s="47">
        <f t="shared" ca="1" si="21"/>
        <v>0.43164303809332272</v>
      </c>
      <c r="C1403" s="48">
        <f t="array" aca="1" ref="C1403" ca="1">MAX(0,ROUND(Inputs!$B$10*Inputs!$B$11+NORMSINV(B1403)*SQRT(Inputs!$B$10*Inputs!$B$11),0))</f>
        <v>496</v>
      </c>
      <c r="D1403" s="49">
        <f ca="1">C1403*Inputs!$B$12</f>
        <v>59520000</v>
      </c>
    </row>
    <row r="1404" spans="1:4" ht="13.5" customHeight="1" x14ac:dyDescent="0.3">
      <c r="A1404" s="50">
        <v>1400</v>
      </c>
      <c r="B1404" s="51">
        <f t="shared" ca="1" si="21"/>
        <v>0.49747780605239178</v>
      </c>
      <c r="C1404" s="48">
        <f t="array" aca="1" ref="C1404" ca="1">MAX(0,ROUND(Inputs!$B$10*Inputs!$B$11+NORMSINV(B1404)*SQRT(Inputs!$B$10*Inputs!$B$11),0))</f>
        <v>500</v>
      </c>
      <c r="D1404" s="52">
        <f ca="1">C1404*Inputs!$B$12</f>
        <v>60000000</v>
      </c>
    </row>
    <row r="1405" spans="1:4" ht="13.5" customHeight="1" x14ac:dyDescent="0.3">
      <c r="A1405" s="46">
        <v>1401</v>
      </c>
      <c r="B1405" s="47">
        <f t="shared" ca="1" si="21"/>
        <v>0.77201538211665</v>
      </c>
      <c r="C1405" s="48">
        <f t="array" aca="1" ref="C1405" ca="1">MAX(0,ROUND(Inputs!$B$10*Inputs!$B$11+NORMSINV(B1405)*SQRT(Inputs!$B$10*Inputs!$B$11),0))</f>
        <v>517</v>
      </c>
      <c r="D1405" s="49">
        <f ca="1">C1405*Inputs!$B$12</f>
        <v>62040000</v>
      </c>
    </row>
    <row r="1406" spans="1:4" ht="13.5" customHeight="1" x14ac:dyDescent="0.3">
      <c r="A1406" s="50">
        <v>1402</v>
      </c>
      <c r="B1406" s="51">
        <f t="shared" ca="1" si="21"/>
        <v>0.43154813587480501</v>
      </c>
      <c r="C1406" s="48">
        <f t="array" aca="1" ref="C1406" ca="1">MAX(0,ROUND(Inputs!$B$10*Inputs!$B$11+NORMSINV(B1406)*SQRT(Inputs!$B$10*Inputs!$B$11),0))</f>
        <v>496</v>
      </c>
      <c r="D1406" s="52">
        <f ca="1">C1406*Inputs!$B$12</f>
        <v>59520000</v>
      </c>
    </row>
    <row r="1407" spans="1:4" ht="13.5" customHeight="1" x14ac:dyDescent="0.3">
      <c r="A1407" s="46">
        <v>1403</v>
      </c>
      <c r="B1407" s="47">
        <f t="shared" ca="1" si="21"/>
        <v>2.864849663385316E-2</v>
      </c>
      <c r="C1407" s="48">
        <f t="array" aca="1" ref="C1407" ca="1">MAX(0,ROUND(Inputs!$B$10*Inputs!$B$11+NORMSINV(B1407)*SQRT(Inputs!$B$10*Inputs!$B$11),0))</f>
        <v>457</v>
      </c>
      <c r="D1407" s="49">
        <f ca="1">C1407*Inputs!$B$12</f>
        <v>54840000</v>
      </c>
    </row>
    <row r="1408" spans="1:4" ht="13.5" customHeight="1" x14ac:dyDescent="0.3">
      <c r="A1408" s="50">
        <v>1404</v>
      </c>
      <c r="B1408" s="51">
        <f t="shared" ca="1" si="21"/>
        <v>0.67805817546841329</v>
      </c>
      <c r="C1408" s="48">
        <f t="array" aca="1" ref="C1408" ca="1">MAX(0,ROUND(Inputs!$B$10*Inputs!$B$11+NORMSINV(B1408)*SQRT(Inputs!$B$10*Inputs!$B$11),0))</f>
        <v>510</v>
      </c>
      <c r="D1408" s="52">
        <f ca="1">C1408*Inputs!$B$12</f>
        <v>61200000</v>
      </c>
    </row>
    <row r="1409" spans="1:4" ht="13.5" customHeight="1" x14ac:dyDescent="0.3">
      <c r="A1409" s="46">
        <v>1405</v>
      </c>
      <c r="B1409" s="47">
        <f t="shared" ca="1" si="21"/>
        <v>0.92957269447099999</v>
      </c>
      <c r="C1409" s="48">
        <f t="array" aca="1" ref="C1409" ca="1">MAX(0,ROUND(Inputs!$B$10*Inputs!$B$11+NORMSINV(B1409)*SQRT(Inputs!$B$10*Inputs!$B$11),0))</f>
        <v>533</v>
      </c>
      <c r="D1409" s="49">
        <f ca="1">C1409*Inputs!$B$12</f>
        <v>63960000</v>
      </c>
    </row>
    <row r="1410" spans="1:4" ht="13.5" customHeight="1" x14ac:dyDescent="0.3">
      <c r="A1410" s="50">
        <v>1406</v>
      </c>
      <c r="B1410" s="51">
        <f t="shared" ca="1" si="21"/>
        <v>0.61742723464193683</v>
      </c>
      <c r="C1410" s="48">
        <f t="array" aca="1" ref="C1410" ca="1">MAX(0,ROUND(Inputs!$B$10*Inputs!$B$11+NORMSINV(B1410)*SQRT(Inputs!$B$10*Inputs!$B$11),0))</f>
        <v>507</v>
      </c>
      <c r="D1410" s="52">
        <f ca="1">C1410*Inputs!$B$12</f>
        <v>60840000</v>
      </c>
    </row>
    <row r="1411" spans="1:4" ht="13.5" customHeight="1" x14ac:dyDescent="0.3">
      <c r="A1411" s="46">
        <v>1407</v>
      </c>
      <c r="B1411" s="47">
        <f t="shared" ca="1" si="21"/>
        <v>0.40803359616035928</v>
      </c>
      <c r="C1411" s="48">
        <f t="array" aca="1" ref="C1411" ca="1">MAX(0,ROUND(Inputs!$B$10*Inputs!$B$11+NORMSINV(B1411)*SQRT(Inputs!$B$10*Inputs!$B$11),0))</f>
        <v>495</v>
      </c>
      <c r="D1411" s="49">
        <f ca="1">C1411*Inputs!$B$12</f>
        <v>59400000</v>
      </c>
    </row>
    <row r="1412" spans="1:4" ht="13.5" customHeight="1" x14ac:dyDescent="0.3">
      <c r="A1412" s="50">
        <v>1408</v>
      </c>
      <c r="B1412" s="51">
        <f t="shared" ca="1" si="21"/>
        <v>0.20519142419660052</v>
      </c>
      <c r="C1412" s="48">
        <f t="array" aca="1" ref="C1412" ca="1">MAX(0,ROUND(Inputs!$B$10*Inputs!$B$11+NORMSINV(B1412)*SQRT(Inputs!$B$10*Inputs!$B$11),0))</f>
        <v>482</v>
      </c>
      <c r="D1412" s="52">
        <f ca="1">C1412*Inputs!$B$12</f>
        <v>57840000</v>
      </c>
    </row>
    <row r="1413" spans="1:4" ht="13.5" customHeight="1" x14ac:dyDescent="0.3">
      <c r="A1413" s="46">
        <v>1409</v>
      </c>
      <c r="B1413" s="47">
        <f t="shared" ref="B1413:B1476" ca="1" si="22">RAND()</f>
        <v>0.587775650701167</v>
      </c>
      <c r="C1413" s="48">
        <f t="array" aca="1" ref="C1413" ca="1">MAX(0,ROUND(Inputs!$B$10*Inputs!$B$11+NORMSINV(B1413)*SQRT(Inputs!$B$10*Inputs!$B$11),0))</f>
        <v>505</v>
      </c>
      <c r="D1413" s="49">
        <f ca="1">C1413*Inputs!$B$12</f>
        <v>60600000</v>
      </c>
    </row>
    <row r="1414" spans="1:4" ht="13.5" customHeight="1" x14ac:dyDescent="0.3">
      <c r="A1414" s="50">
        <v>1410</v>
      </c>
      <c r="B1414" s="51">
        <f t="shared" ca="1" si="22"/>
        <v>9.8859036513286869E-2</v>
      </c>
      <c r="C1414" s="48">
        <f t="array" aca="1" ref="C1414" ca="1">MAX(0,ROUND(Inputs!$B$10*Inputs!$B$11+NORMSINV(B1414)*SQRT(Inputs!$B$10*Inputs!$B$11),0))</f>
        <v>471</v>
      </c>
      <c r="D1414" s="52">
        <f ca="1">C1414*Inputs!$B$12</f>
        <v>56520000</v>
      </c>
    </row>
    <row r="1415" spans="1:4" ht="13.5" customHeight="1" x14ac:dyDescent="0.3">
      <c r="A1415" s="46">
        <v>1411</v>
      </c>
      <c r="B1415" s="47">
        <f t="shared" ca="1" si="22"/>
        <v>0.3724087455311812</v>
      </c>
      <c r="C1415" s="48">
        <f t="array" aca="1" ref="C1415" ca="1">MAX(0,ROUND(Inputs!$B$10*Inputs!$B$11+NORMSINV(B1415)*SQRT(Inputs!$B$10*Inputs!$B$11),0))</f>
        <v>493</v>
      </c>
      <c r="D1415" s="49">
        <f ca="1">C1415*Inputs!$B$12</f>
        <v>59160000</v>
      </c>
    </row>
    <row r="1416" spans="1:4" ht="13.5" customHeight="1" x14ac:dyDescent="0.3">
      <c r="A1416" s="50">
        <v>1412</v>
      </c>
      <c r="B1416" s="51">
        <f t="shared" ca="1" si="22"/>
        <v>0.37505065597451848</v>
      </c>
      <c r="C1416" s="48">
        <f t="array" aca="1" ref="C1416" ca="1">MAX(0,ROUND(Inputs!$B$10*Inputs!$B$11+NORMSINV(B1416)*SQRT(Inputs!$B$10*Inputs!$B$11),0))</f>
        <v>493</v>
      </c>
      <c r="D1416" s="52">
        <f ca="1">C1416*Inputs!$B$12</f>
        <v>59160000</v>
      </c>
    </row>
    <row r="1417" spans="1:4" ht="13.5" customHeight="1" x14ac:dyDescent="0.3">
      <c r="A1417" s="46">
        <v>1413</v>
      </c>
      <c r="B1417" s="47">
        <f t="shared" ca="1" si="22"/>
        <v>0.48024345280187763</v>
      </c>
      <c r="C1417" s="48">
        <f t="array" aca="1" ref="C1417" ca="1">MAX(0,ROUND(Inputs!$B$10*Inputs!$B$11+NORMSINV(B1417)*SQRT(Inputs!$B$10*Inputs!$B$11),0))</f>
        <v>499</v>
      </c>
      <c r="D1417" s="49">
        <f ca="1">C1417*Inputs!$B$12</f>
        <v>59880000</v>
      </c>
    </row>
    <row r="1418" spans="1:4" ht="13.5" customHeight="1" x14ac:dyDescent="0.3">
      <c r="A1418" s="50">
        <v>1414</v>
      </c>
      <c r="B1418" s="51">
        <f t="shared" ca="1" si="22"/>
        <v>0.17523425149416028</v>
      </c>
      <c r="C1418" s="48">
        <f t="array" aca="1" ref="C1418" ca="1">MAX(0,ROUND(Inputs!$B$10*Inputs!$B$11+NORMSINV(B1418)*SQRT(Inputs!$B$10*Inputs!$B$11),0))</f>
        <v>479</v>
      </c>
      <c r="D1418" s="52">
        <f ca="1">C1418*Inputs!$B$12</f>
        <v>57480000</v>
      </c>
    </row>
    <row r="1419" spans="1:4" ht="13.5" customHeight="1" x14ac:dyDescent="0.3">
      <c r="A1419" s="46">
        <v>1415</v>
      </c>
      <c r="B1419" s="47">
        <f t="shared" ca="1" si="22"/>
        <v>0.37580635996428824</v>
      </c>
      <c r="C1419" s="48">
        <f t="array" aca="1" ref="C1419" ca="1">MAX(0,ROUND(Inputs!$B$10*Inputs!$B$11+NORMSINV(B1419)*SQRT(Inputs!$B$10*Inputs!$B$11),0))</f>
        <v>493</v>
      </c>
      <c r="D1419" s="49">
        <f ca="1">C1419*Inputs!$B$12</f>
        <v>59160000</v>
      </c>
    </row>
    <row r="1420" spans="1:4" ht="13.5" customHeight="1" x14ac:dyDescent="0.3">
      <c r="A1420" s="50">
        <v>1416</v>
      </c>
      <c r="B1420" s="51">
        <f t="shared" ca="1" si="22"/>
        <v>6.5884393618158121E-2</v>
      </c>
      <c r="C1420" s="48">
        <f t="array" aca="1" ref="C1420" ca="1">MAX(0,ROUND(Inputs!$B$10*Inputs!$B$11+NORMSINV(B1420)*SQRT(Inputs!$B$10*Inputs!$B$11),0))</f>
        <v>466</v>
      </c>
      <c r="D1420" s="52">
        <f ca="1">C1420*Inputs!$B$12</f>
        <v>55920000</v>
      </c>
    </row>
    <row r="1421" spans="1:4" ht="13.5" customHeight="1" x14ac:dyDescent="0.3">
      <c r="A1421" s="46">
        <v>1417</v>
      </c>
      <c r="B1421" s="47">
        <f t="shared" ca="1" si="22"/>
        <v>0.59078003675518798</v>
      </c>
      <c r="C1421" s="48">
        <f t="array" aca="1" ref="C1421" ca="1">MAX(0,ROUND(Inputs!$B$10*Inputs!$B$11+NORMSINV(B1421)*SQRT(Inputs!$B$10*Inputs!$B$11),0))</f>
        <v>505</v>
      </c>
      <c r="D1421" s="49">
        <f ca="1">C1421*Inputs!$B$12</f>
        <v>60600000</v>
      </c>
    </row>
    <row r="1422" spans="1:4" ht="13.5" customHeight="1" x14ac:dyDescent="0.3">
      <c r="A1422" s="50">
        <v>1418</v>
      </c>
      <c r="B1422" s="51">
        <f t="shared" ca="1" si="22"/>
        <v>0.39790186024914354</v>
      </c>
      <c r="C1422" s="48">
        <f t="array" aca="1" ref="C1422" ca="1">MAX(0,ROUND(Inputs!$B$10*Inputs!$B$11+NORMSINV(B1422)*SQRT(Inputs!$B$10*Inputs!$B$11),0))</f>
        <v>494</v>
      </c>
      <c r="D1422" s="52">
        <f ca="1">C1422*Inputs!$B$12</f>
        <v>59280000</v>
      </c>
    </row>
    <row r="1423" spans="1:4" ht="13.5" customHeight="1" x14ac:dyDescent="0.3">
      <c r="A1423" s="46">
        <v>1419</v>
      </c>
      <c r="B1423" s="47">
        <f t="shared" ca="1" si="22"/>
        <v>0.30102650179194912</v>
      </c>
      <c r="C1423" s="48">
        <f t="array" aca="1" ref="C1423" ca="1">MAX(0,ROUND(Inputs!$B$10*Inputs!$B$11+NORMSINV(B1423)*SQRT(Inputs!$B$10*Inputs!$B$11),0))</f>
        <v>488</v>
      </c>
      <c r="D1423" s="49">
        <f ca="1">C1423*Inputs!$B$12</f>
        <v>58560000</v>
      </c>
    </row>
    <row r="1424" spans="1:4" ht="13.5" customHeight="1" x14ac:dyDescent="0.3">
      <c r="A1424" s="50">
        <v>1420</v>
      </c>
      <c r="B1424" s="51">
        <f t="shared" ca="1" si="22"/>
        <v>0.9290262474340184</v>
      </c>
      <c r="C1424" s="48">
        <f t="array" aca="1" ref="C1424" ca="1">MAX(0,ROUND(Inputs!$B$10*Inputs!$B$11+NORMSINV(B1424)*SQRT(Inputs!$B$10*Inputs!$B$11),0))</f>
        <v>533</v>
      </c>
      <c r="D1424" s="52">
        <f ca="1">C1424*Inputs!$B$12</f>
        <v>63960000</v>
      </c>
    </row>
    <row r="1425" spans="1:4" ht="13.5" customHeight="1" x14ac:dyDescent="0.3">
      <c r="A1425" s="46">
        <v>1421</v>
      </c>
      <c r="B1425" s="47">
        <f t="shared" ca="1" si="22"/>
        <v>0.86949499517558237</v>
      </c>
      <c r="C1425" s="48">
        <f t="array" aca="1" ref="C1425" ca="1">MAX(0,ROUND(Inputs!$B$10*Inputs!$B$11+NORMSINV(B1425)*SQRT(Inputs!$B$10*Inputs!$B$11),0))</f>
        <v>525</v>
      </c>
      <c r="D1425" s="49">
        <f ca="1">C1425*Inputs!$B$12</f>
        <v>63000000</v>
      </c>
    </row>
    <row r="1426" spans="1:4" ht="13.5" customHeight="1" x14ac:dyDescent="0.3">
      <c r="A1426" s="50">
        <v>1422</v>
      </c>
      <c r="B1426" s="51">
        <f t="shared" ca="1" si="22"/>
        <v>0.80910426456098972</v>
      </c>
      <c r="C1426" s="48">
        <f t="array" aca="1" ref="C1426" ca="1">MAX(0,ROUND(Inputs!$B$10*Inputs!$B$11+NORMSINV(B1426)*SQRT(Inputs!$B$10*Inputs!$B$11),0))</f>
        <v>520</v>
      </c>
      <c r="D1426" s="52">
        <f ca="1">C1426*Inputs!$B$12</f>
        <v>62400000</v>
      </c>
    </row>
    <row r="1427" spans="1:4" ht="13.5" customHeight="1" x14ac:dyDescent="0.3">
      <c r="A1427" s="46">
        <v>1423</v>
      </c>
      <c r="B1427" s="47">
        <f t="shared" ca="1" si="22"/>
        <v>0.94739443026414405</v>
      </c>
      <c r="C1427" s="48">
        <f t="array" aca="1" ref="C1427" ca="1">MAX(0,ROUND(Inputs!$B$10*Inputs!$B$11+NORMSINV(B1427)*SQRT(Inputs!$B$10*Inputs!$B$11),0))</f>
        <v>536</v>
      </c>
      <c r="D1427" s="49">
        <f ca="1">C1427*Inputs!$B$12</f>
        <v>64320000</v>
      </c>
    </row>
    <row r="1428" spans="1:4" ht="13.5" customHeight="1" x14ac:dyDescent="0.3">
      <c r="A1428" s="50">
        <v>1424</v>
      </c>
      <c r="B1428" s="51">
        <f t="shared" ca="1" si="22"/>
        <v>0.67406148128689969</v>
      </c>
      <c r="C1428" s="48">
        <f t="array" aca="1" ref="C1428" ca="1">MAX(0,ROUND(Inputs!$B$10*Inputs!$B$11+NORMSINV(B1428)*SQRT(Inputs!$B$10*Inputs!$B$11),0))</f>
        <v>510</v>
      </c>
      <c r="D1428" s="52">
        <f ca="1">C1428*Inputs!$B$12</f>
        <v>61200000</v>
      </c>
    </row>
    <row r="1429" spans="1:4" ht="13.5" customHeight="1" x14ac:dyDescent="0.3">
      <c r="A1429" s="46">
        <v>1425</v>
      </c>
      <c r="B1429" s="47">
        <f t="shared" ca="1" si="22"/>
        <v>0.71576902050265656</v>
      </c>
      <c r="C1429" s="48">
        <f t="array" aca="1" ref="C1429" ca="1">MAX(0,ROUND(Inputs!$B$10*Inputs!$B$11+NORMSINV(B1429)*SQRT(Inputs!$B$10*Inputs!$B$11),0))</f>
        <v>513</v>
      </c>
      <c r="D1429" s="49">
        <f ca="1">C1429*Inputs!$B$12</f>
        <v>61560000</v>
      </c>
    </row>
    <row r="1430" spans="1:4" ht="13.5" customHeight="1" x14ac:dyDescent="0.3">
      <c r="A1430" s="50">
        <v>1426</v>
      </c>
      <c r="B1430" s="51">
        <f t="shared" ca="1" si="22"/>
        <v>0.89554134566302945</v>
      </c>
      <c r="C1430" s="48">
        <f t="array" aca="1" ref="C1430" ca="1">MAX(0,ROUND(Inputs!$B$10*Inputs!$B$11+NORMSINV(B1430)*SQRT(Inputs!$B$10*Inputs!$B$11),0))</f>
        <v>528</v>
      </c>
      <c r="D1430" s="52">
        <f ca="1">C1430*Inputs!$B$12</f>
        <v>63360000</v>
      </c>
    </row>
    <row r="1431" spans="1:4" ht="13.5" customHeight="1" x14ac:dyDescent="0.3">
      <c r="A1431" s="46">
        <v>1427</v>
      </c>
      <c r="B1431" s="47">
        <f t="shared" ca="1" si="22"/>
        <v>0.31815753596012331</v>
      </c>
      <c r="C1431" s="48">
        <f t="array" aca="1" ref="C1431" ca="1">MAX(0,ROUND(Inputs!$B$10*Inputs!$B$11+NORMSINV(B1431)*SQRT(Inputs!$B$10*Inputs!$B$11),0))</f>
        <v>489</v>
      </c>
      <c r="D1431" s="49">
        <f ca="1">C1431*Inputs!$B$12</f>
        <v>58680000</v>
      </c>
    </row>
    <row r="1432" spans="1:4" ht="13.5" customHeight="1" x14ac:dyDescent="0.3">
      <c r="A1432" s="50">
        <v>1428</v>
      </c>
      <c r="B1432" s="51">
        <f t="shared" ca="1" si="22"/>
        <v>0.35228225249934053</v>
      </c>
      <c r="C1432" s="48">
        <f t="array" aca="1" ref="C1432" ca="1">MAX(0,ROUND(Inputs!$B$10*Inputs!$B$11+NORMSINV(B1432)*SQRT(Inputs!$B$10*Inputs!$B$11),0))</f>
        <v>492</v>
      </c>
      <c r="D1432" s="52">
        <f ca="1">C1432*Inputs!$B$12</f>
        <v>59040000</v>
      </c>
    </row>
    <row r="1433" spans="1:4" ht="13.5" customHeight="1" x14ac:dyDescent="0.3">
      <c r="A1433" s="46">
        <v>1429</v>
      </c>
      <c r="B1433" s="47">
        <f t="shared" ca="1" si="22"/>
        <v>0.70248675836872776</v>
      </c>
      <c r="C1433" s="48">
        <f t="array" aca="1" ref="C1433" ca="1">MAX(0,ROUND(Inputs!$B$10*Inputs!$B$11+NORMSINV(B1433)*SQRT(Inputs!$B$10*Inputs!$B$11),0))</f>
        <v>512</v>
      </c>
      <c r="D1433" s="49">
        <f ca="1">C1433*Inputs!$B$12</f>
        <v>61440000</v>
      </c>
    </row>
    <row r="1434" spans="1:4" ht="13.5" customHeight="1" x14ac:dyDescent="0.3">
      <c r="A1434" s="50">
        <v>1430</v>
      </c>
      <c r="B1434" s="51">
        <f t="shared" ca="1" si="22"/>
        <v>0.70902618970017628</v>
      </c>
      <c r="C1434" s="48">
        <f t="array" aca="1" ref="C1434" ca="1">MAX(0,ROUND(Inputs!$B$10*Inputs!$B$11+NORMSINV(B1434)*SQRT(Inputs!$B$10*Inputs!$B$11),0))</f>
        <v>512</v>
      </c>
      <c r="D1434" s="52">
        <f ca="1">C1434*Inputs!$B$12</f>
        <v>61440000</v>
      </c>
    </row>
    <row r="1435" spans="1:4" ht="13.5" customHeight="1" x14ac:dyDescent="0.3">
      <c r="A1435" s="46">
        <v>1431</v>
      </c>
      <c r="B1435" s="47">
        <f t="shared" ca="1" si="22"/>
        <v>0.85019443612636569</v>
      </c>
      <c r="C1435" s="48">
        <f t="array" aca="1" ref="C1435" ca="1">MAX(0,ROUND(Inputs!$B$10*Inputs!$B$11+NORMSINV(B1435)*SQRT(Inputs!$B$10*Inputs!$B$11),0))</f>
        <v>523</v>
      </c>
      <c r="D1435" s="49">
        <f ca="1">C1435*Inputs!$B$12</f>
        <v>62760000</v>
      </c>
    </row>
    <row r="1436" spans="1:4" ht="13.5" customHeight="1" x14ac:dyDescent="0.3">
      <c r="A1436" s="50">
        <v>1432</v>
      </c>
      <c r="B1436" s="51">
        <f t="shared" ca="1" si="22"/>
        <v>0.41874865321807186</v>
      </c>
      <c r="C1436" s="48">
        <f t="array" aca="1" ref="C1436" ca="1">MAX(0,ROUND(Inputs!$B$10*Inputs!$B$11+NORMSINV(B1436)*SQRT(Inputs!$B$10*Inputs!$B$11),0))</f>
        <v>495</v>
      </c>
      <c r="D1436" s="52">
        <f ca="1">C1436*Inputs!$B$12</f>
        <v>59400000</v>
      </c>
    </row>
    <row r="1437" spans="1:4" ht="13.5" customHeight="1" x14ac:dyDescent="0.3">
      <c r="A1437" s="46">
        <v>1433</v>
      </c>
      <c r="B1437" s="47">
        <f t="shared" ca="1" si="22"/>
        <v>0.43707405232388918</v>
      </c>
      <c r="C1437" s="48">
        <f t="array" aca="1" ref="C1437" ca="1">MAX(0,ROUND(Inputs!$B$10*Inputs!$B$11+NORMSINV(B1437)*SQRT(Inputs!$B$10*Inputs!$B$11),0))</f>
        <v>496</v>
      </c>
      <c r="D1437" s="49">
        <f ca="1">C1437*Inputs!$B$12</f>
        <v>59520000</v>
      </c>
    </row>
    <row r="1438" spans="1:4" ht="13.5" customHeight="1" x14ac:dyDescent="0.3">
      <c r="A1438" s="50">
        <v>1434</v>
      </c>
      <c r="B1438" s="51">
        <f t="shared" ca="1" si="22"/>
        <v>0.30983438668423779</v>
      </c>
      <c r="C1438" s="48">
        <f t="array" aca="1" ref="C1438" ca="1">MAX(0,ROUND(Inputs!$B$10*Inputs!$B$11+NORMSINV(B1438)*SQRT(Inputs!$B$10*Inputs!$B$11),0))</f>
        <v>489</v>
      </c>
      <c r="D1438" s="52">
        <f ca="1">C1438*Inputs!$B$12</f>
        <v>58680000</v>
      </c>
    </row>
    <row r="1439" spans="1:4" ht="13.5" customHeight="1" x14ac:dyDescent="0.3">
      <c r="A1439" s="46">
        <v>1435</v>
      </c>
      <c r="B1439" s="47">
        <f t="shared" ca="1" si="22"/>
        <v>4.0696343515811972E-2</v>
      </c>
      <c r="C1439" s="48">
        <f t="array" aca="1" ref="C1439" ca="1">MAX(0,ROUND(Inputs!$B$10*Inputs!$B$11+NORMSINV(B1439)*SQRT(Inputs!$B$10*Inputs!$B$11),0))</f>
        <v>461</v>
      </c>
      <c r="D1439" s="49">
        <f ca="1">C1439*Inputs!$B$12</f>
        <v>55320000</v>
      </c>
    </row>
    <row r="1440" spans="1:4" ht="13.5" customHeight="1" x14ac:dyDescent="0.3">
      <c r="A1440" s="50">
        <v>1436</v>
      </c>
      <c r="B1440" s="51">
        <f t="shared" ca="1" si="22"/>
        <v>0.46701525074391792</v>
      </c>
      <c r="C1440" s="48">
        <f t="array" aca="1" ref="C1440" ca="1">MAX(0,ROUND(Inputs!$B$10*Inputs!$B$11+NORMSINV(B1440)*SQRT(Inputs!$B$10*Inputs!$B$11),0))</f>
        <v>498</v>
      </c>
      <c r="D1440" s="52">
        <f ca="1">C1440*Inputs!$B$12</f>
        <v>59760000</v>
      </c>
    </row>
    <row r="1441" spans="1:4" ht="13.5" customHeight="1" x14ac:dyDescent="0.3">
      <c r="A1441" s="46">
        <v>1437</v>
      </c>
      <c r="B1441" s="47">
        <f t="shared" ca="1" si="22"/>
        <v>0.43841125866607122</v>
      </c>
      <c r="C1441" s="48">
        <f t="array" aca="1" ref="C1441" ca="1">MAX(0,ROUND(Inputs!$B$10*Inputs!$B$11+NORMSINV(B1441)*SQRT(Inputs!$B$10*Inputs!$B$11),0))</f>
        <v>497</v>
      </c>
      <c r="D1441" s="49">
        <f ca="1">C1441*Inputs!$B$12</f>
        <v>59640000</v>
      </c>
    </row>
    <row r="1442" spans="1:4" ht="13.5" customHeight="1" x14ac:dyDescent="0.3">
      <c r="A1442" s="50">
        <v>1438</v>
      </c>
      <c r="B1442" s="51">
        <f t="shared" ca="1" si="22"/>
        <v>9.6545786931143684E-3</v>
      </c>
      <c r="C1442" s="48">
        <f t="array" aca="1" ref="C1442" ca="1">MAX(0,ROUND(Inputs!$B$10*Inputs!$B$11+NORMSINV(B1442)*SQRT(Inputs!$B$10*Inputs!$B$11),0))</f>
        <v>448</v>
      </c>
      <c r="D1442" s="52">
        <f ca="1">C1442*Inputs!$B$12</f>
        <v>53760000</v>
      </c>
    </row>
    <row r="1443" spans="1:4" ht="13.5" customHeight="1" x14ac:dyDescent="0.3">
      <c r="A1443" s="46">
        <v>1439</v>
      </c>
      <c r="B1443" s="47">
        <f t="shared" ca="1" si="22"/>
        <v>7.4646742835782431E-2</v>
      </c>
      <c r="C1443" s="48">
        <f t="array" aca="1" ref="C1443" ca="1">MAX(0,ROUND(Inputs!$B$10*Inputs!$B$11+NORMSINV(B1443)*SQRT(Inputs!$B$10*Inputs!$B$11),0))</f>
        <v>468</v>
      </c>
      <c r="D1443" s="49">
        <f ca="1">C1443*Inputs!$B$12</f>
        <v>56160000</v>
      </c>
    </row>
    <row r="1444" spans="1:4" ht="13.5" customHeight="1" x14ac:dyDescent="0.3">
      <c r="A1444" s="50">
        <v>1440</v>
      </c>
      <c r="B1444" s="51">
        <f t="shared" ca="1" si="22"/>
        <v>0.19552380984733608</v>
      </c>
      <c r="C1444" s="48">
        <f t="array" aca="1" ref="C1444" ca="1">MAX(0,ROUND(Inputs!$B$10*Inputs!$B$11+NORMSINV(B1444)*SQRT(Inputs!$B$10*Inputs!$B$11),0))</f>
        <v>481</v>
      </c>
      <c r="D1444" s="52">
        <f ca="1">C1444*Inputs!$B$12</f>
        <v>57720000</v>
      </c>
    </row>
    <row r="1445" spans="1:4" ht="13.5" customHeight="1" x14ac:dyDescent="0.3">
      <c r="A1445" s="46">
        <v>1441</v>
      </c>
      <c r="B1445" s="47">
        <f t="shared" ca="1" si="22"/>
        <v>0.46380687680674182</v>
      </c>
      <c r="C1445" s="48">
        <f t="array" aca="1" ref="C1445" ca="1">MAX(0,ROUND(Inputs!$B$10*Inputs!$B$11+NORMSINV(B1445)*SQRT(Inputs!$B$10*Inputs!$B$11),0))</f>
        <v>498</v>
      </c>
      <c r="D1445" s="49">
        <f ca="1">C1445*Inputs!$B$12</f>
        <v>59760000</v>
      </c>
    </row>
    <row r="1446" spans="1:4" ht="13.5" customHeight="1" x14ac:dyDescent="0.3">
      <c r="A1446" s="50">
        <v>1442</v>
      </c>
      <c r="B1446" s="51">
        <f t="shared" ca="1" si="22"/>
        <v>0.42867881809465991</v>
      </c>
      <c r="C1446" s="48">
        <f t="array" aca="1" ref="C1446" ca="1">MAX(0,ROUND(Inputs!$B$10*Inputs!$B$11+NORMSINV(B1446)*SQRT(Inputs!$B$10*Inputs!$B$11),0))</f>
        <v>496</v>
      </c>
      <c r="D1446" s="52">
        <f ca="1">C1446*Inputs!$B$12</f>
        <v>59520000</v>
      </c>
    </row>
    <row r="1447" spans="1:4" ht="13.5" customHeight="1" x14ac:dyDescent="0.3">
      <c r="A1447" s="46">
        <v>1443</v>
      </c>
      <c r="B1447" s="47">
        <f t="shared" ca="1" si="22"/>
        <v>0.4870992359416243</v>
      </c>
      <c r="C1447" s="48">
        <f t="array" aca="1" ref="C1447" ca="1">MAX(0,ROUND(Inputs!$B$10*Inputs!$B$11+NORMSINV(B1447)*SQRT(Inputs!$B$10*Inputs!$B$11),0))</f>
        <v>499</v>
      </c>
      <c r="D1447" s="49">
        <f ca="1">C1447*Inputs!$B$12</f>
        <v>59880000</v>
      </c>
    </row>
    <row r="1448" spans="1:4" ht="13.5" customHeight="1" x14ac:dyDescent="0.3">
      <c r="A1448" s="50">
        <v>1444</v>
      </c>
      <c r="B1448" s="51">
        <f t="shared" ca="1" si="22"/>
        <v>0.31604274596677895</v>
      </c>
      <c r="C1448" s="48">
        <f t="array" aca="1" ref="C1448" ca="1">MAX(0,ROUND(Inputs!$B$10*Inputs!$B$11+NORMSINV(B1448)*SQRT(Inputs!$B$10*Inputs!$B$11),0))</f>
        <v>489</v>
      </c>
      <c r="D1448" s="52">
        <f ca="1">C1448*Inputs!$B$12</f>
        <v>58680000</v>
      </c>
    </row>
    <row r="1449" spans="1:4" ht="13.5" customHeight="1" x14ac:dyDescent="0.3">
      <c r="A1449" s="46">
        <v>1445</v>
      </c>
      <c r="B1449" s="47">
        <f t="shared" ca="1" si="22"/>
        <v>0.81720673922494602</v>
      </c>
      <c r="C1449" s="48">
        <f t="array" aca="1" ref="C1449" ca="1">MAX(0,ROUND(Inputs!$B$10*Inputs!$B$11+NORMSINV(B1449)*SQRT(Inputs!$B$10*Inputs!$B$11),0))</f>
        <v>520</v>
      </c>
      <c r="D1449" s="49">
        <f ca="1">C1449*Inputs!$B$12</f>
        <v>62400000</v>
      </c>
    </row>
    <row r="1450" spans="1:4" ht="13.5" customHeight="1" x14ac:dyDescent="0.3">
      <c r="A1450" s="50">
        <v>1446</v>
      </c>
      <c r="B1450" s="51">
        <f t="shared" ca="1" si="22"/>
        <v>0.23772008540753164</v>
      </c>
      <c r="C1450" s="48">
        <f t="array" aca="1" ref="C1450" ca="1">MAX(0,ROUND(Inputs!$B$10*Inputs!$B$11+NORMSINV(B1450)*SQRT(Inputs!$B$10*Inputs!$B$11),0))</f>
        <v>484</v>
      </c>
      <c r="D1450" s="52">
        <f ca="1">C1450*Inputs!$B$12</f>
        <v>58080000</v>
      </c>
    </row>
    <row r="1451" spans="1:4" ht="13.5" customHeight="1" x14ac:dyDescent="0.3">
      <c r="A1451" s="46">
        <v>1447</v>
      </c>
      <c r="B1451" s="47">
        <f t="shared" ca="1" si="22"/>
        <v>0.82241287672974572</v>
      </c>
      <c r="C1451" s="48">
        <f t="array" aca="1" ref="C1451" ca="1">MAX(0,ROUND(Inputs!$B$10*Inputs!$B$11+NORMSINV(B1451)*SQRT(Inputs!$B$10*Inputs!$B$11),0))</f>
        <v>521</v>
      </c>
      <c r="D1451" s="49">
        <f ca="1">C1451*Inputs!$B$12</f>
        <v>62520000</v>
      </c>
    </row>
    <row r="1452" spans="1:4" ht="13.5" customHeight="1" x14ac:dyDescent="0.3">
      <c r="A1452" s="50">
        <v>1448</v>
      </c>
      <c r="B1452" s="51">
        <f t="shared" ca="1" si="22"/>
        <v>0.38023802645961691</v>
      </c>
      <c r="C1452" s="48">
        <f t="array" aca="1" ref="C1452" ca="1">MAX(0,ROUND(Inputs!$B$10*Inputs!$B$11+NORMSINV(B1452)*SQRT(Inputs!$B$10*Inputs!$B$11),0))</f>
        <v>493</v>
      </c>
      <c r="D1452" s="52">
        <f ca="1">C1452*Inputs!$B$12</f>
        <v>59160000</v>
      </c>
    </row>
    <row r="1453" spans="1:4" ht="13.5" customHeight="1" x14ac:dyDescent="0.3">
      <c r="A1453" s="46">
        <v>1449</v>
      </c>
      <c r="B1453" s="47">
        <f t="shared" ca="1" si="22"/>
        <v>0.83533042301441451</v>
      </c>
      <c r="C1453" s="48">
        <f t="array" aca="1" ref="C1453" ca="1">MAX(0,ROUND(Inputs!$B$10*Inputs!$B$11+NORMSINV(B1453)*SQRT(Inputs!$B$10*Inputs!$B$11),0))</f>
        <v>522</v>
      </c>
      <c r="D1453" s="49">
        <f ca="1">C1453*Inputs!$B$12</f>
        <v>62640000</v>
      </c>
    </row>
    <row r="1454" spans="1:4" ht="13.5" customHeight="1" x14ac:dyDescent="0.3">
      <c r="A1454" s="50">
        <v>1450</v>
      </c>
      <c r="B1454" s="51">
        <f t="shared" ca="1" si="22"/>
        <v>0.56984075533898015</v>
      </c>
      <c r="C1454" s="48">
        <f t="array" aca="1" ref="C1454" ca="1">MAX(0,ROUND(Inputs!$B$10*Inputs!$B$11+NORMSINV(B1454)*SQRT(Inputs!$B$10*Inputs!$B$11),0))</f>
        <v>504</v>
      </c>
      <c r="D1454" s="52">
        <f ca="1">C1454*Inputs!$B$12</f>
        <v>60480000</v>
      </c>
    </row>
    <row r="1455" spans="1:4" ht="13.5" customHeight="1" x14ac:dyDescent="0.3">
      <c r="A1455" s="46">
        <v>1451</v>
      </c>
      <c r="B1455" s="47">
        <f t="shared" ca="1" si="22"/>
        <v>0.50907276514556943</v>
      </c>
      <c r="C1455" s="48">
        <f t="array" aca="1" ref="C1455" ca="1">MAX(0,ROUND(Inputs!$B$10*Inputs!$B$11+NORMSINV(B1455)*SQRT(Inputs!$B$10*Inputs!$B$11),0))</f>
        <v>501</v>
      </c>
      <c r="D1455" s="49">
        <f ca="1">C1455*Inputs!$B$12</f>
        <v>60120000</v>
      </c>
    </row>
    <row r="1456" spans="1:4" ht="13.5" customHeight="1" x14ac:dyDescent="0.3">
      <c r="A1456" s="50">
        <v>1452</v>
      </c>
      <c r="B1456" s="51">
        <f t="shared" ca="1" si="22"/>
        <v>0.26305035858137926</v>
      </c>
      <c r="C1456" s="48">
        <f t="array" aca="1" ref="C1456" ca="1">MAX(0,ROUND(Inputs!$B$10*Inputs!$B$11+NORMSINV(B1456)*SQRT(Inputs!$B$10*Inputs!$B$11),0))</f>
        <v>486</v>
      </c>
      <c r="D1456" s="52">
        <f ca="1">C1456*Inputs!$B$12</f>
        <v>58320000</v>
      </c>
    </row>
    <row r="1457" spans="1:4" ht="13.5" customHeight="1" x14ac:dyDescent="0.3">
      <c r="A1457" s="46">
        <v>1453</v>
      </c>
      <c r="B1457" s="47">
        <f t="shared" ca="1" si="22"/>
        <v>0.83590757990238018</v>
      </c>
      <c r="C1457" s="48">
        <f t="array" aca="1" ref="C1457" ca="1">MAX(0,ROUND(Inputs!$B$10*Inputs!$B$11+NORMSINV(B1457)*SQRT(Inputs!$B$10*Inputs!$B$11),0))</f>
        <v>522</v>
      </c>
      <c r="D1457" s="49">
        <f ca="1">C1457*Inputs!$B$12</f>
        <v>62640000</v>
      </c>
    </row>
    <row r="1458" spans="1:4" ht="13.5" customHeight="1" x14ac:dyDescent="0.3">
      <c r="A1458" s="50">
        <v>1454</v>
      </c>
      <c r="B1458" s="51">
        <f t="shared" ca="1" si="22"/>
        <v>0.72633319030114185</v>
      </c>
      <c r="C1458" s="48">
        <f t="array" aca="1" ref="C1458" ca="1">MAX(0,ROUND(Inputs!$B$10*Inputs!$B$11+NORMSINV(B1458)*SQRT(Inputs!$B$10*Inputs!$B$11),0))</f>
        <v>513</v>
      </c>
      <c r="D1458" s="52">
        <f ca="1">C1458*Inputs!$B$12</f>
        <v>61560000</v>
      </c>
    </row>
    <row r="1459" spans="1:4" ht="13.5" customHeight="1" x14ac:dyDescent="0.3">
      <c r="A1459" s="46">
        <v>1455</v>
      </c>
      <c r="B1459" s="47">
        <f t="shared" ca="1" si="22"/>
        <v>0.8574191756449846</v>
      </c>
      <c r="C1459" s="48">
        <f t="array" aca="1" ref="C1459" ca="1">MAX(0,ROUND(Inputs!$B$10*Inputs!$B$11+NORMSINV(B1459)*SQRT(Inputs!$B$10*Inputs!$B$11),0))</f>
        <v>524</v>
      </c>
      <c r="D1459" s="49">
        <f ca="1">C1459*Inputs!$B$12</f>
        <v>62880000</v>
      </c>
    </row>
    <row r="1460" spans="1:4" ht="13.5" customHeight="1" x14ac:dyDescent="0.3">
      <c r="A1460" s="50">
        <v>1456</v>
      </c>
      <c r="B1460" s="51">
        <f t="shared" ca="1" si="22"/>
        <v>0.70601547869526837</v>
      </c>
      <c r="C1460" s="48">
        <f t="array" aca="1" ref="C1460" ca="1">MAX(0,ROUND(Inputs!$B$10*Inputs!$B$11+NORMSINV(B1460)*SQRT(Inputs!$B$10*Inputs!$B$11),0))</f>
        <v>512</v>
      </c>
      <c r="D1460" s="52">
        <f ca="1">C1460*Inputs!$B$12</f>
        <v>61440000</v>
      </c>
    </row>
    <row r="1461" spans="1:4" ht="13.5" customHeight="1" x14ac:dyDescent="0.3">
      <c r="A1461" s="46">
        <v>1457</v>
      </c>
      <c r="B1461" s="47">
        <f t="shared" ca="1" si="22"/>
        <v>0.11065790394554875</v>
      </c>
      <c r="C1461" s="48">
        <f t="array" aca="1" ref="C1461" ca="1">MAX(0,ROUND(Inputs!$B$10*Inputs!$B$11+NORMSINV(B1461)*SQRT(Inputs!$B$10*Inputs!$B$11),0))</f>
        <v>473</v>
      </c>
      <c r="D1461" s="49">
        <f ca="1">C1461*Inputs!$B$12</f>
        <v>56760000</v>
      </c>
    </row>
    <row r="1462" spans="1:4" ht="13.5" customHeight="1" x14ac:dyDescent="0.3">
      <c r="A1462" s="50">
        <v>1458</v>
      </c>
      <c r="B1462" s="51">
        <f t="shared" ca="1" si="22"/>
        <v>0.45743642552505526</v>
      </c>
      <c r="C1462" s="48">
        <f t="array" aca="1" ref="C1462" ca="1">MAX(0,ROUND(Inputs!$B$10*Inputs!$B$11+NORMSINV(B1462)*SQRT(Inputs!$B$10*Inputs!$B$11),0))</f>
        <v>498</v>
      </c>
      <c r="D1462" s="52">
        <f ca="1">C1462*Inputs!$B$12</f>
        <v>59760000</v>
      </c>
    </row>
    <row r="1463" spans="1:4" ht="13.5" customHeight="1" x14ac:dyDescent="0.3">
      <c r="A1463" s="46">
        <v>1459</v>
      </c>
      <c r="B1463" s="47">
        <f t="shared" ca="1" si="22"/>
        <v>0.44616246599769194</v>
      </c>
      <c r="C1463" s="48">
        <f t="array" aca="1" ref="C1463" ca="1">MAX(0,ROUND(Inputs!$B$10*Inputs!$B$11+NORMSINV(B1463)*SQRT(Inputs!$B$10*Inputs!$B$11),0))</f>
        <v>497</v>
      </c>
      <c r="D1463" s="49">
        <f ca="1">C1463*Inputs!$B$12</f>
        <v>59640000</v>
      </c>
    </row>
    <row r="1464" spans="1:4" ht="13.5" customHeight="1" x14ac:dyDescent="0.3">
      <c r="A1464" s="50">
        <v>1460</v>
      </c>
      <c r="B1464" s="51">
        <f t="shared" ca="1" si="22"/>
        <v>0.56294116189991739</v>
      </c>
      <c r="C1464" s="48">
        <f t="array" aca="1" ref="C1464" ca="1">MAX(0,ROUND(Inputs!$B$10*Inputs!$B$11+NORMSINV(B1464)*SQRT(Inputs!$B$10*Inputs!$B$11),0))</f>
        <v>504</v>
      </c>
      <c r="D1464" s="52">
        <f ca="1">C1464*Inputs!$B$12</f>
        <v>60480000</v>
      </c>
    </row>
    <row r="1465" spans="1:4" ht="13.5" customHeight="1" x14ac:dyDescent="0.3">
      <c r="A1465" s="46">
        <v>1461</v>
      </c>
      <c r="B1465" s="47">
        <f t="shared" ca="1" si="22"/>
        <v>0.7904177744214107</v>
      </c>
      <c r="C1465" s="48">
        <f t="array" aca="1" ref="C1465" ca="1">MAX(0,ROUND(Inputs!$B$10*Inputs!$B$11+NORMSINV(B1465)*SQRT(Inputs!$B$10*Inputs!$B$11),0))</f>
        <v>518</v>
      </c>
      <c r="D1465" s="49">
        <f ca="1">C1465*Inputs!$B$12</f>
        <v>62160000</v>
      </c>
    </row>
    <row r="1466" spans="1:4" ht="13.5" customHeight="1" x14ac:dyDescent="0.3">
      <c r="A1466" s="50">
        <v>1462</v>
      </c>
      <c r="B1466" s="51">
        <f t="shared" ca="1" si="22"/>
        <v>0.64329581893283305</v>
      </c>
      <c r="C1466" s="48">
        <f t="array" aca="1" ref="C1466" ca="1">MAX(0,ROUND(Inputs!$B$10*Inputs!$B$11+NORMSINV(B1466)*SQRT(Inputs!$B$10*Inputs!$B$11),0))</f>
        <v>508</v>
      </c>
      <c r="D1466" s="52">
        <f ca="1">C1466*Inputs!$B$12</f>
        <v>60960000</v>
      </c>
    </row>
    <row r="1467" spans="1:4" ht="13.5" customHeight="1" x14ac:dyDescent="0.3">
      <c r="A1467" s="46">
        <v>1463</v>
      </c>
      <c r="B1467" s="47">
        <f t="shared" ca="1" si="22"/>
        <v>0.86982460351712654</v>
      </c>
      <c r="C1467" s="48">
        <f t="array" aca="1" ref="C1467" ca="1">MAX(0,ROUND(Inputs!$B$10*Inputs!$B$11+NORMSINV(B1467)*SQRT(Inputs!$B$10*Inputs!$B$11),0))</f>
        <v>525</v>
      </c>
      <c r="D1467" s="49">
        <f ca="1">C1467*Inputs!$B$12</f>
        <v>63000000</v>
      </c>
    </row>
    <row r="1468" spans="1:4" ht="13.5" customHeight="1" x14ac:dyDescent="0.3">
      <c r="A1468" s="50">
        <v>1464</v>
      </c>
      <c r="B1468" s="51">
        <f t="shared" ca="1" si="22"/>
        <v>0.3233239707674741</v>
      </c>
      <c r="C1468" s="48">
        <f t="array" aca="1" ref="C1468" ca="1">MAX(0,ROUND(Inputs!$B$10*Inputs!$B$11+NORMSINV(B1468)*SQRT(Inputs!$B$10*Inputs!$B$11),0))</f>
        <v>490</v>
      </c>
      <c r="D1468" s="52">
        <f ca="1">C1468*Inputs!$B$12</f>
        <v>58800000</v>
      </c>
    </row>
    <row r="1469" spans="1:4" ht="13.5" customHeight="1" x14ac:dyDescent="0.3">
      <c r="A1469" s="46">
        <v>1465</v>
      </c>
      <c r="B1469" s="47">
        <f t="shared" ca="1" si="22"/>
        <v>0.46074272379043402</v>
      </c>
      <c r="C1469" s="48">
        <f t="array" aca="1" ref="C1469" ca="1">MAX(0,ROUND(Inputs!$B$10*Inputs!$B$11+NORMSINV(B1469)*SQRT(Inputs!$B$10*Inputs!$B$11),0))</f>
        <v>498</v>
      </c>
      <c r="D1469" s="49">
        <f ca="1">C1469*Inputs!$B$12</f>
        <v>59760000</v>
      </c>
    </row>
    <row r="1470" spans="1:4" ht="13.5" customHeight="1" x14ac:dyDescent="0.3">
      <c r="A1470" s="50">
        <v>1466</v>
      </c>
      <c r="B1470" s="51">
        <f t="shared" ca="1" si="22"/>
        <v>0.87611692595296142</v>
      </c>
      <c r="C1470" s="48">
        <f t="array" aca="1" ref="C1470" ca="1">MAX(0,ROUND(Inputs!$B$10*Inputs!$B$11+NORMSINV(B1470)*SQRT(Inputs!$B$10*Inputs!$B$11),0))</f>
        <v>526</v>
      </c>
      <c r="D1470" s="52">
        <f ca="1">C1470*Inputs!$B$12</f>
        <v>63120000</v>
      </c>
    </row>
    <row r="1471" spans="1:4" ht="13.5" customHeight="1" x14ac:dyDescent="0.3">
      <c r="A1471" s="46">
        <v>1467</v>
      </c>
      <c r="B1471" s="47">
        <f t="shared" ca="1" si="22"/>
        <v>0.44105872461518414</v>
      </c>
      <c r="C1471" s="48">
        <f t="array" aca="1" ref="C1471" ca="1">MAX(0,ROUND(Inputs!$B$10*Inputs!$B$11+NORMSINV(B1471)*SQRT(Inputs!$B$10*Inputs!$B$11),0))</f>
        <v>497</v>
      </c>
      <c r="D1471" s="49">
        <f ca="1">C1471*Inputs!$B$12</f>
        <v>59640000</v>
      </c>
    </row>
    <row r="1472" spans="1:4" ht="13.5" customHeight="1" x14ac:dyDescent="0.3">
      <c r="A1472" s="50">
        <v>1468</v>
      </c>
      <c r="B1472" s="51">
        <f t="shared" ca="1" si="22"/>
        <v>0.40927812231643412</v>
      </c>
      <c r="C1472" s="48">
        <f t="array" aca="1" ref="C1472" ca="1">MAX(0,ROUND(Inputs!$B$10*Inputs!$B$11+NORMSINV(B1472)*SQRT(Inputs!$B$10*Inputs!$B$11),0))</f>
        <v>495</v>
      </c>
      <c r="D1472" s="52">
        <f ca="1">C1472*Inputs!$B$12</f>
        <v>59400000</v>
      </c>
    </row>
    <row r="1473" spans="1:4" ht="13.5" customHeight="1" x14ac:dyDescent="0.3">
      <c r="A1473" s="46">
        <v>1469</v>
      </c>
      <c r="B1473" s="47">
        <f t="shared" ca="1" si="22"/>
        <v>0.51606604338655049</v>
      </c>
      <c r="C1473" s="48">
        <f t="array" aca="1" ref="C1473" ca="1">MAX(0,ROUND(Inputs!$B$10*Inputs!$B$11+NORMSINV(B1473)*SQRT(Inputs!$B$10*Inputs!$B$11),0))</f>
        <v>501</v>
      </c>
      <c r="D1473" s="49">
        <f ca="1">C1473*Inputs!$B$12</f>
        <v>60120000</v>
      </c>
    </row>
    <row r="1474" spans="1:4" ht="13.5" customHeight="1" x14ac:dyDescent="0.3">
      <c r="A1474" s="50">
        <v>1470</v>
      </c>
      <c r="B1474" s="51">
        <f t="shared" ca="1" si="22"/>
        <v>0.54544163391501765</v>
      </c>
      <c r="C1474" s="48">
        <f t="array" aca="1" ref="C1474" ca="1">MAX(0,ROUND(Inputs!$B$10*Inputs!$B$11+NORMSINV(B1474)*SQRT(Inputs!$B$10*Inputs!$B$11),0))</f>
        <v>503</v>
      </c>
      <c r="D1474" s="52">
        <f ca="1">C1474*Inputs!$B$12</f>
        <v>60360000</v>
      </c>
    </row>
    <row r="1475" spans="1:4" ht="13.5" customHeight="1" x14ac:dyDescent="0.3">
      <c r="A1475" s="46">
        <v>1471</v>
      </c>
      <c r="B1475" s="47">
        <f t="shared" ca="1" si="22"/>
        <v>0.80299623407070286</v>
      </c>
      <c r="C1475" s="48">
        <f t="array" aca="1" ref="C1475" ca="1">MAX(0,ROUND(Inputs!$B$10*Inputs!$B$11+NORMSINV(B1475)*SQRT(Inputs!$B$10*Inputs!$B$11),0))</f>
        <v>519</v>
      </c>
      <c r="D1475" s="49">
        <f ca="1">C1475*Inputs!$B$12</f>
        <v>62280000</v>
      </c>
    </row>
    <row r="1476" spans="1:4" ht="13.5" customHeight="1" x14ac:dyDescent="0.3">
      <c r="A1476" s="50">
        <v>1472</v>
      </c>
      <c r="B1476" s="51">
        <f t="shared" ca="1" si="22"/>
        <v>0.77641346915575082</v>
      </c>
      <c r="C1476" s="48">
        <f t="array" aca="1" ref="C1476" ca="1">MAX(0,ROUND(Inputs!$B$10*Inputs!$B$11+NORMSINV(B1476)*SQRT(Inputs!$B$10*Inputs!$B$11),0))</f>
        <v>517</v>
      </c>
      <c r="D1476" s="52">
        <f ca="1">C1476*Inputs!$B$12</f>
        <v>62040000</v>
      </c>
    </row>
    <row r="1477" spans="1:4" ht="13.5" customHeight="1" x14ac:dyDescent="0.3">
      <c r="A1477" s="46">
        <v>1473</v>
      </c>
      <c r="B1477" s="47">
        <f t="shared" ref="B1477:B1540" ca="1" si="23">RAND()</f>
        <v>0.62060897892889655</v>
      </c>
      <c r="C1477" s="48">
        <f t="array" aca="1" ref="C1477" ca="1">MAX(0,ROUND(Inputs!$B$10*Inputs!$B$11+NORMSINV(B1477)*SQRT(Inputs!$B$10*Inputs!$B$11),0))</f>
        <v>507</v>
      </c>
      <c r="D1477" s="49">
        <f ca="1">C1477*Inputs!$B$12</f>
        <v>60840000</v>
      </c>
    </row>
    <row r="1478" spans="1:4" ht="13.5" customHeight="1" x14ac:dyDescent="0.3">
      <c r="A1478" s="50">
        <v>1474</v>
      </c>
      <c r="B1478" s="51">
        <f t="shared" ca="1" si="23"/>
        <v>0.84707659330832041</v>
      </c>
      <c r="C1478" s="48">
        <f t="array" aca="1" ref="C1478" ca="1">MAX(0,ROUND(Inputs!$B$10*Inputs!$B$11+NORMSINV(B1478)*SQRT(Inputs!$B$10*Inputs!$B$11),0))</f>
        <v>523</v>
      </c>
      <c r="D1478" s="52">
        <f ca="1">C1478*Inputs!$B$12</f>
        <v>62760000</v>
      </c>
    </row>
    <row r="1479" spans="1:4" ht="13.5" customHeight="1" x14ac:dyDescent="0.3">
      <c r="A1479" s="46">
        <v>1475</v>
      </c>
      <c r="B1479" s="47">
        <f t="shared" ca="1" si="23"/>
        <v>0.76550445030456793</v>
      </c>
      <c r="C1479" s="48">
        <f t="array" aca="1" ref="C1479" ca="1">MAX(0,ROUND(Inputs!$B$10*Inputs!$B$11+NORMSINV(B1479)*SQRT(Inputs!$B$10*Inputs!$B$11),0))</f>
        <v>516</v>
      </c>
      <c r="D1479" s="49">
        <f ca="1">C1479*Inputs!$B$12</f>
        <v>61920000</v>
      </c>
    </row>
    <row r="1480" spans="1:4" ht="13.5" customHeight="1" x14ac:dyDescent="0.3">
      <c r="A1480" s="50">
        <v>1476</v>
      </c>
      <c r="B1480" s="51">
        <f t="shared" ca="1" si="23"/>
        <v>0.89236921149018023</v>
      </c>
      <c r="C1480" s="48">
        <f t="array" aca="1" ref="C1480" ca="1">MAX(0,ROUND(Inputs!$B$10*Inputs!$B$11+NORMSINV(B1480)*SQRT(Inputs!$B$10*Inputs!$B$11),0))</f>
        <v>528</v>
      </c>
      <c r="D1480" s="52">
        <f ca="1">C1480*Inputs!$B$12</f>
        <v>63360000</v>
      </c>
    </row>
    <row r="1481" spans="1:4" ht="13.5" customHeight="1" x14ac:dyDescent="0.3">
      <c r="A1481" s="46">
        <v>1477</v>
      </c>
      <c r="B1481" s="47">
        <f t="shared" ca="1" si="23"/>
        <v>0.20463647786216888</v>
      </c>
      <c r="C1481" s="48">
        <f t="array" aca="1" ref="C1481" ca="1">MAX(0,ROUND(Inputs!$B$10*Inputs!$B$11+NORMSINV(B1481)*SQRT(Inputs!$B$10*Inputs!$B$11),0))</f>
        <v>482</v>
      </c>
      <c r="D1481" s="49">
        <f ca="1">C1481*Inputs!$B$12</f>
        <v>57840000</v>
      </c>
    </row>
    <row r="1482" spans="1:4" ht="13.5" customHeight="1" x14ac:dyDescent="0.3">
      <c r="A1482" s="50">
        <v>1478</v>
      </c>
      <c r="B1482" s="51">
        <f t="shared" ca="1" si="23"/>
        <v>0.49039173458788399</v>
      </c>
      <c r="C1482" s="48">
        <f t="array" aca="1" ref="C1482" ca="1">MAX(0,ROUND(Inputs!$B$10*Inputs!$B$11+NORMSINV(B1482)*SQRT(Inputs!$B$10*Inputs!$B$11),0))</f>
        <v>499</v>
      </c>
      <c r="D1482" s="52">
        <f ca="1">C1482*Inputs!$B$12</f>
        <v>59880000</v>
      </c>
    </row>
    <row r="1483" spans="1:4" ht="13.5" customHeight="1" x14ac:dyDescent="0.3">
      <c r="A1483" s="46">
        <v>1479</v>
      </c>
      <c r="B1483" s="47">
        <f t="shared" ca="1" si="23"/>
        <v>0.55523445870237498</v>
      </c>
      <c r="C1483" s="48">
        <f t="array" aca="1" ref="C1483" ca="1">MAX(0,ROUND(Inputs!$B$10*Inputs!$B$11+NORMSINV(B1483)*SQRT(Inputs!$B$10*Inputs!$B$11),0))</f>
        <v>503</v>
      </c>
      <c r="D1483" s="49">
        <f ca="1">C1483*Inputs!$B$12</f>
        <v>60360000</v>
      </c>
    </row>
    <row r="1484" spans="1:4" ht="13.5" customHeight="1" x14ac:dyDescent="0.3">
      <c r="A1484" s="50">
        <v>1480</v>
      </c>
      <c r="B1484" s="51">
        <f t="shared" ca="1" si="23"/>
        <v>0.66745435425665178</v>
      </c>
      <c r="C1484" s="48">
        <f t="array" aca="1" ref="C1484" ca="1">MAX(0,ROUND(Inputs!$B$10*Inputs!$B$11+NORMSINV(B1484)*SQRT(Inputs!$B$10*Inputs!$B$11),0))</f>
        <v>510</v>
      </c>
      <c r="D1484" s="52">
        <f ca="1">C1484*Inputs!$B$12</f>
        <v>61200000</v>
      </c>
    </row>
    <row r="1485" spans="1:4" ht="13.5" customHeight="1" x14ac:dyDescent="0.3">
      <c r="A1485" s="46">
        <v>1481</v>
      </c>
      <c r="B1485" s="47">
        <f t="shared" ca="1" si="23"/>
        <v>0.35669710533529175</v>
      </c>
      <c r="C1485" s="48">
        <f t="array" aca="1" ref="C1485" ca="1">MAX(0,ROUND(Inputs!$B$10*Inputs!$B$11+NORMSINV(B1485)*SQRT(Inputs!$B$10*Inputs!$B$11),0))</f>
        <v>492</v>
      </c>
      <c r="D1485" s="49">
        <f ca="1">C1485*Inputs!$B$12</f>
        <v>59040000</v>
      </c>
    </row>
    <row r="1486" spans="1:4" ht="13.5" customHeight="1" x14ac:dyDescent="0.3">
      <c r="A1486" s="50">
        <v>1482</v>
      </c>
      <c r="B1486" s="51">
        <f t="shared" ca="1" si="23"/>
        <v>0.75048098165962152</v>
      </c>
      <c r="C1486" s="48">
        <f t="array" aca="1" ref="C1486" ca="1">MAX(0,ROUND(Inputs!$B$10*Inputs!$B$11+NORMSINV(B1486)*SQRT(Inputs!$B$10*Inputs!$B$11),0))</f>
        <v>515</v>
      </c>
      <c r="D1486" s="52">
        <f ca="1">C1486*Inputs!$B$12</f>
        <v>61800000</v>
      </c>
    </row>
    <row r="1487" spans="1:4" ht="13.5" customHeight="1" x14ac:dyDescent="0.3">
      <c r="A1487" s="46">
        <v>1483</v>
      </c>
      <c r="B1487" s="47">
        <f t="shared" ca="1" si="23"/>
        <v>0.11219930328266325</v>
      </c>
      <c r="C1487" s="48">
        <f t="array" aca="1" ref="C1487" ca="1">MAX(0,ROUND(Inputs!$B$10*Inputs!$B$11+NORMSINV(B1487)*SQRT(Inputs!$B$10*Inputs!$B$11),0))</f>
        <v>473</v>
      </c>
      <c r="D1487" s="49">
        <f ca="1">C1487*Inputs!$B$12</f>
        <v>56760000</v>
      </c>
    </row>
    <row r="1488" spans="1:4" ht="13.5" customHeight="1" x14ac:dyDescent="0.3">
      <c r="A1488" s="50">
        <v>1484</v>
      </c>
      <c r="B1488" s="51">
        <f t="shared" ca="1" si="23"/>
        <v>0.31808429615399725</v>
      </c>
      <c r="C1488" s="48">
        <f t="array" aca="1" ref="C1488" ca="1">MAX(0,ROUND(Inputs!$B$10*Inputs!$B$11+NORMSINV(B1488)*SQRT(Inputs!$B$10*Inputs!$B$11),0))</f>
        <v>489</v>
      </c>
      <c r="D1488" s="52">
        <f ca="1">C1488*Inputs!$B$12</f>
        <v>58680000</v>
      </c>
    </row>
    <row r="1489" spans="1:4" ht="13.5" customHeight="1" x14ac:dyDescent="0.3">
      <c r="A1489" s="46">
        <v>1485</v>
      </c>
      <c r="B1489" s="47">
        <f t="shared" ca="1" si="23"/>
        <v>0.60522836669762281</v>
      </c>
      <c r="C1489" s="48">
        <f t="array" aca="1" ref="C1489" ca="1">MAX(0,ROUND(Inputs!$B$10*Inputs!$B$11+NORMSINV(B1489)*SQRT(Inputs!$B$10*Inputs!$B$11),0))</f>
        <v>506</v>
      </c>
      <c r="D1489" s="49">
        <f ca="1">C1489*Inputs!$B$12</f>
        <v>60720000</v>
      </c>
    </row>
    <row r="1490" spans="1:4" ht="13.5" customHeight="1" x14ac:dyDescent="0.3">
      <c r="A1490" s="50">
        <v>1486</v>
      </c>
      <c r="B1490" s="51">
        <f t="shared" ca="1" si="23"/>
        <v>5.5530531054733379E-2</v>
      </c>
      <c r="C1490" s="48">
        <f t="array" aca="1" ref="C1490" ca="1">MAX(0,ROUND(Inputs!$B$10*Inputs!$B$11+NORMSINV(B1490)*SQRT(Inputs!$B$10*Inputs!$B$11),0))</f>
        <v>464</v>
      </c>
      <c r="D1490" s="52">
        <f ca="1">C1490*Inputs!$B$12</f>
        <v>55680000</v>
      </c>
    </row>
    <row r="1491" spans="1:4" ht="13.5" customHeight="1" x14ac:dyDescent="0.3">
      <c r="A1491" s="46">
        <v>1487</v>
      </c>
      <c r="B1491" s="47">
        <f t="shared" ca="1" si="23"/>
        <v>0.83157720427733095</v>
      </c>
      <c r="C1491" s="48">
        <f t="array" aca="1" ref="C1491" ca="1">MAX(0,ROUND(Inputs!$B$10*Inputs!$B$11+NORMSINV(B1491)*SQRT(Inputs!$B$10*Inputs!$B$11),0))</f>
        <v>521</v>
      </c>
      <c r="D1491" s="49">
        <f ca="1">C1491*Inputs!$B$12</f>
        <v>62520000</v>
      </c>
    </row>
    <row r="1492" spans="1:4" ht="13.5" customHeight="1" x14ac:dyDescent="0.3">
      <c r="A1492" s="50">
        <v>1488</v>
      </c>
      <c r="B1492" s="51">
        <f t="shared" ca="1" si="23"/>
        <v>0.54753039640786683</v>
      </c>
      <c r="C1492" s="48">
        <f t="array" aca="1" ref="C1492" ca="1">MAX(0,ROUND(Inputs!$B$10*Inputs!$B$11+NORMSINV(B1492)*SQRT(Inputs!$B$10*Inputs!$B$11),0))</f>
        <v>503</v>
      </c>
      <c r="D1492" s="52">
        <f ca="1">C1492*Inputs!$B$12</f>
        <v>60360000</v>
      </c>
    </row>
    <row r="1493" spans="1:4" ht="13.5" customHeight="1" x14ac:dyDescent="0.3">
      <c r="A1493" s="46">
        <v>1489</v>
      </c>
      <c r="B1493" s="47">
        <f t="shared" ca="1" si="23"/>
        <v>0.19017966349089299</v>
      </c>
      <c r="C1493" s="48">
        <f t="array" aca="1" ref="C1493" ca="1">MAX(0,ROUND(Inputs!$B$10*Inputs!$B$11+NORMSINV(B1493)*SQRT(Inputs!$B$10*Inputs!$B$11),0))</f>
        <v>480</v>
      </c>
      <c r="D1493" s="49">
        <f ca="1">C1493*Inputs!$B$12</f>
        <v>57600000</v>
      </c>
    </row>
    <row r="1494" spans="1:4" ht="13.5" customHeight="1" x14ac:dyDescent="0.3">
      <c r="A1494" s="50">
        <v>1490</v>
      </c>
      <c r="B1494" s="51">
        <f t="shared" ca="1" si="23"/>
        <v>0.9565977603198228</v>
      </c>
      <c r="C1494" s="48">
        <f t="array" aca="1" ref="C1494" ca="1">MAX(0,ROUND(Inputs!$B$10*Inputs!$B$11+NORMSINV(B1494)*SQRT(Inputs!$B$10*Inputs!$B$11),0))</f>
        <v>538</v>
      </c>
      <c r="D1494" s="52">
        <f ca="1">C1494*Inputs!$B$12</f>
        <v>64560000</v>
      </c>
    </row>
    <row r="1495" spans="1:4" ht="13.5" customHeight="1" x14ac:dyDescent="0.3">
      <c r="A1495" s="46">
        <v>1491</v>
      </c>
      <c r="B1495" s="47">
        <f t="shared" ca="1" si="23"/>
        <v>0.34261998765041879</v>
      </c>
      <c r="C1495" s="48">
        <f t="array" aca="1" ref="C1495" ca="1">MAX(0,ROUND(Inputs!$B$10*Inputs!$B$11+NORMSINV(B1495)*SQRT(Inputs!$B$10*Inputs!$B$11),0))</f>
        <v>491</v>
      </c>
      <c r="D1495" s="49">
        <f ca="1">C1495*Inputs!$B$12</f>
        <v>58920000</v>
      </c>
    </row>
    <row r="1496" spans="1:4" ht="13.5" customHeight="1" x14ac:dyDescent="0.3">
      <c r="A1496" s="50">
        <v>1492</v>
      </c>
      <c r="B1496" s="51">
        <f t="shared" ca="1" si="23"/>
        <v>0.38975294836259178</v>
      </c>
      <c r="C1496" s="48">
        <f t="array" aca="1" ref="C1496" ca="1">MAX(0,ROUND(Inputs!$B$10*Inputs!$B$11+NORMSINV(B1496)*SQRT(Inputs!$B$10*Inputs!$B$11),0))</f>
        <v>494</v>
      </c>
      <c r="D1496" s="52">
        <f ca="1">C1496*Inputs!$B$12</f>
        <v>59280000</v>
      </c>
    </row>
    <row r="1497" spans="1:4" ht="13.5" customHeight="1" x14ac:dyDescent="0.3">
      <c r="A1497" s="46">
        <v>1493</v>
      </c>
      <c r="B1497" s="47">
        <f t="shared" ca="1" si="23"/>
        <v>0.15083463798610486</v>
      </c>
      <c r="C1497" s="48">
        <f t="array" aca="1" ref="C1497" ca="1">MAX(0,ROUND(Inputs!$B$10*Inputs!$B$11+NORMSINV(B1497)*SQRT(Inputs!$B$10*Inputs!$B$11),0))</f>
        <v>477</v>
      </c>
      <c r="D1497" s="49">
        <f ca="1">C1497*Inputs!$B$12</f>
        <v>57240000</v>
      </c>
    </row>
    <row r="1498" spans="1:4" ht="13.5" customHeight="1" x14ac:dyDescent="0.3">
      <c r="A1498" s="50">
        <v>1494</v>
      </c>
      <c r="B1498" s="51">
        <f t="shared" ca="1" si="23"/>
        <v>0.96817329737050983</v>
      </c>
      <c r="C1498" s="48">
        <f t="array" aca="1" ref="C1498" ca="1">MAX(0,ROUND(Inputs!$B$10*Inputs!$B$11+NORMSINV(B1498)*SQRT(Inputs!$B$10*Inputs!$B$11),0))</f>
        <v>541</v>
      </c>
      <c r="D1498" s="52">
        <f ca="1">C1498*Inputs!$B$12</f>
        <v>64920000</v>
      </c>
    </row>
    <row r="1499" spans="1:4" ht="13.5" customHeight="1" x14ac:dyDescent="0.3">
      <c r="A1499" s="46">
        <v>1495</v>
      </c>
      <c r="B1499" s="47">
        <f t="shared" ca="1" si="23"/>
        <v>0.14036331430579618</v>
      </c>
      <c r="C1499" s="48">
        <f t="array" aca="1" ref="C1499" ca="1">MAX(0,ROUND(Inputs!$B$10*Inputs!$B$11+NORMSINV(B1499)*SQRT(Inputs!$B$10*Inputs!$B$11),0))</f>
        <v>476</v>
      </c>
      <c r="D1499" s="49">
        <f ca="1">C1499*Inputs!$B$12</f>
        <v>57120000</v>
      </c>
    </row>
    <row r="1500" spans="1:4" ht="13.5" customHeight="1" x14ac:dyDescent="0.3">
      <c r="A1500" s="50">
        <v>1496</v>
      </c>
      <c r="B1500" s="51">
        <f t="shared" ca="1" si="23"/>
        <v>0.33472386664883169</v>
      </c>
      <c r="C1500" s="48">
        <f t="array" aca="1" ref="C1500" ca="1">MAX(0,ROUND(Inputs!$B$10*Inputs!$B$11+NORMSINV(B1500)*SQRT(Inputs!$B$10*Inputs!$B$11),0))</f>
        <v>490</v>
      </c>
      <c r="D1500" s="52">
        <f ca="1">C1500*Inputs!$B$12</f>
        <v>58800000</v>
      </c>
    </row>
    <row r="1501" spans="1:4" ht="13.5" customHeight="1" x14ac:dyDescent="0.3">
      <c r="A1501" s="46">
        <v>1497</v>
      </c>
      <c r="B1501" s="47">
        <f t="shared" ca="1" si="23"/>
        <v>0.68071194136475932</v>
      </c>
      <c r="C1501" s="48">
        <f t="array" aca="1" ref="C1501" ca="1">MAX(0,ROUND(Inputs!$B$10*Inputs!$B$11+NORMSINV(B1501)*SQRT(Inputs!$B$10*Inputs!$B$11),0))</f>
        <v>511</v>
      </c>
      <c r="D1501" s="49">
        <f ca="1">C1501*Inputs!$B$12</f>
        <v>61320000</v>
      </c>
    </row>
    <row r="1502" spans="1:4" ht="13.5" customHeight="1" x14ac:dyDescent="0.3">
      <c r="A1502" s="50">
        <v>1498</v>
      </c>
      <c r="B1502" s="51">
        <f t="shared" ca="1" si="23"/>
        <v>0.65497111879633396</v>
      </c>
      <c r="C1502" s="48">
        <f t="array" aca="1" ref="C1502" ca="1">MAX(0,ROUND(Inputs!$B$10*Inputs!$B$11+NORMSINV(B1502)*SQRT(Inputs!$B$10*Inputs!$B$11),0))</f>
        <v>509</v>
      </c>
      <c r="D1502" s="52">
        <f ca="1">C1502*Inputs!$B$12</f>
        <v>61080000</v>
      </c>
    </row>
    <row r="1503" spans="1:4" ht="13.5" customHeight="1" x14ac:dyDescent="0.3">
      <c r="A1503" s="46">
        <v>1499</v>
      </c>
      <c r="B1503" s="47">
        <f t="shared" ca="1" si="23"/>
        <v>0.7722799093873367</v>
      </c>
      <c r="C1503" s="48">
        <f t="array" aca="1" ref="C1503" ca="1">MAX(0,ROUND(Inputs!$B$10*Inputs!$B$11+NORMSINV(B1503)*SQRT(Inputs!$B$10*Inputs!$B$11),0))</f>
        <v>517</v>
      </c>
      <c r="D1503" s="49">
        <f ca="1">C1503*Inputs!$B$12</f>
        <v>62040000</v>
      </c>
    </row>
    <row r="1504" spans="1:4" ht="13.5" customHeight="1" x14ac:dyDescent="0.3">
      <c r="A1504" s="50">
        <v>1500</v>
      </c>
      <c r="B1504" s="51">
        <f t="shared" ca="1" si="23"/>
        <v>3.6596173743685956E-4</v>
      </c>
      <c r="C1504" s="48">
        <f t="array" aca="1" ref="C1504" ca="1">MAX(0,ROUND(Inputs!$B$10*Inputs!$B$11+NORMSINV(B1504)*SQRT(Inputs!$B$10*Inputs!$B$11),0))</f>
        <v>424</v>
      </c>
      <c r="D1504" s="52">
        <f ca="1">C1504*Inputs!$B$12</f>
        <v>50880000</v>
      </c>
    </row>
    <row r="1505" spans="1:4" ht="13.5" customHeight="1" x14ac:dyDescent="0.3">
      <c r="A1505" s="46">
        <v>1501</v>
      </c>
      <c r="B1505" s="47">
        <f t="shared" ca="1" si="23"/>
        <v>2.1618102093888258E-2</v>
      </c>
      <c r="C1505" s="48">
        <f t="array" aca="1" ref="C1505" ca="1">MAX(0,ROUND(Inputs!$B$10*Inputs!$B$11+NORMSINV(B1505)*SQRT(Inputs!$B$10*Inputs!$B$11),0))</f>
        <v>455</v>
      </c>
      <c r="D1505" s="49">
        <f ca="1">C1505*Inputs!$B$12</f>
        <v>54600000</v>
      </c>
    </row>
    <row r="1506" spans="1:4" ht="13.5" customHeight="1" x14ac:dyDescent="0.3">
      <c r="A1506" s="50">
        <v>1502</v>
      </c>
      <c r="B1506" s="51">
        <f t="shared" ca="1" si="23"/>
        <v>0.80150930446411606</v>
      </c>
      <c r="C1506" s="48">
        <f t="array" aca="1" ref="C1506" ca="1">MAX(0,ROUND(Inputs!$B$10*Inputs!$B$11+NORMSINV(B1506)*SQRT(Inputs!$B$10*Inputs!$B$11),0))</f>
        <v>519</v>
      </c>
      <c r="D1506" s="52">
        <f ca="1">C1506*Inputs!$B$12</f>
        <v>62280000</v>
      </c>
    </row>
    <row r="1507" spans="1:4" ht="13.5" customHeight="1" x14ac:dyDescent="0.3">
      <c r="A1507" s="46">
        <v>1503</v>
      </c>
      <c r="B1507" s="47">
        <f t="shared" ca="1" si="23"/>
        <v>0.84953824541632139</v>
      </c>
      <c r="C1507" s="48">
        <f t="array" aca="1" ref="C1507" ca="1">MAX(0,ROUND(Inputs!$B$10*Inputs!$B$11+NORMSINV(B1507)*SQRT(Inputs!$B$10*Inputs!$B$11),0))</f>
        <v>523</v>
      </c>
      <c r="D1507" s="49">
        <f ca="1">C1507*Inputs!$B$12</f>
        <v>62760000</v>
      </c>
    </row>
    <row r="1508" spans="1:4" ht="13.5" customHeight="1" x14ac:dyDescent="0.3">
      <c r="A1508" s="50">
        <v>1504</v>
      </c>
      <c r="B1508" s="51">
        <f t="shared" ca="1" si="23"/>
        <v>0.53325610908493037</v>
      </c>
      <c r="C1508" s="48">
        <f t="array" aca="1" ref="C1508" ca="1">MAX(0,ROUND(Inputs!$B$10*Inputs!$B$11+NORMSINV(B1508)*SQRT(Inputs!$B$10*Inputs!$B$11),0))</f>
        <v>502</v>
      </c>
      <c r="D1508" s="52">
        <f ca="1">C1508*Inputs!$B$12</f>
        <v>60240000</v>
      </c>
    </row>
    <row r="1509" spans="1:4" ht="13.5" customHeight="1" x14ac:dyDescent="0.3">
      <c r="A1509" s="46">
        <v>1505</v>
      </c>
      <c r="B1509" s="47">
        <f t="shared" ca="1" si="23"/>
        <v>0.72308920704483193</v>
      </c>
      <c r="C1509" s="48">
        <f t="array" aca="1" ref="C1509" ca="1">MAX(0,ROUND(Inputs!$B$10*Inputs!$B$11+NORMSINV(B1509)*SQRT(Inputs!$B$10*Inputs!$B$11),0))</f>
        <v>513</v>
      </c>
      <c r="D1509" s="49">
        <f ca="1">C1509*Inputs!$B$12</f>
        <v>61560000</v>
      </c>
    </row>
    <row r="1510" spans="1:4" ht="13.5" customHeight="1" x14ac:dyDescent="0.3">
      <c r="A1510" s="50">
        <v>1506</v>
      </c>
      <c r="B1510" s="51">
        <f t="shared" ca="1" si="23"/>
        <v>0.76975850230779241</v>
      </c>
      <c r="C1510" s="48">
        <f t="array" aca="1" ref="C1510" ca="1">MAX(0,ROUND(Inputs!$B$10*Inputs!$B$11+NORMSINV(B1510)*SQRT(Inputs!$B$10*Inputs!$B$11),0))</f>
        <v>517</v>
      </c>
      <c r="D1510" s="52">
        <f ca="1">C1510*Inputs!$B$12</f>
        <v>62040000</v>
      </c>
    </row>
    <row r="1511" spans="1:4" ht="13.5" customHeight="1" x14ac:dyDescent="0.3">
      <c r="A1511" s="46">
        <v>1507</v>
      </c>
      <c r="B1511" s="47">
        <f t="shared" ca="1" si="23"/>
        <v>0.43486998510993857</v>
      </c>
      <c r="C1511" s="48">
        <f t="array" aca="1" ref="C1511" ca="1">MAX(0,ROUND(Inputs!$B$10*Inputs!$B$11+NORMSINV(B1511)*SQRT(Inputs!$B$10*Inputs!$B$11),0))</f>
        <v>496</v>
      </c>
      <c r="D1511" s="49">
        <f ca="1">C1511*Inputs!$B$12</f>
        <v>59520000</v>
      </c>
    </row>
    <row r="1512" spans="1:4" ht="13.5" customHeight="1" x14ac:dyDescent="0.3">
      <c r="A1512" s="50">
        <v>1508</v>
      </c>
      <c r="B1512" s="51">
        <f t="shared" ca="1" si="23"/>
        <v>0.57937042939531691</v>
      </c>
      <c r="C1512" s="48">
        <f t="array" aca="1" ref="C1512" ca="1">MAX(0,ROUND(Inputs!$B$10*Inputs!$B$11+NORMSINV(B1512)*SQRT(Inputs!$B$10*Inputs!$B$11),0))</f>
        <v>504</v>
      </c>
      <c r="D1512" s="52">
        <f ca="1">C1512*Inputs!$B$12</f>
        <v>60480000</v>
      </c>
    </row>
    <row r="1513" spans="1:4" ht="13.5" customHeight="1" x14ac:dyDescent="0.3">
      <c r="A1513" s="46">
        <v>1509</v>
      </c>
      <c r="B1513" s="47">
        <f t="shared" ca="1" si="23"/>
        <v>0.95266842118406669</v>
      </c>
      <c r="C1513" s="48">
        <f t="array" aca="1" ref="C1513" ca="1">MAX(0,ROUND(Inputs!$B$10*Inputs!$B$11+NORMSINV(B1513)*SQRT(Inputs!$B$10*Inputs!$B$11),0))</f>
        <v>537</v>
      </c>
      <c r="D1513" s="49">
        <f ca="1">C1513*Inputs!$B$12</f>
        <v>64440000</v>
      </c>
    </row>
    <row r="1514" spans="1:4" ht="13.5" customHeight="1" x14ac:dyDescent="0.3">
      <c r="A1514" s="50">
        <v>1510</v>
      </c>
      <c r="B1514" s="51">
        <f t="shared" ca="1" si="23"/>
        <v>0.63214118963032584</v>
      </c>
      <c r="C1514" s="48">
        <f t="array" aca="1" ref="C1514" ca="1">MAX(0,ROUND(Inputs!$B$10*Inputs!$B$11+NORMSINV(B1514)*SQRT(Inputs!$B$10*Inputs!$B$11),0))</f>
        <v>508</v>
      </c>
      <c r="D1514" s="52">
        <f ca="1">C1514*Inputs!$B$12</f>
        <v>60960000</v>
      </c>
    </row>
    <row r="1515" spans="1:4" ht="13.5" customHeight="1" x14ac:dyDescent="0.3">
      <c r="A1515" s="46">
        <v>1511</v>
      </c>
      <c r="B1515" s="47">
        <f t="shared" ca="1" si="23"/>
        <v>0.40850101980619435</v>
      </c>
      <c r="C1515" s="48">
        <f t="array" aca="1" ref="C1515" ca="1">MAX(0,ROUND(Inputs!$B$10*Inputs!$B$11+NORMSINV(B1515)*SQRT(Inputs!$B$10*Inputs!$B$11),0))</f>
        <v>495</v>
      </c>
      <c r="D1515" s="49">
        <f ca="1">C1515*Inputs!$B$12</f>
        <v>59400000</v>
      </c>
    </row>
    <row r="1516" spans="1:4" ht="13.5" customHeight="1" x14ac:dyDescent="0.3">
      <c r="A1516" s="50">
        <v>1512</v>
      </c>
      <c r="B1516" s="51">
        <f t="shared" ca="1" si="23"/>
        <v>0.20327119596829391</v>
      </c>
      <c r="C1516" s="48">
        <f t="array" aca="1" ref="C1516" ca="1">MAX(0,ROUND(Inputs!$B$10*Inputs!$B$11+NORMSINV(B1516)*SQRT(Inputs!$B$10*Inputs!$B$11),0))</f>
        <v>481</v>
      </c>
      <c r="D1516" s="52">
        <f ca="1">C1516*Inputs!$B$12</f>
        <v>57720000</v>
      </c>
    </row>
    <row r="1517" spans="1:4" ht="13.5" customHeight="1" x14ac:dyDescent="0.3">
      <c r="A1517" s="46">
        <v>1513</v>
      </c>
      <c r="B1517" s="47">
        <f t="shared" ca="1" si="23"/>
        <v>6.9536365042585091E-3</v>
      </c>
      <c r="C1517" s="48">
        <f t="array" aca="1" ref="C1517" ca="1">MAX(0,ROUND(Inputs!$B$10*Inputs!$B$11+NORMSINV(B1517)*SQRT(Inputs!$B$10*Inputs!$B$11),0))</f>
        <v>445</v>
      </c>
      <c r="D1517" s="49">
        <f ca="1">C1517*Inputs!$B$12</f>
        <v>53400000</v>
      </c>
    </row>
    <row r="1518" spans="1:4" ht="13.5" customHeight="1" x14ac:dyDescent="0.3">
      <c r="A1518" s="50">
        <v>1514</v>
      </c>
      <c r="B1518" s="51">
        <f t="shared" ca="1" si="23"/>
        <v>0.8849019682939796</v>
      </c>
      <c r="C1518" s="48">
        <f t="array" aca="1" ref="C1518" ca="1">MAX(0,ROUND(Inputs!$B$10*Inputs!$B$11+NORMSINV(B1518)*SQRT(Inputs!$B$10*Inputs!$B$11),0))</f>
        <v>527</v>
      </c>
      <c r="D1518" s="52">
        <f ca="1">C1518*Inputs!$B$12</f>
        <v>63240000</v>
      </c>
    </row>
    <row r="1519" spans="1:4" ht="13.5" customHeight="1" x14ac:dyDescent="0.3">
      <c r="A1519" s="46">
        <v>1515</v>
      </c>
      <c r="B1519" s="47">
        <f t="shared" ca="1" si="23"/>
        <v>0.78565238771690193</v>
      </c>
      <c r="C1519" s="48">
        <f t="array" aca="1" ref="C1519" ca="1">MAX(0,ROUND(Inputs!$B$10*Inputs!$B$11+NORMSINV(B1519)*SQRT(Inputs!$B$10*Inputs!$B$11),0))</f>
        <v>518</v>
      </c>
      <c r="D1519" s="49">
        <f ca="1">C1519*Inputs!$B$12</f>
        <v>62160000</v>
      </c>
    </row>
    <row r="1520" spans="1:4" ht="13.5" customHeight="1" x14ac:dyDescent="0.3">
      <c r="A1520" s="50">
        <v>1516</v>
      </c>
      <c r="B1520" s="51">
        <f t="shared" ca="1" si="23"/>
        <v>0.94997005457892125</v>
      </c>
      <c r="C1520" s="48">
        <f t="array" aca="1" ref="C1520" ca="1">MAX(0,ROUND(Inputs!$B$10*Inputs!$B$11+NORMSINV(B1520)*SQRT(Inputs!$B$10*Inputs!$B$11),0))</f>
        <v>537</v>
      </c>
      <c r="D1520" s="52">
        <f ca="1">C1520*Inputs!$B$12</f>
        <v>64440000</v>
      </c>
    </row>
    <row r="1521" spans="1:4" ht="13.5" customHeight="1" x14ac:dyDescent="0.3">
      <c r="A1521" s="46">
        <v>1517</v>
      </c>
      <c r="B1521" s="47">
        <f t="shared" ca="1" si="23"/>
        <v>0.8802119445165546</v>
      </c>
      <c r="C1521" s="48">
        <f t="array" aca="1" ref="C1521" ca="1">MAX(0,ROUND(Inputs!$B$10*Inputs!$B$11+NORMSINV(B1521)*SQRT(Inputs!$B$10*Inputs!$B$11),0))</f>
        <v>526</v>
      </c>
      <c r="D1521" s="49">
        <f ca="1">C1521*Inputs!$B$12</f>
        <v>63120000</v>
      </c>
    </row>
    <row r="1522" spans="1:4" ht="13.5" customHeight="1" x14ac:dyDescent="0.3">
      <c r="A1522" s="50">
        <v>1518</v>
      </c>
      <c r="B1522" s="51">
        <f t="shared" ca="1" si="23"/>
        <v>2.1570929669019634E-2</v>
      </c>
      <c r="C1522" s="48">
        <f t="array" aca="1" ref="C1522" ca="1">MAX(0,ROUND(Inputs!$B$10*Inputs!$B$11+NORMSINV(B1522)*SQRT(Inputs!$B$10*Inputs!$B$11),0))</f>
        <v>455</v>
      </c>
      <c r="D1522" s="52">
        <f ca="1">C1522*Inputs!$B$12</f>
        <v>54600000</v>
      </c>
    </row>
    <row r="1523" spans="1:4" ht="13.5" customHeight="1" x14ac:dyDescent="0.3">
      <c r="A1523" s="46">
        <v>1519</v>
      </c>
      <c r="B1523" s="47">
        <f t="shared" ca="1" si="23"/>
        <v>0.22762220394701249</v>
      </c>
      <c r="C1523" s="48">
        <f t="array" aca="1" ref="C1523" ca="1">MAX(0,ROUND(Inputs!$B$10*Inputs!$B$11+NORMSINV(B1523)*SQRT(Inputs!$B$10*Inputs!$B$11),0))</f>
        <v>483</v>
      </c>
      <c r="D1523" s="49">
        <f ca="1">C1523*Inputs!$B$12</f>
        <v>57960000</v>
      </c>
    </row>
    <row r="1524" spans="1:4" ht="13.5" customHeight="1" x14ac:dyDescent="0.3">
      <c r="A1524" s="50">
        <v>1520</v>
      </c>
      <c r="B1524" s="51">
        <f t="shared" ca="1" si="23"/>
        <v>0.32491241919236002</v>
      </c>
      <c r="C1524" s="48">
        <f t="array" aca="1" ref="C1524" ca="1">MAX(0,ROUND(Inputs!$B$10*Inputs!$B$11+NORMSINV(B1524)*SQRT(Inputs!$B$10*Inputs!$B$11),0))</f>
        <v>490</v>
      </c>
      <c r="D1524" s="52">
        <f ca="1">C1524*Inputs!$B$12</f>
        <v>58800000</v>
      </c>
    </row>
    <row r="1525" spans="1:4" ht="13.5" customHeight="1" x14ac:dyDescent="0.3">
      <c r="A1525" s="46">
        <v>1521</v>
      </c>
      <c r="B1525" s="47">
        <f t="shared" ca="1" si="23"/>
        <v>0.34576467703870573</v>
      </c>
      <c r="C1525" s="48">
        <f t="array" aca="1" ref="C1525" ca="1">MAX(0,ROUND(Inputs!$B$10*Inputs!$B$11+NORMSINV(B1525)*SQRT(Inputs!$B$10*Inputs!$B$11),0))</f>
        <v>491</v>
      </c>
      <c r="D1525" s="49">
        <f ca="1">C1525*Inputs!$B$12</f>
        <v>58920000</v>
      </c>
    </row>
    <row r="1526" spans="1:4" ht="13.5" customHeight="1" x14ac:dyDescent="0.3">
      <c r="A1526" s="50">
        <v>1522</v>
      </c>
      <c r="B1526" s="51">
        <f t="shared" ca="1" si="23"/>
        <v>0.1495855373533449</v>
      </c>
      <c r="C1526" s="48">
        <f t="array" aca="1" ref="C1526" ca="1">MAX(0,ROUND(Inputs!$B$10*Inputs!$B$11+NORMSINV(B1526)*SQRT(Inputs!$B$10*Inputs!$B$11),0))</f>
        <v>477</v>
      </c>
      <c r="D1526" s="52">
        <f ca="1">C1526*Inputs!$B$12</f>
        <v>57240000</v>
      </c>
    </row>
    <row r="1527" spans="1:4" ht="13.5" customHeight="1" x14ac:dyDescent="0.3">
      <c r="A1527" s="46">
        <v>1523</v>
      </c>
      <c r="B1527" s="47">
        <f t="shared" ca="1" si="23"/>
        <v>0.79090274945112016</v>
      </c>
      <c r="C1527" s="48">
        <f t="array" aca="1" ref="C1527" ca="1">MAX(0,ROUND(Inputs!$B$10*Inputs!$B$11+NORMSINV(B1527)*SQRT(Inputs!$B$10*Inputs!$B$11),0))</f>
        <v>518</v>
      </c>
      <c r="D1527" s="49">
        <f ca="1">C1527*Inputs!$B$12</f>
        <v>62160000</v>
      </c>
    </row>
    <row r="1528" spans="1:4" ht="13.5" customHeight="1" x14ac:dyDescent="0.3">
      <c r="A1528" s="50">
        <v>1524</v>
      </c>
      <c r="B1528" s="51">
        <f t="shared" ca="1" si="23"/>
        <v>0.93545849184466145</v>
      </c>
      <c r="C1528" s="48">
        <f t="array" aca="1" ref="C1528" ca="1">MAX(0,ROUND(Inputs!$B$10*Inputs!$B$11+NORMSINV(B1528)*SQRT(Inputs!$B$10*Inputs!$B$11),0))</f>
        <v>534</v>
      </c>
      <c r="D1528" s="52">
        <f ca="1">C1528*Inputs!$B$12</f>
        <v>64080000</v>
      </c>
    </row>
    <row r="1529" spans="1:4" ht="13.5" customHeight="1" x14ac:dyDescent="0.3">
      <c r="A1529" s="46">
        <v>1525</v>
      </c>
      <c r="B1529" s="47">
        <f t="shared" ca="1" si="23"/>
        <v>0.98551679102048595</v>
      </c>
      <c r="C1529" s="48">
        <f t="array" aca="1" ref="C1529" ca="1">MAX(0,ROUND(Inputs!$B$10*Inputs!$B$11+NORMSINV(B1529)*SQRT(Inputs!$B$10*Inputs!$B$11),0))</f>
        <v>549</v>
      </c>
      <c r="D1529" s="49">
        <f ca="1">C1529*Inputs!$B$12</f>
        <v>65880000</v>
      </c>
    </row>
    <row r="1530" spans="1:4" ht="13.5" customHeight="1" x14ac:dyDescent="0.3">
      <c r="A1530" s="50">
        <v>1526</v>
      </c>
      <c r="B1530" s="51">
        <f t="shared" ca="1" si="23"/>
        <v>0.51673619774227142</v>
      </c>
      <c r="C1530" s="48">
        <f t="array" aca="1" ref="C1530" ca="1">MAX(0,ROUND(Inputs!$B$10*Inputs!$B$11+NORMSINV(B1530)*SQRT(Inputs!$B$10*Inputs!$B$11),0))</f>
        <v>501</v>
      </c>
      <c r="D1530" s="52">
        <f ca="1">C1530*Inputs!$B$12</f>
        <v>60120000</v>
      </c>
    </row>
    <row r="1531" spans="1:4" ht="13.5" customHeight="1" x14ac:dyDescent="0.3">
      <c r="A1531" s="46">
        <v>1527</v>
      </c>
      <c r="B1531" s="47">
        <f t="shared" ca="1" si="23"/>
        <v>0.28415625278939816</v>
      </c>
      <c r="C1531" s="48">
        <f t="array" aca="1" ref="C1531" ca="1">MAX(0,ROUND(Inputs!$B$10*Inputs!$B$11+NORMSINV(B1531)*SQRT(Inputs!$B$10*Inputs!$B$11),0))</f>
        <v>487</v>
      </c>
      <c r="D1531" s="49">
        <f ca="1">C1531*Inputs!$B$12</f>
        <v>58440000</v>
      </c>
    </row>
    <row r="1532" spans="1:4" ht="13.5" customHeight="1" x14ac:dyDescent="0.3">
      <c r="A1532" s="50">
        <v>1528</v>
      </c>
      <c r="B1532" s="51">
        <f t="shared" ca="1" si="23"/>
        <v>0.8719352947155059</v>
      </c>
      <c r="C1532" s="48">
        <f t="array" aca="1" ref="C1532" ca="1">MAX(0,ROUND(Inputs!$B$10*Inputs!$B$11+NORMSINV(B1532)*SQRT(Inputs!$B$10*Inputs!$B$11),0))</f>
        <v>525</v>
      </c>
      <c r="D1532" s="52">
        <f ca="1">C1532*Inputs!$B$12</f>
        <v>63000000</v>
      </c>
    </row>
    <row r="1533" spans="1:4" ht="13.5" customHeight="1" x14ac:dyDescent="0.3">
      <c r="A1533" s="46">
        <v>1529</v>
      </c>
      <c r="B1533" s="47">
        <f t="shared" ca="1" si="23"/>
        <v>3.7808641872309479E-2</v>
      </c>
      <c r="C1533" s="48">
        <f t="array" aca="1" ref="C1533" ca="1">MAX(0,ROUND(Inputs!$B$10*Inputs!$B$11+NORMSINV(B1533)*SQRT(Inputs!$B$10*Inputs!$B$11),0))</f>
        <v>460</v>
      </c>
      <c r="D1533" s="49">
        <f ca="1">C1533*Inputs!$B$12</f>
        <v>55200000</v>
      </c>
    </row>
    <row r="1534" spans="1:4" ht="13.5" customHeight="1" x14ac:dyDescent="0.3">
      <c r="A1534" s="50">
        <v>1530</v>
      </c>
      <c r="B1534" s="51">
        <f t="shared" ca="1" si="23"/>
        <v>0.8360506347094655</v>
      </c>
      <c r="C1534" s="48">
        <f t="array" aca="1" ref="C1534" ca="1">MAX(0,ROUND(Inputs!$B$10*Inputs!$B$11+NORMSINV(B1534)*SQRT(Inputs!$B$10*Inputs!$B$11),0))</f>
        <v>522</v>
      </c>
      <c r="D1534" s="52">
        <f ca="1">C1534*Inputs!$B$12</f>
        <v>62640000</v>
      </c>
    </row>
    <row r="1535" spans="1:4" ht="13.5" customHeight="1" x14ac:dyDescent="0.3">
      <c r="A1535" s="46">
        <v>1531</v>
      </c>
      <c r="B1535" s="47">
        <f t="shared" ca="1" si="23"/>
        <v>0.92743026513539795</v>
      </c>
      <c r="C1535" s="48">
        <f t="array" aca="1" ref="C1535" ca="1">MAX(0,ROUND(Inputs!$B$10*Inputs!$B$11+NORMSINV(B1535)*SQRT(Inputs!$B$10*Inputs!$B$11),0))</f>
        <v>533</v>
      </c>
      <c r="D1535" s="49">
        <f ca="1">C1535*Inputs!$B$12</f>
        <v>63960000</v>
      </c>
    </row>
    <row r="1536" spans="1:4" ht="13.5" customHeight="1" x14ac:dyDescent="0.3">
      <c r="A1536" s="50">
        <v>1532</v>
      </c>
      <c r="B1536" s="51">
        <f t="shared" ca="1" si="23"/>
        <v>0.22449276154433573</v>
      </c>
      <c r="C1536" s="48">
        <f t="array" aca="1" ref="C1536" ca="1">MAX(0,ROUND(Inputs!$B$10*Inputs!$B$11+NORMSINV(B1536)*SQRT(Inputs!$B$10*Inputs!$B$11),0))</f>
        <v>483</v>
      </c>
      <c r="D1536" s="52">
        <f ca="1">C1536*Inputs!$B$12</f>
        <v>57960000</v>
      </c>
    </row>
    <row r="1537" spans="1:4" ht="13.5" customHeight="1" x14ac:dyDescent="0.3">
      <c r="A1537" s="46">
        <v>1533</v>
      </c>
      <c r="B1537" s="47">
        <f t="shared" ca="1" si="23"/>
        <v>0.50067058164144485</v>
      </c>
      <c r="C1537" s="48">
        <f t="array" aca="1" ref="C1537" ca="1">MAX(0,ROUND(Inputs!$B$10*Inputs!$B$11+NORMSINV(B1537)*SQRT(Inputs!$B$10*Inputs!$B$11),0))</f>
        <v>500</v>
      </c>
      <c r="D1537" s="49">
        <f ca="1">C1537*Inputs!$B$12</f>
        <v>60000000</v>
      </c>
    </row>
    <row r="1538" spans="1:4" ht="13.5" customHeight="1" x14ac:dyDescent="0.3">
      <c r="A1538" s="50">
        <v>1534</v>
      </c>
      <c r="B1538" s="51">
        <f t="shared" ca="1" si="23"/>
        <v>0.5408931404753351</v>
      </c>
      <c r="C1538" s="48">
        <f t="array" aca="1" ref="C1538" ca="1">MAX(0,ROUND(Inputs!$B$10*Inputs!$B$11+NORMSINV(B1538)*SQRT(Inputs!$B$10*Inputs!$B$11),0))</f>
        <v>502</v>
      </c>
      <c r="D1538" s="52">
        <f ca="1">C1538*Inputs!$B$12</f>
        <v>60240000</v>
      </c>
    </row>
    <row r="1539" spans="1:4" ht="13.5" customHeight="1" x14ac:dyDescent="0.3">
      <c r="A1539" s="46">
        <v>1535</v>
      </c>
      <c r="B1539" s="47">
        <f t="shared" ca="1" si="23"/>
        <v>0.94568356105618268</v>
      </c>
      <c r="C1539" s="48">
        <f t="array" aca="1" ref="C1539" ca="1">MAX(0,ROUND(Inputs!$B$10*Inputs!$B$11+NORMSINV(B1539)*SQRT(Inputs!$B$10*Inputs!$B$11),0))</f>
        <v>536</v>
      </c>
      <c r="D1539" s="49">
        <f ca="1">C1539*Inputs!$B$12</f>
        <v>64320000</v>
      </c>
    </row>
    <row r="1540" spans="1:4" ht="13.5" customHeight="1" x14ac:dyDescent="0.3">
      <c r="A1540" s="50">
        <v>1536</v>
      </c>
      <c r="B1540" s="51">
        <f t="shared" ca="1" si="23"/>
        <v>0.58157157412034099</v>
      </c>
      <c r="C1540" s="48">
        <f t="array" aca="1" ref="C1540" ca="1">MAX(0,ROUND(Inputs!$B$10*Inputs!$B$11+NORMSINV(B1540)*SQRT(Inputs!$B$10*Inputs!$B$11),0))</f>
        <v>505</v>
      </c>
      <c r="D1540" s="52">
        <f ca="1">C1540*Inputs!$B$12</f>
        <v>60600000</v>
      </c>
    </row>
    <row r="1541" spans="1:4" ht="13.5" customHeight="1" x14ac:dyDescent="0.3">
      <c r="A1541" s="46">
        <v>1537</v>
      </c>
      <c r="B1541" s="47">
        <f t="shared" ref="B1541:B1604" ca="1" si="24">RAND()</f>
        <v>0.33880012418934202</v>
      </c>
      <c r="C1541" s="48">
        <f t="array" aca="1" ref="C1541" ca="1">MAX(0,ROUND(Inputs!$B$10*Inputs!$B$11+NORMSINV(B1541)*SQRT(Inputs!$B$10*Inputs!$B$11),0))</f>
        <v>491</v>
      </c>
      <c r="D1541" s="49">
        <f ca="1">C1541*Inputs!$B$12</f>
        <v>58920000</v>
      </c>
    </row>
    <row r="1542" spans="1:4" ht="13.5" customHeight="1" x14ac:dyDescent="0.3">
      <c r="A1542" s="50">
        <v>1538</v>
      </c>
      <c r="B1542" s="51">
        <f t="shared" ca="1" si="24"/>
        <v>0.65597961238983726</v>
      </c>
      <c r="C1542" s="48">
        <f t="array" aca="1" ref="C1542" ca="1">MAX(0,ROUND(Inputs!$B$10*Inputs!$B$11+NORMSINV(B1542)*SQRT(Inputs!$B$10*Inputs!$B$11),0))</f>
        <v>509</v>
      </c>
      <c r="D1542" s="52">
        <f ca="1">C1542*Inputs!$B$12</f>
        <v>61080000</v>
      </c>
    </row>
    <row r="1543" spans="1:4" ht="13.5" customHeight="1" x14ac:dyDescent="0.3">
      <c r="A1543" s="46">
        <v>1539</v>
      </c>
      <c r="B1543" s="47">
        <f t="shared" ca="1" si="24"/>
        <v>0.10136780021755354</v>
      </c>
      <c r="C1543" s="48">
        <f t="array" aca="1" ref="C1543" ca="1">MAX(0,ROUND(Inputs!$B$10*Inputs!$B$11+NORMSINV(B1543)*SQRT(Inputs!$B$10*Inputs!$B$11),0))</f>
        <v>472</v>
      </c>
      <c r="D1543" s="49">
        <f ca="1">C1543*Inputs!$B$12</f>
        <v>56640000</v>
      </c>
    </row>
    <row r="1544" spans="1:4" ht="13.5" customHeight="1" x14ac:dyDescent="0.3">
      <c r="A1544" s="50">
        <v>1540</v>
      </c>
      <c r="B1544" s="51">
        <f t="shared" ca="1" si="24"/>
        <v>8.4314080910996014E-2</v>
      </c>
      <c r="C1544" s="48">
        <f t="array" aca="1" ref="C1544" ca="1">MAX(0,ROUND(Inputs!$B$10*Inputs!$B$11+NORMSINV(B1544)*SQRT(Inputs!$B$10*Inputs!$B$11),0))</f>
        <v>469</v>
      </c>
      <c r="D1544" s="52">
        <f ca="1">C1544*Inputs!$B$12</f>
        <v>56280000</v>
      </c>
    </row>
    <row r="1545" spans="1:4" ht="13.5" customHeight="1" x14ac:dyDescent="0.3">
      <c r="A1545" s="46">
        <v>1541</v>
      </c>
      <c r="B1545" s="47">
        <f t="shared" ca="1" si="24"/>
        <v>0.43804413097419614</v>
      </c>
      <c r="C1545" s="48">
        <f t="array" aca="1" ref="C1545" ca="1">MAX(0,ROUND(Inputs!$B$10*Inputs!$B$11+NORMSINV(B1545)*SQRT(Inputs!$B$10*Inputs!$B$11),0))</f>
        <v>497</v>
      </c>
      <c r="D1545" s="49">
        <f ca="1">C1545*Inputs!$B$12</f>
        <v>59640000</v>
      </c>
    </row>
    <row r="1546" spans="1:4" ht="13.5" customHeight="1" x14ac:dyDescent="0.3">
      <c r="A1546" s="50">
        <v>1542</v>
      </c>
      <c r="B1546" s="51">
        <f t="shared" ca="1" si="24"/>
        <v>0.75482879740503372</v>
      </c>
      <c r="C1546" s="48">
        <f t="array" aca="1" ref="C1546" ca="1">MAX(0,ROUND(Inputs!$B$10*Inputs!$B$11+NORMSINV(B1546)*SQRT(Inputs!$B$10*Inputs!$B$11),0))</f>
        <v>515</v>
      </c>
      <c r="D1546" s="52">
        <f ca="1">C1546*Inputs!$B$12</f>
        <v>61800000</v>
      </c>
    </row>
    <row r="1547" spans="1:4" ht="13.5" customHeight="1" x14ac:dyDescent="0.3">
      <c r="A1547" s="46">
        <v>1543</v>
      </c>
      <c r="B1547" s="47">
        <f t="shared" ca="1" si="24"/>
        <v>0.23112072194294797</v>
      </c>
      <c r="C1547" s="48">
        <f t="array" aca="1" ref="C1547" ca="1">MAX(0,ROUND(Inputs!$B$10*Inputs!$B$11+NORMSINV(B1547)*SQRT(Inputs!$B$10*Inputs!$B$11),0))</f>
        <v>484</v>
      </c>
      <c r="D1547" s="49">
        <f ca="1">C1547*Inputs!$B$12</f>
        <v>58080000</v>
      </c>
    </row>
    <row r="1548" spans="1:4" ht="13.5" customHeight="1" x14ac:dyDescent="0.3">
      <c r="A1548" s="50">
        <v>1544</v>
      </c>
      <c r="B1548" s="51">
        <f t="shared" ca="1" si="24"/>
        <v>0.56680919454736323</v>
      </c>
      <c r="C1548" s="48">
        <f t="array" aca="1" ref="C1548" ca="1">MAX(0,ROUND(Inputs!$B$10*Inputs!$B$11+NORMSINV(B1548)*SQRT(Inputs!$B$10*Inputs!$B$11),0))</f>
        <v>504</v>
      </c>
      <c r="D1548" s="52">
        <f ca="1">C1548*Inputs!$B$12</f>
        <v>60480000</v>
      </c>
    </row>
    <row r="1549" spans="1:4" ht="13.5" customHeight="1" x14ac:dyDescent="0.3">
      <c r="A1549" s="46">
        <v>1545</v>
      </c>
      <c r="B1549" s="47">
        <f t="shared" ca="1" si="24"/>
        <v>0.13823311900517921</v>
      </c>
      <c r="C1549" s="48">
        <f t="array" aca="1" ref="C1549" ca="1">MAX(0,ROUND(Inputs!$B$10*Inputs!$B$11+NORMSINV(B1549)*SQRT(Inputs!$B$10*Inputs!$B$11),0))</f>
        <v>476</v>
      </c>
      <c r="D1549" s="49">
        <f ca="1">C1549*Inputs!$B$12</f>
        <v>57120000</v>
      </c>
    </row>
    <row r="1550" spans="1:4" ht="13.5" customHeight="1" x14ac:dyDescent="0.3">
      <c r="A1550" s="50">
        <v>1546</v>
      </c>
      <c r="B1550" s="51">
        <f t="shared" ca="1" si="24"/>
        <v>0.16819492478052689</v>
      </c>
      <c r="C1550" s="48">
        <f t="array" aca="1" ref="C1550" ca="1">MAX(0,ROUND(Inputs!$B$10*Inputs!$B$11+NORMSINV(B1550)*SQRT(Inputs!$B$10*Inputs!$B$11),0))</f>
        <v>479</v>
      </c>
      <c r="D1550" s="52">
        <f ca="1">C1550*Inputs!$B$12</f>
        <v>57480000</v>
      </c>
    </row>
    <row r="1551" spans="1:4" ht="13.5" customHeight="1" x14ac:dyDescent="0.3">
      <c r="A1551" s="46">
        <v>1547</v>
      </c>
      <c r="B1551" s="47">
        <f t="shared" ca="1" si="24"/>
        <v>0.31650642187290501</v>
      </c>
      <c r="C1551" s="48">
        <f t="array" aca="1" ref="C1551" ca="1">MAX(0,ROUND(Inputs!$B$10*Inputs!$B$11+NORMSINV(B1551)*SQRT(Inputs!$B$10*Inputs!$B$11),0))</f>
        <v>489</v>
      </c>
      <c r="D1551" s="49">
        <f ca="1">C1551*Inputs!$B$12</f>
        <v>58680000</v>
      </c>
    </row>
    <row r="1552" spans="1:4" ht="13.5" customHeight="1" x14ac:dyDescent="0.3">
      <c r="A1552" s="50">
        <v>1548</v>
      </c>
      <c r="B1552" s="51">
        <f t="shared" ca="1" si="24"/>
        <v>0.75125828806814121</v>
      </c>
      <c r="C1552" s="48">
        <f t="array" aca="1" ref="C1552" ca="1">MAX(0,ROUND(Inputs!$B$10*Inputs!$B$11+NORMSINV(B1552)*SQRT(Inputs!$B$10*Inputs!$B$11),0))</f>
        <v>515</v>
      </c>
      <c r="D1552" s="52">
        <f ca="1">C1552*Inputs!$B$12</f>
        <v>61800000</v>
      </c>
    </row>
    <row r="1553" spans="1:4" ht="13.5" customHeight="1" x14ac:dyDescent="0.3">
      <c r="A1553" s="46">
        <v>1549</v>
      </c>
      <c r="B1553" s="47">
        <f t="shared" ca="1" si="24"/>
        <v>0.70719815087759597</v>
      </c>
      <c r="C1553" s="48">
        <f t="array" aca="1" ref="C1553" ca="1">MAX(0,ROUND(Inputs!$B$10*Inputs!$B$11+NORMSINV(B1553)*SQRT(Inputs!$B$10*Inputs!$B$11),0))</f>
        <v>512</v>
      </c>
      <c r="D1553" s="49">
        <f ca="1">C1553*Inputs!$B$12</f>
        <v>61440000</v>
      </c>
    </row>
    <row r="1554" spans="1:4" ht="13.5" customHeight="1" x14ac:dyDescent="0.3">
      <c r="A1554" s="50">
        <v>1550</v>
      </c>
      <c r="B1554" s="51">
        <f t="shared" ca="1" si="24"/>
        <v>0.144899166357633</v>
      </c>
      <c r="C1554" s="48">
        <f t="array" aca="1" ref="C1554" ca="1">MAX(0,ROUND(Inputs!$B$10*Inputs!$B$11+NORMSINV(B1554)*SQRT(Inputs!$B$10*Inputs!$B$11),0))</f>
        <v>476</v>
      </c>
      <c r="D1554" s="52">
        <f ca="1">C1554*Inputs!$B$12</f>
        <v>57120000</v>
      </c>
    </row>
    <row r="1555" spans="1:4" ht="13.5" customHeight="1" x14ac:dyDescent="0.3">
      <c r="A1555" s="46">
        <v>1551</v>
      </c>
      <c r="B1555" s="47">
        <f t="shared" ca="1" si="24"/>
        <v>0.26190431013373039</v>
      </c>
      <c r="C1555" s="48">
        <f t="array" aca="1" ref="C1555" ca="1">MAX(0,ROUND(Inputs!$B$10*Inputs!$B$11+NORMSINV(B1555)*SQRT(Inputs!$B$10*Inputs!$B$11),0))</f>
        <v>486</v>
      </c>
      <c r="D1555" s="49">
        <f ca="1">C1555*Inputs!$B$12</f>
        <v>58320000</v>
      </c>
    </row>
    <row r="1556" spans="1:4" ht="13.5" customHeight="1" x14ac:dyDescent="0.3">
      <c r="A1556" s="50">
        <v>1552</v>
      </c>
      <c r="B1556" s="51">
        <f t="shared" ca="1" si="24"/>
        <v>0.81497944666120037</v>
      </c>
      <c r="C1556" s="48">
        <f t="array" aca="1" ref="C1556" ca="1">MAX(0,ROUND(Inputs!$B$10*Inputs!$B$11+NORMSINV(B1556)*SQRT(Inputs!$B$10*Inputs!$B$11),0))</f>
        <v>520</v>
      </c>
      <c r="D1556" s="52">
        <f ca="1">C1556*Inputs!$B$12</f>
        <v>62400000</v>
      </c>
    </row>
    <row r="1557" spans="1:4" ht="13.5" customHeight="1" x14ac:dyDescent="0.3">
      <c r="A1557" s="46">
        <v>1553</v>
      </c>
      <c r="B1557" s="47">
        <f t="shared" ca="1" si="24"/>
        <v>0.64455371312762633</v>
      </c>
      <c r="C1557" s="48">
        <f t="array" aca="1" ref="C1557" ca="1">MAX(0,ROUND(Inputs!$B$10*Inputs!$B$11+NORMSINV(B1557)*SQRT(Inputs!$B$10*Inputs!$B$11),0))</f>
        <v>508</v>
      </c>
      <c r="D1557" s="49">
        <f ca="1">C1557*Inputs!$B$12</f>
        <v>60960000</v>
      </c>
    </row>
    <row r="1558" spans="1:4" ht="13.5" customHeight="1" x14ac:dyDescent="0.3">
      <c r="A1558" s="50">
        <v>1554</v>
      </c>
      <c r="B1558" s="51">
        <f t="shared" ca="1" si="24"/>
        <v>0.27101197684823031</v>
      </c>
      <c r="C1558" s="48">
        <f t="array" aca="1" ref="C1558" ca="1">MAX(0,ROUND(Inputs!$B$10*Inputs!$B$11+NORMSINV(B1558)*SQRT(Inputs!$B$10*Inputs!$B$11),0))</f>
        <v>486</v>
      </c>
      <c r="D1558" s="52">
        <f ca="1">C1558*Inputs!$B$12</f>
        <v>58320000</v>
      </c>
    </row>
    <row r="1559" spans="1:4" ht="13.5" customHeight="1" x14ac:dyDescent="0.3">
      <c r="A1559" s="46">
        <v>1555</v>
      </c>
      <c r="B1559" s="47">
        <f t="shared" ca="1" si="24"/>
        <v>0.81825102516566206</v>
      </c>
      <c r="C1559" s="48">
        <f t="array" aca="1" ref="C1559" ca="1">MAX(0,ROUND(Inputs!$B$10*Inputs!$B$11+NORMSINV(B1559)*SQRT(Inputs!$B$10*Inputs!$B$11),0))</f>
        <v>520</v>
      </c>
      <c r="D1559" s="49">
        <f ca="1">C1559*Inputs!$B$12</f>
        <v>62400000</v>
      </c>
    </row>
    <row r="1560" spans="1:4" ht="13.5" customHeight="1" x14ac:dyDescent="0.3">
      <c r="A1560" s="50">
        <v>1556</v>
      </c>
      <c r="B1560" s="51">
        <f t="shared" ca="1" si="24"/>
        <v>0.29738949933138847</v>
      </c>
      <c r="C1560" s="48">
        <f t="array" aca="1" ref="C1560" ca="1">MAX(0,ROUND(Inputs!$B$10*Inputs!$B$11+NORMSINV(B1560)*SQRT(Inputs!$B$10*Inputs!$B$11),0))</f>
        <v>488</v>
      </c>
      <c r="D1560" s="52">
        <f ca="1">C1560*Inputs!$B$12</f>
        <v>58560000</v>
      </c>
    </row>
    <row r="1561" spans="1:4" ht="13.5" customHeight="1" x14ac:dyDescent="0.3">
      <c r="A1561" s="46">
        <v>1557</v>
      </c>
      <c r="B1561" s="47">
        <f t="shared" ca="1" si="24"/>
        <v>0.59652853439451892</v>
      </c>
      <c r="C1561" s="48">
        <f t="array" aca="1" ref="C1561" ca="1">MAX(0,ROUND(Inputs!$B$10*Inputs!$B$11+NORMSINV(B1561)*SQRT(Inputs!$B$10*Inputs!$B$11),0))</f>
        <v>505</v>
      </c>
      <c r="D1561" s="49">
        <f ca="1">C1561*Inputs!$B$12</f>
        <v>60600000</v>
      </c>
    </row>
    <row r="1562" spans="1:4" ht="13.5" customHeight="1" x14ac:dyDescent="0.3">
      <c r="A1562" s="50">
        <v>1558</v>
      </c>
      <c r="B1562" s="51">
        <f t="shared" ca="1" si="24"/>
        <v>3.5541614741033123E-2</v>
      </c>
      <c r="C1562" s="48">
        <f t="array" aca="1" ref="C1562" ca="1">MAX(0,ROUND(Inputs!$B$10*Inputs!$B$11+NORMSINV(B1562)*SQRT(Inputs!$B$10*Inputs!$B$11),0))</f>
        <v>460</v>
      </c>
      <c r="D1562" s="52">
        <f ca="1">C1562*Inputs!$B$12</f>
        <v>55200000</v>
      </c>
    </row>
    <row r="1563" spans="1:4" ht="13.5" customHeight="1" x14ac:dyDescent="0.3">
      <c r="A1563" s="46">
        <v>1559</v>
      </c>
      <c r="B1563" s="47">
        <f t="shared" ca="1" si="24"/>
        <v>0.87836685409830406</v>
      </c>
      <c r="C1563" s="48">
        <f t="array" aca="1" ref="C1563" ca="1">MAX(0,ROUND(Inputs!$B$10*Inputs!$B$11+NORMSINV(B1563)*SQRT(Inputs!$B$10*Inputs!$B$11),0))</f>
        <v>526</v>
      </c>
      <c r="D1563" s="49">
        <f ca="1">C1563*Inputs!$B$12</f>
        <v>63120000</v>
      </c>
    </row>
    <row r="1564" spans="1:4" ht="13.5" customHeight="1" x14ac:dyDescent="0.3">
      <c r="A1564" s="50">
        <v>1560</v>
      </c>
      <c r="B1564" s="51">
        <f t="shared" ca="1" si="24"/>
        <v>0.33788895883407599</v>
      </c>
      <c r="C1564" s="48">
        <f t="array" aca="1" ref="C1564" ca="1">MAX(0,ROUND(Inputs!$B$10*Inputs!$B$11+NORMSINV(B1564)*SQRT(Inputs!$B$10*Inputs!$B$11),0))</f>
        <v>491</v>
      </c>
      <c r="D1564" s="52">
        <f ca="1">C1564*Inputs!$B$12</f>
        <v>58920000</v>
      </c>
    </row>
    <row r="1565" spans="1:4" ht="13.5" customHeight="1" x14ac:dyDescent="0.3">
      <c r="A1565" s="46">
        <v>1561</v>
      </c>
      <c r="B1565" s="47">
        <f t="shared" ca="1" si="24"/>
        <v>0.8993218823805168</v>
      </c>
      <c r="C1565" s="48">
        <f t="array" aca="1" ref="C1565" ca="1">MAX(0,ROUND(Inputs!$B$10*Inputs!$B$11+NORMSINV(B1565)*SQRT(Inputs!$B$10*Inputs!$B$11),0))</f>
        <v>529</v>
      </c>
      <c r="D1565" s="49">
        <f ca="1">C1565*Inputs!$B$12</f>
        <v>63480000</v>
      </c>
    </row>
    <row r="1566" spans="1:4" ht="13.5" customHeight="1" x14ac:dyDescent="0.3">
      <c r="A1566" s="50">
        <v>1562</v>
      </c>
      <c r="B1566" s="51">
        <f t="shared" ca="1" si="24"/>
        <v>8.0074979848610117E-2</v>
      </c>
      <c r="C1566" s="48">
        <f t="array" aca="1" ref="C1566" ca="1">MAX(0,ROUND(Inputs!$B$10*Inputs!$B$11+NORMSINV(B1566)*SQRT(Inputs!$B$10*Inputs!$B$11),0))</f>
        <v>469</v>
      </c>
      <c r="D1566" s="52">
        <f ca="1">C1566*Inputs!$B$12</f>
        <v>56280000</v>
      </c>
    </row>
    <row r="1567" spans="1:4" ht="13.5" customHeight="1" x14ac:dyDescent="0.3">
      <c r="A1567" s="46">
        <v>1563</v>
      </c>
      <c r="B1567" s="47">
        <f t="shared" ca="1" si="24"/>
        <v>4.4708548594136421E-2</v>
      </c>
      <c r="C1567" s="48">
        <f t="array" aca="1" ref="C1567" ca="1">MAX(0,ROUND(Inputs!$B$10*Inputs!$B$11+NORMSINV(B1567)*SQRT(Inputs!$B$10*Inputs!$B$11),0))</f>
        <v>462</v>
      </c>
      <c r="D1567" s="49">
        <f ca="1">C1567*Inputs!$B$12</f>
        <v>55440000</v>
      </c>
    </row>
    <row r="1568" spans="1:4" ht="13.5" customHeight="1" x14ac:dyDescent="0.3">
      <c r="A1568" s="50">
        <v>1564</v>
      </c>
      <c r="B1568" s="51">
        <f t="shared" ca="1" si="24"/>
        <v>0.49447615214202978</v>
      </c>
      <c r="C1568" s="48">
        <f t="array" aca="1" ref="C1568" ca="1">MAX(0,ROUND(Inputs!$B$10*Inputs!$B$11+NORMSINV(B1568)*SQRT(Inputs!$B$10*Inputs!$B$11),0))</f>
        <v>500</v>
      </c>
      <c r="D1568" s="52">
        <f ca="1">C1568*Inputs!$B$12</f>
        <v>60000000</v>
      </c>
    </row>
    <row r="1569" spans="1:4" ht="13.5" customHeight="1" x14ac:dyDescent="0.3">
      <c r="A1569" s="46">
        <v>1565</v>
      </c>
      <c r="B1569" s="47">
        <f t="shared" ca="1" si="24"/>
        <v>0.44741613518942469</v>
      </c>
      <c r="C1569" s="48">
        <f t="array" aca="1" ref="C1569" ca="1">MAX(0,ROUND(Inputs!$B$10*Inputs!$B$11+NORMSINV(B1569)*SQRT(Inputs!$B$10*Inputs!$B$11),0))</f>
        <v>497</v>
      </c>
      <c r="D1569" s="49">
        <f ca="1">C1569*Inputs!$B$12</f>
        <v>59640000</v>
      </c>
    </row>
    <row r="1570" spans="1:4" ht="13.5" customHeight="1" x14ac:dyDescent="0.3">
      <c r="A1570" s="50">
        <v>1566</v>
      </c>
      <c r="B1570" s="51">
        <f t="shared" ca="1" si="24"/>
        <v>0.13648829889136227</v>
      </c>
      <c r="C1570" s="48">
        <f t="array" aca="1" ref="C1570" ca="1">MAX(0,ROUND(Inputs!$B$10*Inputs!$B$11+NORMSINV(B1570)*SQRT(Inputs!$B$10*Inputs!$B$11),0))</f>
        <v>475</v>
      </c>
      <c r="D1570" s="52">
        <f ca="1">C1570*Inputs!$B$12</f>
        <v>57000000</v>
      </c>
    </row>
    <row r="1571" spans="1:4" ht="13.5" customHeight="1" x14ac:dyDescent="0.3">
      <c r="A1571" s="46">
        <v>1567</v>
      </c>
      <c r="B1571" s="47">
        <f t="shared" ca="1" si="24"/>
        <v>0.84134999584618864</v>
      </c>
      <c r="C1571" s="48">
        <f t="array" aca="1" ref="C1571" ca="1">MAX(0,ROUND(Inputs!$B$10*Inputs!$B$11+NORMSINV(B1571)*SQRT(Inputs!$B$10*Inputs!$B$11),0))</f>
        <v>522</v>
      </c>
      <c r="D1571" s="49">
        <f ca="1">C1571*Inputs!$B$12</f>
        <v>62640000</v>
      </c>
    </row>
    <row r="1572" spans="1:4" ht="13.5" customHeight="1" x14ac:dyDescent="0.3">
      <c r="A1572" s="50">
        <v>1568</v>
      </c>
      <c r="B1572" s="51">
        <f t="shared" ca="1" si="24"/>
        <v>0.28349599512636026</v>
      </c>
      <c r="C1572" s="48">
        <f t="array" aca="1" ref="C1572" ca="1">MAX(0,ROUND(Inputs!$B$10*Inputs!$B$11+NORMSINV(B1572)*SQRT(Inputs!$B$10*Inputs!$B$11),0))</f>
        <v>487</v>
      </c>
      <c r="D1572" s="52">
        <f ca="1">C1572*Inputs!$B$12</f>
        <v>58440000</v>
      </c>
    </row>
    <row r="1573" spans="1:4" ht="13.5" customHeight="1" x14ac:dyDescent="0.3">
      <c r="A1573" s="46">
        <v>1569</v>
      </c>
      <c r="B1573" s="47">
        <f t="shared" ca="1" si="24"/>
        <v>0.80443113567314584</v>
      </c>
      <c r="C1573" s="48">
        <f t="array" aca="1" ref="C1573" ca="1">MAX(0,ROUND(Inputs!$B$10*Inputs!$B$11+NORMSINV(B1573)*SQRT(Inputs!$B$10*Inputs!$B$11),0))</f>
        <v>519</v>
      </c>
      <c r="D1573" s="49">
        <f ca="1">C1573*Inputs!$B$12</f>
        <v>62280000</v>
      </c>
    </row>
    <row r="1574" spans="1:4" ht="13.5" customHeight="1" x14ac:dyDescent="0.3">
      <c r="A1574" s="50">
        <v>1570</v>
      </c>
      <c r="B1574" s="51">
        <f t="shared" ca="1" si="24"/>
        <v>0.28281054360398106</v>
      </c>
      <c r="C1574" s="48">
        <f t="array" aca="1" ref="C1574" ca="1">MAX(0,ROUND(Inputs!$B$10*Inputs!$B$11+NORMSINV(B1574)*SQRT(Inputs!$B$10*Inputs!$B$11),0))</f>
        <v>487</v>
      </c>
      <c r="D1574" s="52">
        <f ca="1">C1574*Inputs!$B$12</f>
        <v>58440000</v>
      </c>
    </row>
    <row r="1575" spans="1:4" ht="13.5" customHeight="1" x14ac:dyDescent="0.3">
      <c r="A1575" s="46">
        <v>1571</v>
      </c>
      <c r="B1575" s="47">
        <f t="shared" ca="1" si="24"/>
        <v>0.9747633544119424</v>
      </c>
      <c r="C1575" s="48">
        <f t="array" aca="1" ref="C1575" ca="1">MAX(0,ROUND(Inputs!$B$10*Inputs!$B$11+NORMSINV(B1575)*SQRT(Inputs!$B$10*Inputs!$B$11),0))</f>
        <v>544</v>
      </c>
      <c r="D1575" s="49">
        <f ca="1">C1575*Inputs!$B$12</f>
        <v>65280000</v>
      </c>
    </row>
    <row r="1576" spans="1:4" ht="13.5" customHeight="1" x14ac:dyDescent="0.3">
      <c r="A1576" s="50">
        <v>1572</v>
      </c>
      <c r="B1576" s="51">
        <f t="shared" ca="1" si="24"/>
        <v>0.18586745965588014</v>
      </c>
      <c r="C1576" s="48">
        <f t="array" aca="1" ref="C1576" ca="1">MAX(0,ROUND(Inputs!$B$10*Inputs!$B$11+NORMSINV(B1576)*SQRT(Inputs!$B$10*Inputs!$B$11),0))</f>
        <v>480</v>
      </c>
      <c r="D1576" s="52">
        <f ca="1">C1576*Inputs!$B$12</f>
        <v>57600000</v>
      </c>
    </row>
    <row r="1577" spans="1:4" ht="13.5" customHeight="1" x14ac:dyDescent="0.3">
      <c r="A1577" s="46">
        <v>1573</v>
      </c>
      <c r="B1577" s="47">
        <f t="shared" ca="1" si="24"/>
        <v>0.32224196293276586</v>
      </c>
      <c r="C1577" s="48">
        <f t="array" aca="1" ref="C1577" ca="1">MAX(0,ROUND(Inputs!$B$10*Inputs!$B$11+NORMSINV(B1577)*SQRT(Inputs!$B$10*Inputs!$B$11),0))</f>
        <v>490</v>
      </c>
      <c r="D1577" s="49">
        <f ca="1">C1577*Inputs!$B$12</f>
        <v>58800000</v>
      </c>
    </row>
    <row r="1578" spans="1:4" ht="13.5" customHeight="1" x14ac:dyDescent="0.3">
      <c r="A1578" s="50">
        <v>1574</v>
      </c>
      <c r="B1578" s="51">
        <f t="shared" ca="1" si="24"/>
        <v>0.17916087721145757</v>
      </c>
      <c r="C1578" s="48">
        <f t="array" aca="1" ref="C1578" ca="1">MAX(0,ROUND(Inputs!$B$10*Inputs!$B$11+NORMSINV(B1578)*SQRT(Inputs!$B$10*Inputs!$B$11),0))</f>
        <v>479</v>
      </c>
      <c r="D1578" s="52">
        <f ca="1">C1578*Inputs!$B$12</f>
        <v>57480000</v>
      </c>
    </row>
    <row r="1579" spans="1:4" ht="13.5" customHeight="1" x14ac:dyDescent="0.3">
      <c r="A1579" s="46">
        <v>1575</v>
      </c>
      <c r="B1579" s="47">
        <f t="shared" ca="1" si="24"/>
        <v>0.79810430741849803</v>
      </c>
      <c r="C1579" s="48">
        <f t="array" aca="1" ref="C1579" ca="1">MAX(0,ROUND(Inputs!$B$10*Inputs!$B$11+NORMSINV(B1579)*SQRT(Inputs!$B$10*Inputs!$B$11),0))</f>
        <v>519</v>
      </c>
      <c r="D1579" s="49">
        <f ca="1">C1579*Inputs!$B$12</f>
        <v>62280000</v>
      </c>
    </row>
    <row r="1580" spans="1:4" ht="13.5" customHeight="1" x14ac:dyDescent="0.3">
      <c r="A1580" s="50">
        <v>1576</v>
      </c>
      <c r="B1580" s="51">
        <f t="shared" ca="1" si="24"/>
        <v>0.82002796476413375</v>
      </c>
      <c r="C1580" s="48">
        <f t="array" aca="1" ref="C1580" ca="1">MAX(0,ROUND(Inputs!$B$10*Inputs!$B$11+NORMSINV(B1580)*SQRT(Inputs!$B$10*Inputs!$B$11),0))</f>
        <v>520</v>
      </c>
      <c r="D1580" s="52">
        <f ca="1">C1580*Inputs!$B$12</f>
        <v>62400000</v>
      </c>
    </row>
    <row r="1581" spans="1:4" ht="13.5" customHeight="1" x14ac:dyDescent="0.3">
      <c r="A1581" s="46">
        <v>1577</v>
      </c>
      <c r="B1581" s="47">
        <f t="shared" ca="1" si="24"/>
        <v>0.76541766182172732</v>
      </c>
      <c r="C1581" s="48">
        <f t="array" aca="1" ref="C1581" ca="1">MAX(0,ROUND(Inputs!$B$10*Inputs!$B$11+NORMSINV(B1581)*SQRT(Inputs!$B$10*Inputs!$B$11),0))</f>
        <v>516</v>
      </c>
      <c r="D1581" s="49">
        <f ca="1">C1581*Inputs!$B$12</f>
        <v>61920000</v>
      </c>
    </row>
    <row r="1582" spans="1:4" ht="13.5" customHeight="1" x14ac:dyDescent="0.3">
      <c r="A1582" s="50">
        <v>1578</v>
      </c>
      <c r="B1582" s="51">
        <f t="shared" ca="1" si="24"/>
        <v>0.34957249304063276</v>
      </c>
      <c r="C1582" s="48">
        <f t="array" aca="1" ref="C1582" ca="1">MAX(0,ROUND(Inputs!$B$10*Inputs!$B$11+NORMSINV(B1582)*SQRT(Inputs!$B$10*Inputs!$B$11),0))</f>
        <v>491</v>
      </c>
      <c r="D1582" s="52">
        <f ca="1">C1582*Inputs!$B$12</f>
        <v>58920000</v>
      </c>
    </row>
    <row r="1583" spans="1:4" ht="13.5" customHeight="1" x14ac:dyDescent="0.3">
      <c r="A1583" s="46">
        <v>1579</v>
      </c>
      <c r="B1583" s="47">
        <f t="shared" ca="1" si="24"/>
        <v>0.14276428836972366</v>
      </c>
      <c r="C1583" s="48">
        <f t="array" aca="1" ref="C1583" ca="1">MAX(0,ROUND(Inputs!$B$10*Inputs!$B$11+NORMSINV(B1583)*SQRT(Inputs!$B$10*Inputs!$B$11),0))</f>
        <v>476</v>
      </c>
      <c r="D1583" s="49">
        <f ca="1">C1583*Inputs!$B$12</f>
        <v>57120000</v>
      </c>
    </row>
    <row r="1584" spans="1:4" ht="13.5" customHeight="1" x14ac:dyDescent="0.3">
      <c r="A1584" s="50">
        <v>1580</v>
      </c>
      <c r="B1584" s="51">
        <f t="shared" ca="1" si="24"/>
        <v>0.85040633953869338</v>
      </c>
      <c r="C1584" s="48">
        <f t="array" aca="1" ref="C1584" ca="1">MAX(0,ROUND(Inputs!$B$10*Inputs!$B$11+NORMSINV(B1584)*SQRT(Inputs!$B$10*Inputs!$B$11),0))</f>
        <v>523</v>
      </c>
      <c r="D1584" s="52">
        <f ca="1">C1584*Inputs!$B$12</f>
        <v>62760000</v>
      </c>
    </row>
    <row r="1585" spans="1:4" ht="13.5" customHeight="1" x14ac:dyDescent="0.3">
      <c r="A1585" s="46">
        <v>1581</v>
      </c>
      <c r="B1585" s="47">
        <f t="shared" ca="1" si="24"/>
        <v>0.6329259498413774</v>
      </c>
      <c r="C1585" s="48">
        <f t="array" aca="1" ref="C1585" ca="1">MAX(0,ROUND(Inputs!$B$10*Inputs!$B$11+NORMSINV(B1585)*SQRT(Inputs!$B$10*Inputs!$B$11),0))</f>
        <v>508</v>
      </c>
      <c r="D1585" s="49">
        <f ca="1">C1585*Inputs!$B$12</f>
        <v>60960000</v>
      </c>
    </row>
    <row r="1586" spans="1:4" ht="13.5" customHeight="1" x14ac:dyDescent="0.3">
      <c r="A1586" s="50">
        <v>1582</v>
      </c>
      <c r="B1586" s="51">
        <f t="shared" ca="1" si="24"/>
        <v>0.88429296117797251</v>
      </c>
      <c r="C1586" s="48">
        <f t="array" aca="1" ref="C1586" ca="1">MAX(0,ROUND(Inputs!$B$10*Inputs!$B$11+NORMSINV(B1586)*SQRT(Inputs!$B$10*Inputs!$B$11),0))</f>
        <v>527</v>
      </c>
      <c r="D1586" s="52">
        <f ca="1">C1586*Inputs!$B$12</f>
        <v>63240000</v>
      </c>
    </row>
    <row r="1587" spans="1:4" ht="13.5" customHeight="1" x14ac:dyDescent="0.3">
      <c r="A1587" s="46">
        <v>1583</v>
      </c>
      <c r="B1587" s="47">
        <f t="shared" ca="1" si="24"/>
        <v>0.49433121521890944</v>
      </c>
      <c r="C1587" s="48">
        <f t="array" aca="1" ref="C1587" ca="1">MAX(0,ROUND(Inputs!$B$10*Inputs!$B$11+NORMSINV(B1587)*SQRT(Inputs!$B$10*Inputs!$B$11),0))</f>
        <v>500</v>
      </c>
      <c r="D1587" s="49">
        <f ca="1">C1587*Inputs!$B$12</f>
        <v>60000000</v>
      </c>
    </row>
    <row r="1588" spans="1:4" ht="13.5" customHeight="1" x14ac:dyDescent="0.3">
      <c r="A1588" s="50">
        <v>1584</v>
      </c>
      <c r="B1588" s="51">
        <f t="shared" ca="1" si="24"/>
        <v>0.65011160340413743</v>
      </c>
      <c r="C1588" s="48">
        <f t="array" aca="1" ref="C1588" ca="1">MAX(0,ROUND(Inputs!$B$10*Inputs!$B$11+NORMSINV(B1588)*SQRT(Inputs!$B$10*Inputs!$B$11),0))</f>
        <v>509</v>
      </c>
      <c r="D1588" s="52">
        <f ca="1">C1588*Inputs!$B$12</f>
        <v>61080000</v>
      </c>
    </row>
    <row r="1589" spans="1:4" ht="13.5" customHeight="1" x14ac:dyDescent="0.3">
      <c r="A1589" s="46">
        <v>1585</v>
      </c>
      <c r="B1589" s="47">
        <f t="shared" ca="1" si="24"/>
        <v>0.59824227726747869</v>
      </c>
      <c r="C1589" s="48">
        <f t="array" aca="1" ref="C1589" ca="1">MAX(0,ROUND(Inputs!$B$10*Inputs!$B$11+NORMSINV(B1589)*SQRT(Inputs!$B$10*Inputs!$B$11),0))</f>
        <v>506</v>
      </c>
      <c r="D1589" s="49">
        <f ca="1">C1589*Inputs!$B$12</f>
        <v>60720000</v>
      </c>
    </row>
    <row r="1590" spans="1:4" ht="13.5" customHeight="1" x14ac:dyDescent="0.3">
      <c r="A1590" s="50">
        <v>1586</v>
      </c>
      <c r="B1590" s="51">
        <f t="shared" ca="1" si="24"/>
        <v>0.97100717565738592</v>
      </c>
      <c r="C1590" s="48">
        <f t="array" aca="1" ref="C1590" ca="1">MAX(0,ROUND(Inputs!$B$10*Inputs!$B$11+NORMSINV(B1590)*SQRT(Inputs!$B$10*Inputs!$B$11),0))</f>
        <v>542</v>
      </c>
      <c r="D1590" s="52">
        <f ca="1">C1590*Inputs!$B$12</f>
        <v>65040000</v>
      </c>
    </row>
    <row r="1591" spans="1:4" ht="13.5" customHeight="1" x14ac:dyDescent="0.3">
      <c r="A1591" s="46">
        <v>1587</v>
      </c>
      <c r="B1591" s="47">
        <f t="shared" ca="1" si="24"/>
        <v>0.13914107278610011</v>
      </c>
      <c r="C1591" s="48">
        <f t="array" aca="1" ref="C1591" ca="1">MAX(0,ROUND(Inputs!$B$10*Inputs!$B$11+NORMSINV(B1591)*SQRT(Inputs!$B$10*Inputs!$B$11),0))</f>
        <v>476</v>
      </c>
      <c r="D1591" s="49">
        <f ca="1">C1591*Inputs!$B$12</f>
        <v>57120000</v>
      </c>
    </row>
    <row r="1592" spans="1:4" ht="13.5" customHeight="1" x14ac:dyDescent="0.3">
      <c r="A1592" s="50">
        <v>1588</v>
      </c>
      <c r="B1592" s="51">
        <f t="shared" ca="1" si="24"/>
        <v>0.21013529687859955</v>
      </c>
      <c r="C1592" s="48">
        <f t="array" aca="1" ref="C1592" ca="1">MAX(0,ROUND(Inputs!$B$10*Inputs!$B$11+NORMSINV(B1592)*SQRT(Inputs!$B$10*Inputs!$B$11),0))</f>
        <v>482</v>
      </c>
      <c r="D1592" s="52">
        <f ca="1">C1592*Inputs!$B$12</f>
        <v>57840000</v>
      </c>
    </row>
    <row r="1593" spans="1:4" ht="13.5" customHeight="1" x14ac:dyDescent="0.3">
      <c r="A1593" s="46">
        <v>1589</v>
      </c>
      <c r="B1593" s="47">
        <f t="shared" ca="1" si="24"/>
        <v>0.2116108806705993</v>
      </c>
      <c r="C1593" s="48">
        <f t="array" aca="1" ref="C1593" ca="1">MAX(0,ROUND(Inputs!$B$10*Inputs!$B$11+NORMSINV(B1593)*SQRT(Inputs!$B$10*Inputs!$B$11),0))</f>
        <v>482</v>
      </c>
      <c r="D1593" s="49">
        <f ca="1">C1593*Inputs!$B$12</f>
        <v>57840000</v>
      </c>
    </row>
    <row r="1594" spans="1:4" ht="13.5" customHeight="1" x14ac:dyDescent="0.3">
      <c r="A1594" s="50">
        <v>1590</v>
      </c>
      <c r="B1594" s="51">
        <f t="shared" ca="1" si="24"/>
        <v>0.38628077828763174</v>
      </c>
      <c r="C1594" s="48">
        <f t="array" aca="1" ref="C1594" ca="1">MAX(0,ROUND(Inputs!$B$10*Inputs!$B$11+NORMSINV(B1594)*SQRT(Inputs!$B$10*Inputs!$B$11),0))</f>
        <v>494</v>
      </c>
      <c r="D1594" s="52">
        <f ca="1">C1594*Inputs!$B$12</f>
        <v>59280000</v>
      </c>
    </row>
    <row r="1595" spans="1:4" ht="13.5" customHeight="1" x14ac:dyDescent="0.3">
      <c r="A1595" s="46">
        <v>1591</v>
      </c>
      <c r="B1595" s="47">
        <f t="shared" ca="1" si="24"/>
        <v>0.72356907466854825</v>
      </c>
      <c r="C1595" s="48">
        <f t="array" aca="1" ref="C1595" ca="1">MAX(0,ROUND(Inputs!$B$10*Inputs!$B$11+NORMSINV(B1595)*SQRT(Inputs!$B$10*Inputs!$B$11),0))</f>
        <v>513</v>
      </c>
      <c r="D1595" s="49">
        <f ca="1">C1595*Inputs!$B$12</f>
        <v>61560000</v>
      </c>
    </row>
    <row r="1596" spans="1:4" ht="13.5" customHeight="1" x14ac:dyDescent="0.3">
      <c r="A1596" s="50">
        <v>1592</v>
      </c>
      <c r="B1596" s="51">
        <f t="shared" ca="1" si="24"/>
        <v>0.51079003058874606</v>
      </c>
      <c r="C1596" s="48">
        <f t="array" aca="1" ref="C1596" ca="1">MAX(0,ROUND(Inputs!$B$10*Inputs!$B$11+NORMSINV(B1596)*SQRT(Inputs!$B$10*Inputs!$B$11),0))</f>
        <v>501</v>
      </c>
      <c r="D1596" s="52">
        <f ca="1">C1596*Inputs!$B$12</f>
        <v>60120000</v>
      </c>
    </row>
    <row r="1597" spans="1:4" ht="13.5" customHeight="1" x14ac:dyDescent="0.3">
      <c r="A1597" s="46">
        <v>1593</v>
      </c>
      <c r="B1597" s="47">
        <f t="shared" ca="1" si="24"/>
        <v>0.18222300555374438</v>
      </c>
      <c r="C1597" s="48">
        <f t="array" aca="1" ref="C1597" ca="1">MAX(0,ROUND(Inputs!$B$10*Inputs!$B$11+NORMSINV(B1597)*SQRT(Inputs!$B$10*Inputs!$B$11),0))</f>
        <v>480</v>
      </c>
      <c r="D1597" s="49">
        <f ca="1">C1597*Inputs!$B$12</f>
        <v>57600000</v>
      </c>
    </row>
    <row r="1598" spans="1:4" ht="13.5" customHeight="1" x14ac:dyDescent="0.3">
      <c r="A1598" s="50">
        <v>1594</v>
      </c>
      <c r="B1598" s="51">
        <f t="shared" ca="1" si="24"/>
        <v>0.31534875250654992</v>
      </c>
      <c r="C1598" s="48">
        <f t="array" aca="1" ref="C1598" ca="1">MAX(0,ROUND(Inputs!$B$10*Inputs!$B$11+NORMSINV(B1598)*SQRT(Inputs!$B$10*Inputs!$B$11),0))</f>
        <v>489</v>
      </c>
      <c r="D1598" s="52">
        <f ca="1">C1598*Inputs!$B$12</f>
        <v>58680000</v>
      </c>
    </row>
    <row r="1599" spans="1:4" ht="13.5" customHeight="1" x14ac:dyDescent="0.3">
      <c r="A1599" s="46">
        <v>1595</v>
      </c>
      <c r="B1599" s="47">
        <f t="shared" ca="1" si="24"/>
        <v>0.32351924169542978</v>
      </c>
      <c r="C1599" s="48">
        <f t="array" aca="1" ref="C1599" ca="1">MAX(0,ROUND(Inputs!$B$10*Inputs!$B$11+NORMSINV(B1599)*SQRT(Inputs!$B$10*Inputs!$B$11),0))</f>
        <v>490</v>
      </c>
      <c r="D1599" s="49">
        <f ca="1">C1599*Inputs!$B$12</f>
        <v>58800000</v>
      </c>
    </row>
    <row r="1600" spans="1:4" ht="13.5" customHeight="1" x14ac:dyDescent="0.3">
      <c r="A1600" s="50">
        <v>1596</v>
      </c>
      <c r="B1600" s="51">
        <f t="shared" ca="1" si="24"/>
        <v>0.47359602987829041</v>
      </c>
      <c r="C1600" s="48">
        <f t="array" aca="1" ref="C1600" ca="1">MAX(0,ROUND(Inputs!$B$10*Inputs!$B$11+NORMSINV(B1600)*SQRT(Inputs!$B$10*Inputs!$B$11),0))</f>
        <v>499</v>
      </c>
      <c r="D1600" s="52">
        <f ca="1">C1600*Inputs!$B$12</f>
        <v>59880000</v>
      </c>
    </row>
    <row r="1601" spans="1:4" ht="13.5" customHeight="1" x14ac:dyDescent="0.3">
      <c r="A1601" s="46">
        <v>1597</v>
      </c>
      <c r="B1601" s="47">
        <f t="shared" ca="1" si="24"/>
        <v>0.18725771610139541</v>
      </c>
      <c r="C1601" s="48">
        <f t="array" aca="1" ref="C1601" ca="1">MAX(0,ROUND(Inputs!$B$10*Inputs!$B$11+NORMSINV(B1601)*SQRT(Inputs!$B$10*Inputs!$B$11),0))</f>
        <v>480</v>
      </c>
      <c r="D1601" s="49">
        <f ca="1">C1601*Inputs!$B$12</f>
        <v>57600000</v>
      </c>
    </row>
    <row r="1602" spans="1:4" ht="13.5" customHeight="1" x14ac:dyDescent="0.3">
      <c r="A1602" s="50">
        <v>1598</v>
      </c>
      <c r="B1602" s="51">
        <f t="shared" ca="1" si="24"/>
        <v>0.49251027732425467</v>
      </c>
      <c r="C1602" s="48">
        <f t="array" aca="1" ref="C1602" ca="1">MAX(0,ROUND(Inputs!$B$10*Inputs!$B$11+NORMSINV(B1602)*SQRT(Inputs!$B$10*Inputs!$B$11),0))</f>
        <v>500</v>
      </c>
      <c r="D1602" s="52">
        <f ca="1">C1602*Inputs!$B$12</f>
        <v>60000000</v>
      </c>
    </row>
    <row r="1603" spans="1:4" ht="13.5" customHeight="1" x14ac:dyDescent="0.3">
      <c r="A1603" s="46">
        <v>1599</v>
      </c>
      <c r="B1603" s="47">
        <f t="shared" ca="1" si="24"/>
        <v>0.41240606995342122</v>
      </c>
      <c r="C1603" s="48">
        <f t="array" aca="1" ref="C1603" ca="1">MAX(0,ROUND(Inputs!$B$10*Inputs!$B$11+NORMSINV(B1603)*SQRT(Inputs!$B$10*Inputs!$B$11),0))</f>
        <v>495</v>
      </c>
      <c r="D1603" s="49">
        <f ca="1">C1603*Inputs!$B$12</f>
        <v>59400000</v>
      </c>
    </row>
    <row r="1604" spans="1:4" ht="13.5" customHeight="1" x14ac:dyDescent="0.3">
      <c r="A1604" s="50">
        <v>1600</v>
      </c>
      <c r="B1604" s="51">
        <f t="shared" ca="1" si="24"/>
        <v>0.37150814307982061</v>
      </c>
      <c r="C1604" s="48">
        <f t="array" aca="1" ref="C1604" ca="1">MAX(0,ROUND(Inputs!$B$10*Inputs!$B$11+NORMSINV(B1604)*SQRT(Inputs!$B$10*Inputs!$B$11),0))</f>
        <v>493</v>
      </c>
      <c r="D1604" s="52">
        <f ca="1">C1604*Inputs!$B$12</f>
        <v>59160000</v>
      </c>
    </row>
    <row r="1605" spans="1:4" ht="13.5" customHeight="1" x14ac:dyDescent="0.3">
      <c r="A1605" s="46">
        <v>1601</v>
      </c>
      <c r="B1605" s="47">
        <f t="shared" ref="B1605:B1668" ca="1" si="25">RAND()</f>
        <v>0.94353291000333039</v>
      </c>
      <c r="C1605" s="48">
        <f t="array" aca="1" ref="C1605" ca="1">MAX(0,ROUND(Inputs!$B$10*Inputs!$B$11+NORMSINV(B1605)*SQRT(Inputs!$B$10*Inputs!$B$11),0))</f>
        <v>535</v>
      </c>
      <c r="D1605" s="49">
        <f ca="1">C1605*Inputs!$B$12</f>
        <v>64200000</v>
      </c>
    </row>
    <row r="1606" spans="1:4" ht="13.5" customHeight="1" x14ac:dyDescent="0.3">
      <c r="A1606" s="50">
        <v>1602</v>
      </c>
      <c r="B1606" s="51">
        <f t="shared" ca="1" si="25"/>
        <v>0.12380235944762696</v>
      </c>
      <c r="C1606" s="48">
        <f t="array" aca="1" ref="C1606" ca="1">MAX(0,ROUND(Inputs!$B$10*Inputs!$B$11+NORMSINV(B1606)*SQRT(Inputs!$B$10*Inputs!$B$11),0))</f>
        <v>474</v>
      </c>
      <c r="D1606" s="52">
        <f ca="1">C1606*Inputs!$B$12</f>
        <v>56880000</v>
      </c>
    </row>
    <row r="1607" spans="1:4" ht="13.5" customHeight="1" x14ac:dyDescent="0.3">
      <c r="A1607" s="46">
        <v>1603</v>
      </c>
      <c r="B1607" s="47">
        <f t="shared" ca="1" si="25"/>
        <v>0.5784424333760374</v>
      </c>
      <c r="C1607" s="48">
        <f t="array" aca="1" ref="C1607" ca="1">MAX(0,ROUND(Inputs!$B$10*Inputs!$B$11+NORMSINV(B1607)*SQRT(Inputs!$B$10*Inputs!$B$11),0))</f>
        <v>504</v>
      </c>
      <c r="D1607" s="49">
        <f ca="1">C1607*Inputs!$B$12</f>
        <v>60480000</v>
      </c>
    </row>
    <row r="1608" spans="1:4" ht="13.5" customHeight="1" x14ac:dyDescent="0.3">
      <c r="A1608" s="50">
        <v>1604</v>
      </c>
      <c r="B1608" s="51">
        <f t="shared" ca="1" si="25"/>
        <v>0.75176994209552905</v>
      </c>
      <c r="C1608" s="48">
        <f t="array" aca="1" ref="C1608" ca="1">MAX(0,ROUND(Inputs!$B$10*Inputs!$B$11+NORMSINV(B1608)*SQRT(Inputs!$B$10*Inputs!$B$11),0))</f>
        <v>515</v>
      </c>
      <c r="D1608" s="52">
        <f ca="1">C1608*Inputs!$B$12</f>
        <v>61800000</v>
      </c>
    </row>
    <row r="1609" spans="1:4" ht="13.5" customHeight="1" x14ac:dyDescent="0.3">
      <c r="A1609" s="46">
        <v>1605</v>
      </c>
      <c r="B1609" s="47">
        <f t="shared" ca="1" si="25"/>
        <v>0.41747963475327388</v>
      </c>
      <c r="C1609" s="48">
        <f t="array" aca="1" ref="C1609" ca="1">MAX(0,ROUND(Inputs!$B$10*Inputs!$B$11+NORMSINV(B1609)*SQRT(Inputs!$B$10*Inputs!$B$11),0))</f>
        <v>495</v>
      </c>
      <c r="D1609" s="49">
        <f ca="1">C1609*Inputs!$B$12</f>
        <v>59400000</v>
      </c>
    </row>
    <row r="1610" spans="1:4" ht="13.5" customHeight="1" x14ac:dyDescent="0.3">
      <c r="A1610" s="50">
        <v>1606</v>
      </c>
      <c r="B1610" s="51">
        <f t="shared" ca="1" si="25"/>
        <v>0.66225274305359971</v>
      </c>
      <c r="C1610" s="48">
        <f t="array" aca="1" ref="C1610" ca="1">MAX(0,ROUND(Inputs!$B$10*Inputs!$B$11+NORMSINV(B1610)*SQRT(Inputs!$B$10*Inputs!$B$11),0))</f>
        <v>509</v>
      </c>
      <c r="D1610" s="52">
        <f ca="1">C1610*Inputs!$B$12</f>
        <v>61080000</v>
      </c>
    </row>
    <row r="1611" spans="1:4" ht="13.5" customHeight="1" x14ac:dyDescent="0.3">
      <c r="A1611" s="46">
        <v>1607</v>
      </c>
      <c r="B1611" s="47">
        <f t="shared" ca="1" si="25"/>
        <v>0.61342911409363765</v>
      </c>
      <c r="C1611" s="48">
        <f t="array" aca="1" ref="C1611" ca="1">MAX(0,ROUND(Inputs!$B$10*Inputs!$B$11+NORMSINV(B1611)*SQRT(Inputs!$B$10*Inputs!$B$11),0))</f>
        <v>506</v>
      </c>
      <c r="D1611" s="49">
        <f ca="1">C1611*Inputs!$B$12</f>
        <v>60720000</v>
      </c>
    </row>
    <row r="1612" spans="1:4" ht="13.5" customHeight="1" x14ac:dyDescent="0.3">
      <c r="A1612" s="50">
        <v>1608</v>
      </c>
      <c r="B1612" s="51">
        <f t="shared" ca="1" si="25"/>
        <v>0.11157278103069135</v>
      </c>
      <c r="C1612" s="48">
        <f t="array" aca="1" ref="C1612" ca="1">MAX(0,ROUND(Inputs!$B$10*Inputs!$B$11+NORMSINV(B1612)*SQRT(Inputs!$B$10*Inputs!$B$11),0))</f>
        <v>473</v>
      </c>
      <c r="D1612" s="52">
        <f ca="1">C1612*Inputs!$B$12</f>
        <v>56760000</v>
      </c>
    </row>
    <row r="1613" spans="1:4" ht="13.5" customHeight="1" x14ac:dyDescent="0.3">
      <c r="A1613" s="46">
        <v>1609</v>
      </c>
      <c r="B1613" s="47">
        <f t="shared" ca="1" si="25"/>
        <v>6.7953100491044527E-2</v>
      </c>
      <c r="C1613" s="48">
        <f t="array" aca="1" ref="C1613" ca="1">MAX(0,ROUND(Inputs!$B$10*Inputs!$B$11+NORMSINV(B1613)*SQRT(Inputs!$B$10*Inputs!$B$11),0))</f>
        <v>467</v>
      </c>
      <c r="D1613" s="49">
        <f ca="1">C1613*Inputs!$B$12</f>
        <v>56040000</v>
      </c>
    </row>
    <row r="1614" spans="1:4" ht="13.5" customHeight="1" x14ac:dyDescent="0.3">
      <c r="A1614" s="50">
        <v>1610</v>
      </c>
      <c r="B1614" s="51">
        <f t="shared" ca="1" si="25"/>
        <v>0.25196141021509177</v>
      </c>
      <c r="C1614" s="48">
        <f t="array" aca="1" ref="C1614" ca="1">MAX(0,ROUND(Inputs!$B$10*Inputs!$B$11+NORMSINV(B1614)*SQRT(Inputs!$B$10*Inputs!$B$11),0))</f>
        <v>485</v>
      </c>
      <c r="D1614" s="52">
        <f ca="1">C1614*Inputs!$B$12</f>
        <v>58200000</v>
      </c>
    </row>
    <row r="1615" spans="1:4" ht="13.5" customHeight="1" x14ac:dyDescent="0.3">
      <c r="A1615" s="46">
        <v>1611</v>
      </c>
      <c r="B1615" s="47">
        <f t="shared" ca="1" si="25"/>
        <v>0.67262116586303389</v>
      </c>
      <c r="C1615" s="48">
        <f t="array" aca="1" ref="C1615" ca="1">MAX(0,ROUND(Inputs!$B$10*Inputs!$B$11+NORMSINV(B1615)*SQRT(Inputs!$B$10*Inputs!$B$11),0))</f>
        <v>510</v>
      </c>
      <c r="D1615" s="49">
        <f ca="1">C1615*Inputs!$B$12</f>
        <v>61200000</v>
      </c>
    </row>
    <row r="1616" spans="1:4" ht="13.5" customHeight="1" x14ac:dyDescent="0.3">
      <c r="A1616" s="50">
        <v>1612</v>
      </c>
      <c r="B1616" s="51">
        <f t="shared" ca="1" si="25"/>
        <v>9.7817195298662729E-2</v>
      </c>
      <c r="C1616" s="48">
        <f t="array" aca="1" ref="C1616" ca="1">MAX(0,ROUND(Inputs!$B$10*Inputs!$B$11+NORMSINV(B1616)*SQRT(Inputs!$B$10*Inputs!$B$11),0))</f>
        <v>471</v>
      </c>
      <c r="D1616" s="52">
        <f ca="1">C1616*Inputs!$B$12</f>
        <v>56520000</v>
      </c>
    </row>
    <row r="1617" spans="1:4" ht="13.5" customHeight="1" x14ac:dyDescent="0.3">
      <c r="A1617" s="46">
        <v>1613</v>
      </c>
      <c r="B1617" s="47">
        <f t="shared" ca="1" si="25"/>
        <v>0.61919555654317471</v>
      </c>
      <c r="C1617" s="48">
        <f t="array" aca="1" ref="C1617" ca="1">MAX(0,ROUND(Inputs!$B$10*Inputs!$B$11+NORMSINV(B1617)*SQRT(Inputs!$B$10*Inputs!$B$11),0))</f>
        <v>507</v>
      </c>
      <c r="D1617" s="49">
        <f ca="1">C1617*Inputs!$B$12</f>
        <v>60840000</v>
      </c>
    </row>
    <row r="1618" spans="1:4" ht="13.5" customHeight="1" x14ac:dyDescent="0.3">
      <c r="A1618" s="50">
        <v>1614</v>
      </c>
      <c r="B1618" s="51">
        <f t="shared" ca="1" si="25"/>
        <v>0.77330743216843656</v>
      </c>
      <c r="C1618" s="48">
        <f t="array" aca="1" ref="C1618" ca="1">MAX(0,ROUND(Inputs!$B$10*Inputs!$B$11+NORMSINV(B1618)*SQRT(Inputs!$B$10*Inputs!$B$11),0))</f>
        <v>517</v>
      </c>
      <c r="D1618" s="52">
        <f ca="1">C1618*Inputs!$B$12</f>
        <v>62040000</v>
      </c>
    </row>
    <row r="1619" spans="1:4" ht="13.5" customHeight="1" x14ac:dyDescent="0.3">
      <c r="A1619" s="46">
        <v>1615</v>
      </c>
      <c r="B1619" s="47">
        <f t="shared" ca="1" si="25"/>
        <v>0.44674263064331288</v>
      </c>
      <c r="C1619" s="48">
        <f t="array" aca="1" ref="C1619" ca="1">MAX(0,ROUND(Inputs!$B$10*Inputs!$B$11+NORMSINV(B1619)*SQRT(Inputs!$B$10*Inputs!$B$11),0))</f>
        <v>497</v>
      </c>
      <c r="D1619" s="49">
        <f ca="1">C1619*Inputs!$B$12</f>
        <v>59640000</v>
      </c>
    </row>
    <row r="1620" spans="1:4" ht="13.5" customHeight="1" x14ac:dyDescent="0.3">
      <c r="A1620" s="50">
        <v>1616</v>
      </c>
      <c r="B1620" s="51">
        <f t="shared" ca="1" si="25"/>
        <v>0.44420711087540132</v>
      </c>
      <c r="C1620" s="48">
        <f t="array" aca="1" ref="C1620" ca="1">MAX(0,ROUND(Inputs!$B$10*Inputs!$B$11+NORMSINV(B1620)*SQRT(Inputs!$B$10*Inputs!$B$11),0))</f>
        <v>497</v>
      </c>
      <c r="D1620" s="52">
        <f ca="1">C1620*Inputs!$B$12</f>
        <v>59640000</v>
      </c>
    </row>
    <row r="1621" spans="1:4" ht="13.5" customHeight="1" x14ac:dyDescent="0.3">
      <c r="A1621" s="46">
        <v>1617</v>
      </c>
      <c r="B1621" s="47">
        <f t="shared" ca="1" si="25"/>
        <v>0.75160181816425364</v>
      </c>
      <c r="C1621" s="48">
        <f t="array" aca="1" ref="C1621" ca="1">MAX(0,ROUND(Inputs!$B$10*Inputs!$B$11+NORMSINV(B1621)*SQRT(Inputs!$B$10*Inputs!$B$11),0))</f>
        <v>515</v>
      </c>
      <c r="D1621" s="49">
        <f ca="1">C1621*Inputs!$B$12</f>
        <v>61800000</v>
      </c>
    </row>
    <row r="1622" spans="1:4" ht="13.5" customHeight="1" x14ac:dyDescent="0.3">
      <c r="A1622" s="50">
        <v>1618</v>
      </c>
      <c r="B1622" s="51">
        <f t="shared" ca="1" si="25"/>
        <v>0.76963413589563656</v>
      </c>
      <c r="C1622" s="48">
        <f t="array" aca="1" ref="C1622" ca="1">MAX(0,ROUND(Inputs!$B$10*Inputs!$B$11+NORMSINV(B1622)*SQRT(Inputs!$B$10*Inputs!$B$11),0))</f>
        <v>516</v>
      </c>
      <c r="D1622" s="52">
        <f ca="1">C1622*Inputs!$B$12</f>
        <v>61920000</v>
      </c>
    </row>
    <row r="1623" spans="1:4" ht="13.5" customHeight="1" x14ac:dyDescent="0.3">
      <c r="A1623" s="46">
        <v>1619</v>
      </c>
      <c r="B1623" s="47">
        <f t="shared" ca="1" si="25"/>
        <v>0.16899202206111064</v>
      </c>
      <c r="C1623" s="48">
        <f t="array" aca="1" ref="C1623" ca="1">MAX(0,ROUND(Inputs!$B$10*Inputs!$B$11+NORMSINV(B1623)*SQRT(Inputs!$B$10*Inputs!$B$11),0))</f>
        <v>479</v>
      </c>
      <c r="D1623" s="49">
        <f ca="1">C1623*Inputs!$B$12</f>
        <v>57480000</v>
      </c>
    </row>
    <row r="1624" spans="1:4" ht="13.5" customHeight="1" x14ac:dyDescent="0.3">
      <c r="A1624" s="50">
        <v>1620</v>
      </c>
      <c r="B1624" s="51">
        <f t="shared" ca="1" si="25"/>
        <v>0.13595964558318963</v>
      </c>
      <c r="C1624" s="48">
        <f t="array" aca="1" ref="C1624" ca="1">MAX(0,ROUND(Inputs!$B$10*Inputs!$B$11+NORMSINV(B1624)*SQRT(Inputs!$B$10*Inputs!$B$11),0))</f>
        <v>475</v>
      </c>
      <c r="D1624" s="52">
        <f ca="1">C1624*Inputs!$B$12</f>
        <v>57000000</v>
      </c>
    </row>
    <row r="1625" spans="1:4" ht="13.5" customHeight="1" x14ac:dyDescent="0.3">
      <c r="A1625" s="46">
        <v>1621</v>
      </c>
      <c r="B1625" s="47">
        <f t="shared" ca="1" si="25"/>
        <v>0.75712421666577767</v>
      </c>
      <c r="C1625" s="48">
        <f t="array" aca="1" ref="C1625" ca="1">MAX(0,ROUND(Inputs!$B$10*Inputs!$B$11+NORMSINV(B1625)*SQRT(Inputs!$B$10*Inputs!$B$11),0))</f>
        <v>516</v>
      </c>
      <c r="D1625" s="49">
        <f ca="1">C1625*Inputs!$B$12</f>
        <v>61920000</v>
      </c>
    </row>
    <row r="1626" spans="1:4" ht="13.5" customHeight="1" x14ac:dyDescent="0.3">
      <c r="A1626" s="50">
        <v>1622</v>
      </c>
      <c r="B1626" s="51">
        <f t="shared" ca="1" si="25"/>
        <v>0.92052983737186178</v>
      </c>
      <c r="C1626" s="48">
        <f t="array" aca="1" ref="C1626" ca="1">MAX(0,ROUND(Inputs!$B$10*Inputs!$B$11+NORMSINV(B1626)*SQRT(Inputs!$B$10*Inputs!$B$11),0))</f>
        <v>531</v>
      </c>
      <c r="D1626" s="52">
        <f ca="1">C1626*Inputs!$B$12</f>
        <v>63720000</v>
      </c>
    </row>
    <row r="1627" spans="1:4" ht="13.5" customHeight="1" x14ac:dyDescent="0.3">
      <c r="A1627" s="46">
        <v>1623</v>
      </c>
      <c r="B1627" s="47">
        <f t="shared" ca="1" si="25"/>
        <v>0.79740936701176113</v>
      </c>
      <c r="C1627" s="48">
        <f t="array" aca="1" ref="C1627" ca="1">MAX(0,ROUND(Inputs!$B$10*Inputs!$B$11+NORMSINV(B1627)*SQRT(Inputs!$B$10*Inputs!$B$11),0))</f>
        <v>519</v>
      </c>
      <c r="D1627" s="49">
        <f ca="1">C1627*Inputs!$B$12</f>
        <v>62280000</v>
      </c>
    </row>
    <row r="1628" spans="1:4" ht="13.5" customHeight="1" x14ac:dyDescent="0.3">
      <c r="A1628" s="50">
        <v>1624</v>
      </c>
      <c r="B1628" s="51">
        <f t="shared" ca="1" si="25"/>
        <v>0.57833812922858152</v>
      </c>
      <c r="C1628" s="48">
        <f t="array" aca="1" ref="C1628" ca="1">MAX(0,ROUND(Inputs!$B$10*Inputs!$B$11+NORMSINV(B1628)*SQRT(Inputs!$B$10*Inputs!$B$11),0))</f>
        <v>504</v>
      </c>
      <c r="D1628" s="52">
        <f ca="1">C1628*Inputs!$B$12</f>
        <v>60480000</v>
      </c>
    </row>
    <row r="1629" spans="1:4" ht="13.5" customHeight="1" x14ac:dyDescent="0.3">
      <c r="A1629" s="46">
        <v>1625</v>
      </c>
      <c r="B1629" s="47">
        <f t="shared" ca="1" si="25"/>
        <v>0.54023991172986652</v>
      </c>
      <c r="C1629" s="48">
        <f t="array" aca="1" ref="C1629" ca="1">MAX(0,ROUND(Inputs!$B$10*Inputs!$B$11+NORMSINV(B1629)*SQRT(Inputs!$B$10*Inputs!$B$11),0))</f>
        <v>502</v>
      </c>
      <c r="D1629" s="49">
        <f ca="1">C1629*Inputs!$B$12</f>
        <v>60240000</v>
      </c>
    </row>
    <row r="1630" spans="1:4" ht="13.5" customHeight="1" x14ac:dyDescent="0.3">
      <c r="A1630" s="50">
        <v>1626</v>
      </c>
      <c r="B1630" s="51">
        <f t="shared" ca="1" si="25"/>
        <v>0.78505611263166686</v>
      </c>
      <c r="C1630" s="48">
        <f t="array" aca="1" ref="C1630" ca="1">MAX(0,ROUND(Inputs!$B$10*Inputs!$B$11+NORMSINV(B1630)*SQRT(Inputs!$B$10*Inputs!$B$11),0))</f>
        <v>518</v>
      </c>
      <c r="D1630" s="52">
        <f ca="1">C1630*Inputs!$B$12</f>
        <v>62160000</v>
      </c>
    </row>
    <row r="1631" spans="1:4" ht="13.5" customHeight="1" x14ac:dyDescent="0.3">
      <c r="A1631" s="46">
        <v>1627</v>
      </c>
      <c r="B1631" s="47">
        <f t="shared" ca="1" si="25"/>
        <v>0.84303617965572608</v>
      </c>
      <c r="C1631" s="48">
        <f t="array" aca="1" ref="C1631" ca="1">MAX(0,ROUND(Inputs!$B$10*Inputs!$B$11+NORMSINV(B1631)*SQRT(Inputs!$B$10*Inputs!$B$11),0))</f>
        <v>523</v>
      </c>
      <c r="D1631" s="49">
        <f ca="1">C1631*Inputs!$B$12</f>
        <v>62760000</v>
      </c>
    </row>
    <row r="1632" spans="1:4" ht="13.5" customHeight="1" x14ac:dyDescent="0.3">
      <c r="A1632" s="50">
        <v>1628</v>
      </c>
      <c r="B1632" s="51">
        <f t="shared" ca="1" si="25"/>
        <v>0.63949095382134069</v>
      </c>
      <c r="C1632" s="48">
        <f t="array" aca="1" ref="C1632" ca="1">MAX(0,ROUND(Inputs!$B$10*Inputs!$B$11+NORMSINV(B1632)*SQRT(Inputs!$B$10*Inputs!$B$11),0))</f>
        <v>508</v>
      </c>
      <c r="D1632" s="52">
        <f ca="1">C1632*Inputs!$B$12</f>
        <v>60960000</v>
      </c>
    </row>
    <row r="1633" spans="1:4" ht="13.5" customHeight="1" x14ac:dyDescent="0.3">
      <c r="A1633" s="46">
        <v>1629</v>
      </c>
      <c r="B1633" s="47">
        <f t="shared" ca="1" si="25"/>
        <v>0.14564389718505921</v>
      </c>
      <c r="C1633" s="48">
        <f t="array" aca="1" ref="C1633" ca="1">MAX(0,ROUND(Inputs!$B$10*Inputs!$B$11+NORMSINV(B1633)*SQRT(Inputs!$B$10*Inputs!$B$11),0))</f>
        <v>476</v>
      </c>
      <c r="D1633" s="49">
        <f ca="1">C1633*Inputs!$B$12</f>
        <v>57120000</v>
      </c>
    </row>
    <row r="1634" spans="1:4" ht="13.5" customHeight="1" x14ac:dyDescent="0.3">
      <c r="A1634" s="50">
        <v>1630</v>
      </c>
      <c r="B1634" s="51">
        <f t="shared" ca="1" si="25"/>
        <v>0.92696132639947115</v>
      </c>
      <c r="C1634" s="48">
        <f t="array" aca="1" ref="C1634" ca="1">MAX(0,ROUND(Inputs!$B$10*Inputs!$B$11+NORMSINV(B1634)*SQRT(Inputs!$B$10*Inputs!$B$11),0))</f>
        <v>533</v>
      </c>
      <c r="D1634" s="52">
        <f ca="1">C1634*Inputs!$B$12</f>
        <v>63960000</v>
      </c>
    </row>
    <row r="1635" spans="1:4" ht="13.5" customHeight="1" x14ac:dyDescent="0.3">
      <c r="A1635" s="46">
        <v>1631</v>
      </c>
      <c r="B1635" s="47">
        <f t="shared" ca="1" si="25"/>
        <v>0.56919346235248081</v>
      </c>
      <c r="C1635" s="48">
        <f t="array" aca="1" ref="C1635" ca="1">MAX(0,ROUND(Inputs!$B$10*Inputs!$B$11+NORMSINV(B1635)*SQRT(Inputs!$B$10*Inputs!$B$11),0))</f>
        <v>504</v>
      </c>
      <c r="D1635" s="49">
        <f ca="1">C1635*Inputs!$B$12</f>
        <v>60480000</v>
      </c>
    </row>
    <row r="1636" spans="1:4" ht="13.5" customHeight="1" x14ac:dyDescent="0.3">
      <c r="A1636" s="50">
        <v>1632</v>
      </c>
      <c r="B1636" s="51">
        <f t="shared" ca="1" si="25"/>
        <v>0.81238026367400962</v>
      </c>
      <c r="C1636" s="48">
        <f t="array" aca="1" ref="C1636" ca="1">MAX(0,ROUND(Inputs!$B$10*Inputs!$B$11+NORMSINV(B1636)*SQRT(Inputs!$B$10*Inputs!$B$11),0))</f>
        <v>520</v>
      </c>
      <c r="D1636" s="52">
        <f ca="1">C1636*Inputs!$B$12</f>
        <v>62400000</v>
      </c>
    </row>
    <row r="1637" spans="1:4" ht="13.5" customHeight="1" x14ac:dyDescent="0.3">
      <c r="A1637" s="46">
        <v>1633</v>
      </c>
      <c r="B1637" s="47">
        <f t="shared" ca="1" si="25"/>
        <v>0.97185121875652392</v>
      </c>
      <c r="C1637" s="48">
        <f t="array" aca="1" ref="C1637" ca="1">MAX(0,ROUND(Inputs!$B$10*Inputs!$B$11+NORMSINV(B1637)*SQRT(Inputs!$B$10*Inputs!$B$11),0))</f>
        <v>543</v>
      </c>
      <c r="D1637" s="49">
        <f ca="1">C1637*Inputs!$B$12</f>
        <v>65160000</v>
      </c>
    </row>
    <row r="1638" spans="1:4" ht="13.5" customHeight="1" x14ac:dyDescent="0.3">
      <c r="A1638" s="50">
        <v>1634</v>
      </c>
      <c r="B1638" s="51">
        <f t="shared" ca="1" si="25"/>
        <v>0.62141669015690082</v>
      </c>
      <c r="C1638" s="48">
        <f t="array" aca="1" ref="C1638" ca="1">MAX(0,ROUND(Inputs!$B$10*Inputs!$B$11+NORMSINV(B1638)*SQRT(Inputs!$B$10*Inputs!$B$11),0))</f>
        <v>507</v>
      </c>
      <c r="D1638" s="52">
        <f ca="1">C1638*Inputs!$B$12</f>
        <v>60840000</v>
      </c>
    </row>
    <row r="1639" spans="1:4" ht="13.5" customHeight="1" x14ac:dyDescent="0.3">
      <c r="A1639" s="46">
        <v>1635</v>
      </c>
      <c r="B1639" s="47">
        <f t="shared" ca="1" si="25"/>
        <v>0.96421819208048642</v>
      </c>
      <c r="C1639" s="48">
        <f t="array" aca="1" ref="C1639" ca="1">MAX(0,ROUND(Inputs!$B$10*Inputs!$B$11+NORMSINV(B1639)*SQRT(Inputs!$B$10*Inputs!$B$11),0))</f>
        <v>540</v>
      </c>
      <c r="D1639" s="49">
        <f ca="1">C1639*Inputs!$B$12</f>
        <v>64800000</v>
      </c>
    </row>
    <row r="1640" spans="1:4" ht="13.5" customHeight="1" x14ac:dyDescent="0.3">
      <c r="A1640" s="50">
        <v>1636</v>
      </c>
      <c r="B1640" s="51">
        <f t="shared" ca="1" si="25"/>
        <v>0.92889981981076786</v>
      </c>
      <c r="C1640" s="48">
        <f t="array" aca="1" ref="C1640" ca="1">MAX(0,ROUND(Inputs!$B$10*Inputs!$B$11+NORMSINV(B1640)*SQRT(Inputs!$B$10*Inputs!$B$11),0))</f>
        <v>533</v>
      </c>
      <c r="D1640" s="52">
        <f ca="1">C1640*Inputs!$B$12</f>
        <v>63960000</v>
      </c>
    </row>
    <row r="1641" spans="1:4" ht="13.5" customHeight="1" x14ac:dyDescent="0.3">
      <c r="A1641" s="46">
        <v>1637</v>
      </c>
      <c r="B1641" s="47">
        <f t="shared" ca="1" si="25"/>
        <v>0.36746906247505806</v>
      </c>
      <c r="C1641" s="48">
        <f t="array" aca="1" ref="C1641" ca="1">MAX(0,ROUND(Inputs!$B$10*Inputs!$B$11+NORMSINV(B1641)*SQRT(Inputs!$B$10*Inputs!$B$11),0))</f>
        <v>492</v>
      </c>
      <c r="D1641" s="49">
        <f ca="1">C1641*Inputs!$B$12</f>
        <v>59040000</v>
      </c>
    </row>
    <row r="1642" spans="1:4" ht="13.5" customHeight="1" x14ac:dyDescent="0.3">
      <c r="A1642" s="50">
        <v>1638</v>
      </c>
      <c r="B1642" s="51">
        <f t="shared" ca="1" si="25"/>
        <v>6.2132048134094453E-2</v>
      </c>
      <c r="C1642" s="48">
        <f t="array" aca="1" ref="C1642" ca="1">MAX(0,ROUND(Inputs!$B$10*Inputs!$B$11+NORMSINV(B1642)*SQRT(Inputs!$B$10*Inputs!$B$11),0))</f>
        <v>466</v>
      </c>
      <c r="D1642" s="52">
        <f ca="1">C1642*Inputs!$B$12</f>
        <v>55920000</v>
      </c>
    </row>
    <row r="1643" spans="1:4" ht="13.5" customHeight="1" x14ac:dyDescent="0.3">
      <c r="A1643" s="46">
        <v>1639</v>
      </c>
      <c r="B1643" s="47">
        <f t="shared" ca="1" si="25"/>
        <v>0.94340639838985207</v>
      </c>
      <c r="C1643" s="48">
        <f t="array" aca="1" ref="C1643" ca="1">MAX(0,ROUND(Inputs!$B$10*Inputs!$B$11+NORMSINV(B1643)*SQRT(Inputs!$B$10*Inputs!$B$11),0))</f>
        <v>535</v>
      </c>
      <c r="D1643" s="49">
        <f ca="1">C1643*Inputs!$B$12</f>
        <v>64200000</v>
      </c>
    </row>
    <row r="1644" spans="1:4" ht="13.5" customHeight="1" x14ac:dyDescent="0.3">
      <c r="A1644" s="50">
        <v>1640</v>
      </c>
      <c r="B1644" s="51">
        <f t="shared" ca="1" si="25"/>
        <v>0.7516835060565632</v>
      </c>
      <c r="C1644" s="48">
        <f t="array" aca="1" ref="C1644" ca="1">MAX(0,ROUND(Inputs!$B$10*Inputs!$B$11+NORMSINV(B1644)*SQRT(Inputs!$B$10*Inputs!$B$11),0))</f>
        <v>515</v>
      </c>
      <c r="D1644" s="52">
        <f ca="1">C1644*Inputs!$B$12</f>
        <v>61800000</v>
      </c>
    </row>
    <row r="1645" spans="1:4" ht="13.5" customHeight="1" x14ac:dyDescent="0.3">
      <c r="A1645" s="46">
        <v>1641</v>
      </c>
      <c r="B1645" s="47">
        <f t="shared" ca="1" si="25"/>
        <v>0.83105765955752131</v>
      </c>
      <c r="C1645" s="48">
        <f t="array" aca="1" ref="C1645" ca="1">MAX(0,ROUND(Inputs!$B$10*Inputs!$B$11+NORMSINV(B1645)*SQRT(Inputs!$B$10*Inputs!$B$11),0))</f>
        <v>521</v>
      </c>
      <c r="D1645" s="49">
        <f ca="1">C1645*Inputs!$B$12</f>
        <v>62520000</v>
      </c>
    </row>
    <row r="1646" spans="1:4" ht="13.5" customHeight="1" x14ac:dyDescent="0.3">
      <c r="A1646" s="50">
        <v>1642</v>
      </c>
      <c r="B1646" s="51">
        <f t="shared" ca="1" si="25"/>
        <v>0.37739761744805256</v>
      </c>
      <c r="C1646" s="48">
        <f t="array" aca="1" ref="C1646" ca="1">MAX(0,ROUND(Inputs!$B$10*Inputs!$B$11+NORMSINV(B1646)*SQRT(Inputs!$B$10*Inputs!$B$11),0))</f>
        <v>493</v>
      </c>
      <c r="D1646" s="52">
        <f ca="1">C1646*Inputs!$B$12</f>
        <v>59160000</v>
      </c>
    </row>
    <row r="1647" spans="1:4" ht="13.5" customHeight="1" x14ac:dyDescent="0.3">
      <c r="A1647" s="46">
        <v>1643</v>
      </c>
      <c r="B1647" s="47">
        <f t="shared" ca="1" si="25"/>
        <v>0.30306240651685601</v>
      </c>
      <c r="C1647" s="48">
        <f t="array" aca="1" ref="C1647" ca="1">MAX(0,ROUND(Inputs!$B$10*Inputs!$B$11+NORMSINV(B1647)*SQRT(Inputs!$B$10*Inputs!$B$11),0))</f>
        <v>488</v>
      </c>
      <c r="D1647" s="49">
        <f ca="1">C1647*Inputs!$B$12</f>
        <v>58560000</v>
      </c>
    </row>
    <row r="1648" spans="1:4" ht="13.5" customHeight="1" x14ac:dyDescent="0.3">
      <c r="A1648" s="50">
        <v>1644</v>
      </c>
      <c r="B1648" s="51">
        <f t="shared" ca="1" si="25"/>
        <v>0.88748718519359204</v>
      </c>
      <c r="C1648" s="48">
        <f t="array" aca="1" ref="C1648" ca="1">MAX(0,ROUND(Inputs!$B$10*Inputs!$B$11+NORMSINV(B1648)*SQRT(Inputs!$B$10*Inputs!$B$11),0))</f>
        <v>527</v>
      </c>
      <c r="D1648" s="52">
        <f ca="1">C1648*Inputs!$B$12</f>
        <v>63240000</v>
      </c>
    </row>
    <row r="1649" spans="1:4" ht="13.5" customHeight="1" x14ac:dyDescent="0.3">
      <c r="A1649" s="46">
        <v>1645</v>
      </c>
      <c r="B1649" s="47">
        <f t="shared" ca="1" si="25"/>
        <v>0.21814989517460204</v>
      </c>
      <c r="C1649" s="48">
        <f t="array" aca="1" ref="C1649" ca="1">MAX(0,ROUND(Inputs!$B$10*Inputs!$B$11+NORMSINV(B1649)*SQRT(Inputs!$B$10*Inputs!$B$11),0))</f>
        <v>483</v>
      </c>
      <c r="D1649" s="49">
        <f ca="1">C1649*Inputs!$B$12</f>
        <v>57960000</v>
      </c>
    </row>
    <row r="1650" spans="1:4" ht="13.5" customHeight="1" x14ac:dyDescent="0.3">
      <c r="A1650" s="50">
        <v>1646</v>
      </c>
      <c r="B1650" s="51">
        <f t="shared" ca="1" si="25"/>
        <v>0.81012318622683888</v>
      </c>
      <c r="C1650" s="48">
        <f t="array" aca="1" ref="C1650" ca="1">MAX(0,ROUND(Inputs!$B$10*Inputs!$B$11+NORMSINV(B1650)*SQRT(Inputs!$B$10*Inputs!$B$11),0))</f>
        <v>520</v>
      </c>
      <c r="D1650" s="52">
        <f ca="1">C1650*Inputs!$B$12</f>
        <v>62400000</v>
      </c>
    </row>
    <row r="1651" spans="1:4" ht="13.5" customHeight="1" x14ac:dyDescent="0.3">
      <c r="A1651" s="46">
        <v>1647</v>
      </c>
      <c r="B1651" s="47">
        <f t="shared" ca="1" si="25"/>
        <v>0.71762074445672686</v>
      </c>
      <c r="C1651" s="48">
        <f t="array" aca="1" ref="C1651" ca="1">MAX(0,ROUND(Inputs!$B$10*Inputs!$B$11+NORMSINV(B1651)*SQRT(Inputs!$B$10*Inputs!$B$11),0))</f>
        <v>513</v>
      </c>
      <c r="D1651" s="49">
        <f ca="1">C1651*Inputs!$B$12</f>
        <v>61560000</v>
      </c>
    </row>
    <row r="1652" spans="1:4" ht="13.5" customHeight="1" x14ac:dyDescent="0.3">
      <c r="A1652" s="50">
        <v>1648</v>
      </c>
      <c r="B1652" s="51">
        <f t="shared" ca="1" si="25"/>
        <v>0.44576726514515952</v>
      </c>
      <c r="C1652" s="48">
        <f t="array" aca="1" ref="C1652" ca="1">MAX(0,ROUND(Inputs!$B$10*Inputs!$B$11+NORMSINV(B1652)*SQRT(Inputs!$B$10*Inputs!$B$11),0))</f>
        <v>497</v>
      </c>
      <c r="D1652" s="52">
        <f ca="1">C1652*Inputs!$B$12</f>
        <v>59640000</v>
      </c>
    </row>
    <row r="1653" spans="1:4" ht="13.5" customHeight="1" x14ac:dyDescent="0.3">
      <c r="A1653" s="46">
        <v>1649</v>
      </c>
      <c r="B1653" s="47">
        <f t="shared" ca="1" si="25"/>
        <v>0.81520849881055613</v>
      </c>
      <c r="C1653" s="48">
        <f t="array" aca="1" ref="C1653" ca="1">MAX(0,ROUND(Inputs!$B$10*Inputs!$B$11+NORMSINV(B1653)*SQRT(Inputs!$B$10*Inputs!$B$11),0))</f>
        <v>520</v>
      </c>
      <c r="D1653" s="49">
        <f ca="1">C1653*Inputs!$B$12</f>
        <v>62400000</v>
      </c>
    </row>
    <row r="1654" spans="1:4" ht="13.5" customHeight="1" x14ac:dyDescent="0.3">
      <c r="A1654" s="50">
        <v>1650</v>
      </c>
      <c r="B1654" s="51">
        <f t="shared" ca="1" si="25"/>
        <v>0.23242344650604185</v>
      </c>
      <c r="C1654" s="48">
        <f t="array" aca="1" ref="C1654" ca="1">MAX(0,ROUND(Inputs!$B$10*Inputs!$B$11+NORMSINV(B1654)*SQRT(Inputs!$B$10*Inputs!$B$11),0))</f>
        <v>484</v>
      </c>
      <c r="D1654" s="52">
        <f ca="1">C1654*Inputs!$B$12</f>
        <v>58080000</v>
      </c>
    </row>
    <row r="1655" spans="1:4" ht="13.5" customHeight="1" x14ac:dyDescent="0.3">
      <c r="A1655" s="46">
        <v>1651</v>
      </c>
      <c r="B1655" s="47">
        <f t="shared" ca="1" si="25"/>
        <v>0.45349181410188943</v>
      </c>
      <c r="C1655" s="48">
        <f t="array" aca="1" ref="C1655" ca="1">MAX(0,ROUND(Inputs!$B$10*Inputs!$B$11+NORMSINV(B1655)*SQRT(Inputs!$B$10*Inputs!$B$11),0))</f>
        <v>497</v>
      </c>
      <c r="D1655" s="49">
        <f ca="1">C1655*Inputs!$B$12</f>
        <v>59640000</v>
      </c>
    </row>
    <row r="1656" spans="1:4" ht="13.5" customHeight="1" x14ac:dyDescent="0.3">
      <c r="A1656" s="50">
        <v>1652</v>
      </c>
      <c r="B1656" s="51">
        <f t="shared" ca="1" si="25"/>
        <v>0.95176089685637966</v>
      </c>
      <c r="C1656" s="48">
        <f t="array" aca="1" ref="C1656" ca="1">MAX(0,ROUND(Inputs!$B$10*Inputs!$B$11+NORMSINV(B1656)*SQRT(Inputs!$B$10*Inputs!$B$11),0))</f>
        <v>537</v>
      </c>
      <c r="D1656" s="52">
        <f ca="1">C1656*Inputs!$B$12</f>
        <v>64440000</v>
      </c>
    </row>
    <row r="1657" spans="1:4" ht="13.5" customHeight="1" x14ac:dyDescent="0.3">
      <c r="A1657" s="46">
        <v>1653</v>
      </c>
      <c r="B1657" s="47">
        <f t="shared" ca="1" si="25"/>
        <v>0.84328405964366759</v>
      </c>
      <c r="C1657" s="48">
        <f t="array" aca="1" ref="C1657" ca="1">MAX(0,ROUND(Inputs!$B$10*Inputs!$B$11+NORMSINV(B1657)*SQRT(Inputs!$B$10*Inputs!$B$11),0))</f>
        <v>523</v>
      </c>
      <c r="D1657" s="49">
        <f ca="1">C1657*Inputs!$B$12</f>
        <v>62760000</v>
      </c>
    </row>
    <row r="1658" spans="1:4" ht="13.5" customHeight="1" x14ac:dyDescent="0.3">
      <c r="A1658" s="50">
        <v>1654</v>
      </c>
      <c r="B1658" s="51">
        <f t="shared" ca="1" si="25"/>
        <v>5.0921789747581436E-2</v>
      </c>
      <c r="C1658" s="48">
        <f t="array" aca="1" ref="C1658" ca="1">MAX(0,ROUND(Inputs!$B$10*Inputs!$B$11+NORMSINV(B1658)*SQRT(Inputs!$B$10*Inputs!$B$11),0))</f>
        <v>463</v>
      </c>
      <c r="D1658" s="52">
        <f ca="1">C1658*Inputs!$B$12</f>
        <v>55560000</v>
      </c>
    </row>
    <row r="1659" spans="1:4" ht="13.5" customHeight="1" x14ac:dyDescent="0.3">
      <c r="A1659" s="46">
        <v>1655</v>
      </c>
      <c r="B1659" s="47">
        <f t="shared" ca="1" si="25"/>
        <v>0.38869041028546569</v>
      </c>
      <c r="C1659" s="48">
        <f t="array" aca="1" ref="C1659" ca="1">MAX(0,ROUND(Inputs!$B$10*Inputs!$B$11+NORMSINV(B1659)*SQRT(Inputs!$B$10*Inputs!$B$11),0))</f>
        <v>494</v>
      </c>
      <c r="D1659" s="49">
        <f ca="1">C1659*Inputs!$B$12</f>
        <v>59280000</v>
      </c>
    </row>
    <row r="1660" spans="1:4" ht="13.5" customHeight="1" x14ac:dyDescent="0.3">
      <c r="A1660" s="50">
        <v>1656</v>
      </c>
      <c r="B1660" s="51">
        <f t="shared" ca="1" si="25"/>
        <v>0.90300162417918561</v>
      </c>
      <c r="C1660" s="48">
        <f t="array" aca="1" ref="C1660" ca="1">MAX(0,ROUND(Inputs!$B$10*Inputs!$B$11+NORMSINV(B1660)*SQRT(Inputs!$B$10*Inputs!$B$11),0))</f>
        <v>529</v>
      </c>
      <c r="D1660" s="52">
        <f ca="1">C1660*Inputs!$B$12</f>
        <v>63480000</v>
      </c>
    </row>
    <row r="1661" spans="1:4" ht="13.5" customHeight="1" x14ac:dyDescent="0.3">
      <c r="A1661" s="46">
        <v>1657</v>
      </c>
      <c r="B1661" s="47">
        <f t="shared" ca="1" si="25"/>
        <v>0.33611071209878607</v>
      </c>
      <c r="C1661" s="48">
        <f t="array" aca="1" ref="C1661" ca="1">MAX(0,ROUND(Inputs!$B$10*Inputs!$B$11+NORMSINV(B1661)*SQRT(Inputs!$B$10*Inputs!$B$11),0))</f>
        <v>491</v>
      </c>
      <c r="D1661" s="49">
        <f ca="1">C1661*Inputs!$B$12</f>
        <v>58920000</v>
      </c>
    </row>
    <row r="1662" spans="1:4" ht="13.5" customHeight="1" x14ac:dyDescent="0.3">
      <c r="A1662" s="50">
        <v>1658</v>
      </c>
      <c r="B1662" s="51">
        <f t="shared" ca="1" si="25"/>
        <v>0.75770673992630144</v>
      </c>
      <c r="C1662" s="48">
        <f t="array" aca="1" ref="C1662" ca="1">MAX(0,ROUND(Inputs!$B$10*Inputs!$B$11+NORMSINV(B1662)*SQRT(Inputs!$B$10*Inputs!$B$11),0))</f>
        <v>516</v>
      </c>
      <c r="D1662" s="52">
        <f ca="1">C1662*Inputs!$B$12</f>
        <v>61920000</v>
      </c>
    </row>
    <row r="1663" spans="1:4" ht="13.5" customHeight="1" x14ac:dyDescent="0.3">
      <c r="A1663" s="46">
        <v>1659</v>
      </c>
      <c r="B1663" s="47">
        <f t="shared" ca="1" si="25"/>
        <v>0.83221446841102564</v>
      </c>
      <c r="C1663" s="48">
        <f t="array" aca="1" ref="C1663" ca="1">MAX(0,ROUND(Inputs!$B$10*Inputs!$B$11+NORMSINV(B1663)*SQRT(Inputs!$B$10*Inputs!$B$11),0))</f>
        <v>522</v>
      </c>
      <c r="D1663" s="49">
        <f ca="1">C1663*Inputs!$B$12</f>
        <v>62640000</v>
      </c>
    </row>
    <row r="1664" spans="1:4" ht="13.5" customHeight="1" x14ac:dyDescent="0.3">
      <c r="A1664" s="50">
        <v>1660</v>
      </c>
      <c r="B1664" s="51">
        <f t="shared" ca="1" si="25"/>
        <v>0.446116214568129</v>
      </c>
      <c r="C1664" s="48">
        <f t="array" aca="1" ref="C1664" ca="1">MAX(0,ROUND(Inputs!$B$10*Inputs!$B$11+NORMSINV(B1664)*SQRT(Inputs!$B$10*Inputs!$B$11),0))</f>
        <v>497</v>
      </c>
      <c r="D1664" s="52">
        <f ca="1">C1664*Inputs!$B$12</f>
        <v>59640000</v>
      </c>
    </row>
    <row r="1665" spans="1:4" ht="13.5" customHeight="1" x14ac:dyDescent="0.3">
      <c r="A1665" s="46">
        <v>1661</v>
      </c>
      <c r="B1665" s="47">
        <f t="shared" ca="1" si="25"/>
        <v>4.6083889763657182E-2</v>
      </c>
      <c r="C1665" s="48">
        <f t="array" aca="1" ref="C1665" ca="1">MAX(0,ROUND(Inputs!$B$10*Inputs!$B$11+NORMSINV(B1665)*SQRT(Inputs!$B$10*Inputs!$B$11),0))</f>
        <v>462</v>
      </c>
      <c r="D1665" s="49">
        <f ca="1">C1665*Inputs!$B$12</f>
        <v>55440000</v>
      </c>
    </row>
    <row r="1666" spans="1:4" ht="13.5" customHeight="1" x14ac:dyDescent="0.3">
      <c r="A1666" s="50">
        <v>1662</v>
      </c>
      <c r="B1666" s="51">
        <f t="shared" ca="1" si="25"/>
        <v>0.41317111452581967</v>
      </c>
      <c r="C1666" s="48">
        <f t="array" aca="1" ref="C1666" ca="1">MAX(0,ROUND(Inputs!$B$10*Inputs!$B$11+NORMSINV(B1666)*SQRT(Inputs!$B$10*Inputs!$B$11),0))</f>
        <v>495</v>
      </c>
      <c r="D1666" s="52">
        <f ca="1">C1666*Inputs!$B$12</f>
        <v>59400000</v>
      </c>
    </row>
    <row r="1667" spans="1:4" ht="13.5" customHeight="1" x14ac:dyDescent="0.3">
      <c r="A1667" s="46">
        <v>1663</v>
      </c>
      <c r="B1667" s="47">
        <f t="shared" ca="1" si="25"/>
        <v>0.62984332678249311</v>
      </c>
      <c r="C1667" s="48">
        <f t="array" aca="1" ref="C1667" ca="1">MAX(0,ROUND(Inputs!$B$10*Inputs!$B$11+NORMSINV(B1667)*SQRT(Inputs!$B$10*Inputs!$B$11),0))</f>
        <v>507</v>
      </c>
      <c r="D1667" s="49">
        <f ca="1">C1667*Inputs!$B$12</f>
        <v>60840000</v>
      </c>
    </row>
    <row r="1668" spans="1:4" ht="13.5" customHeight="1" x14ac:dyDescent="0.3">
      <c r="A1668" s="50">
        <v>1664</v>
      </c>
      <c r="B1668" s="51">
        <f t="shared" ca="1" si="25"/>
        <v>0.65945955056738981</v>
      </c>
      <c r="C1668" s="48">
        <f t="array" aca="1" ref="C1668" ca="1">MAX(0,ROUND(Inputs!$B$10*Inputs!$B$11+NORMSINV(B1668)*SQRT(Inputs!$B$10*Inputs!$B$11),0))</f>
        <v>509</v>
      </c>
      <c r="D1668" s="52">
        <f ca="1">C1668*Inputs!$B$12</f>
        <v>61080000</v>
      </c>
    </row>
    <row r="1669" spans="1:4" ht="13.5" customHeight="1" x14ac:dyDescent="0.3">
      <c r="A1669" s="46">
        <v>1665</v>
      </c>
      <c r="B1669" s="47">
        <f t="shared" ref="B1669:B1732" ca="1" si="26">RAND()</f>
        <v>0.95403111200082436</v>
      </c>
      <c r="C1669" s="48">
        <f t="array" aca="1" ref="C1669" ca="1">MAX(0,ROUND(Inputs!$B$10*Inputs!$B$11+NORMSINV(B1669)*SQRT(Inputs!$B$10*Inputs!$B$11),0))</f>
        <v>538</v>
      </c>
      <c r="D1669" s="49">
        <f ca="1">C1669*Inputs!$B$12</f>
        <v>64560000</v>
      </c>
    </row>
    <row r="1670" spans="1:4" ht="13.5" customHeight="1" x14ac:dyDescent="0.3">
      <c r="A1670" s="50">
        <v>1666</v>
      </c>
      <c r="B1670" s="51">
        <f t="shared" ca="1" si="26"/>
        <v>0.28047859461144631</v>
      </c>
      <c r="C1670" s="48">
        <f t="array" aca="1" ref="C1670" ca="1">MAX(0,ROUND(Inputs!$B$10*Inputs!$B$11+NORMSINV(B1670)*SQRT(Inputs!$B$10*Inputs!$B$11),0))</f>
        <v>487</v>
      </c>
      <c r="D1670" s="52">
        <f ca="1">C1670*Inputs!$B$12</f>
        <v>58440000</v>
      </c>
    </row>
    <row r="1671" spans="1:4" ht="13.5" customHeight="1" x14ac:dyDescent="0.3">
      <c r="A1671" s="46">
        <v>1667</v>
      </c>
      <c r="B1671" s="47">
        <f t="shared" ca="1" si="26"/>
        <v>0.1906843120885271</v>
      </c>
      <c r="C1671" s="48">
        <f t="array" aca="1" ref="C1671" ca="1">MAX(0,ROUND(Inputs!$B$10*Inputs!$B$11+NORMSINV(B1671)*SQRT(Inputs!$B$10*Inputs!$B$11),0))</f>
        <v>480</v>
      </c>
      <c r="D1671" s="49">
        <f ca="1">C1671*Inputs!$B$12</f>
        <v>57600000</v>
      </c>
    </row>
    <row r="1672" spans="1:4" ht="13.5" customHeight="1" x14ac:dyDescent="0.3">
      <c r="A1672" s="50">
        <v>1668</v>
      </c>
      <c r="B1672" s="51">
        <f t="shared" ca="1" si="26"/>
        <v>0.21594070691803657</v>
      </c>
      <c r="C1672" s="48">
        <f t="array" aca="1" ref="C1672" ca="1">MAX(0,ROUND(Inputs!$B$10*Inputs!$B$11+NORMSINV(B1672)*SQRT(Inputs!$B$10*Inputs!$B$11),0))</f>
        <v>482</v>
      </c>
      <c r="D1672" s="52">
        <f ca="1">C1672*Inputs!$B$12</f>
        <v>57840000</v>
      </c>
    </row>
    <row r="1673" spans="1:4" ht="13.5" customHeight="1" x14ac:dyDescent="0.3">
      <c r="A1673" s="46">
        <v>1669</v>
      </c>
      <c r="B1673" s="47">
        <f t="shared" ca="1" si="26"/>
        <v>0.72512667232239414</v>
      </c>
      <c r="C1673" s="48">
        <f t="array" aca="1" ref="C1673" ca="1">MAX(0,ROUND(Inputs!$B$10*Inputs!$B$11+NORMSINV(B1673)*SQRT(Inputs!$B$10*Inputs!$B$11),0))</f>
        <v>513</v>
      </c>
      <c r="D1673" s="49">
        <f ca="1">C1673*Inputs!$B$12</f>
        <v>61560000</v>
      </c>
    </row>
    <row r="1674" spans="1:4" ht="13.5" customHeight="1" x14ac:dyDescent="0.3">
      <c r="A1674" s="50">
        <v>1670</v>
      </c>
      <c r="B1674" s="51">
        <f t="shared" ca="1" si="26"/>
        <v>0.80758629617528932</v>
      </c>
      <c r="C1674" s="48">
        <f t="array" aca="1" ref="C1674" ca="1">MAX(0,ROUND(Inputs!$B$10*Inputs!$B$11+NORMSINV(B1674)*SQRT(Inputs!$B$10*Inputs!$B$11),0))</f>
        <v>519</v>
      </c>
      <c r="D1674" s="52">
        <f ca="1">C1674*Inputs!$B$12</f>
        <v>62280000</v>
      </c>
    </row>
    <row r="1675" spans="1:4" ht="13.5" customHeight="1" x14ac:dyDescent="0.3">
      <c r="A1675" s="46">
        <v>1671</v>
      </c>
      <c r="B1675" s="47">
        <f t="shared" ca="1" si="26"/>
        <v>0.50936455664155311</v>
      </c>
      <c r="C1675" s="48">
        <f t="array" aca="1" ref="C1675" ca="1">MAX(0,ROUND(Inputs!$B$10*Inputs!$B$11+NORMSINV(B1675)*SQRT(Inputs!$B$10*Inputs!$B$11),0))</f>
        <v>501</v>
      </c>
      <c r="D1675" s="49">
        <f ca="1">C1675*Inputs!$B$12</f>
        <v>60120000</v>
      </c>
    </row>
    <row r="1676" spans="1:4" ht="13.5" customHeight="1" x14ac:dyDescent="0.3">
      <c r="A1676" s="50">
        <v>1672</v>
      </c>
      <c r="B1676" s="51">
        <f t="shared" ca="1" si="26"/>
        <v>0.79961021357743667</v>
      </c>
      <c r="C1676" s="48">
        <f t="array" aca="1" ref="C1676" ca="1">MAX(0,ROUND(Inputs!$B$10*Inputs!$B$11+NORMSINV(B1676)*SQRT(Inputs!$B$10*Inputs!$B$11),0))</f>
        <v>519</v>
      </c>
      <c r="D1676" s="52">
        <f ca="1">C1676*Inputs!$B$12</f>
        <v>62280000</v>
      </c>
    </row>
    <row r="1677" spans="1:4" ht="13.5" customHeight="1" x14ac:dyDescent="0.3">
      <c r="A1677" s="46">
        <v>1673</v>
      </c>
      <c r="B1677" s="47">
        <f t="shared" ca="1" si="26"/>
        <v>0.83644509007420265</v>
      </c>
      <c r="C1677" s="48">
        <f t="array" aca="1" ref="C1677" ca="1">MAX(0,ROUND(Inputs!$B$10*Inputs!$B$11+NORMSINV(B1677)*SQRT(Inputs!$B$10*Inputs!$B$11),0))</f>
        <v>522</v>
      </c>
      <c r="D1677" s="49">
        <f ca="1">C1677*Inputs!$B$12</f>
        <v>62640000</v>
      </c>
    </row>
    <row r="1678" spans="1:4" ht="13.5" customHeight="1" x14ac:dyDescent="0.3">
      <c r="A1678" s="50">
        <v>1674</v>
      </c>
      <c r="B1678" s="51">
        <f t="shared" ca="1" si="26"/>
        <v>0.51836485008523414</v>
      </c>
      <c r="C1678" s="48">
        <f t="array" aca="1" ref="C1678" ca="1">MAX(0,ROUND(Inputs!$B$10*Inputs!$B$11+NORMSINV(B1678)*SQRT(Inputs!$B$10*Inputs!$B$11),0))</f>
        <v>501</v>
      </c>
      <c r="D1678" s="52">
        <f ca="1">C1678*Inputs!$B$12</f>
        <v>60120000</v>
      </c>
    </row>
    <row r="1679" spans="1:4" ht="13.5" customHeight="1" x14ac:dyDescent="0.3">
      <c r="A1679" s="46">
        <v>1675</v>
      </c>
      <c r="B1679" s="47">
        <f t="shared" ca="1" si="26"/>
        <v>0.8170486971496862</v>
      </c>
      <c r="C1679" s="48">
        <f t="array" aca="1" ref="C1679" ca="1">MAX(0,ROUND(Inputs!$B$10*Inputs!$B$11+NORMSINV(B1679)*SQRT(Inputs!$B$10*Inputs!$B$11),0))</f>
        <v>520</v>
      </c>
      <c r="D1679" s="49">
        <f ca="1">C1679*Inputs!$B$12</f>
        <v>62400000</v>
      </c>
    </row>
    <row r="1680" spans="1:4" ht="13.5" customHeight="1" x14ac:dyDescent="0.3">
      <c r="A1680" s="50">
        <v>1676</v>
      </c>
      <c r="B1680" s="51">
        <f t="shared" ca="1" si="26"/>
        <v>0.30442646641739257</v>
      </c>
      <c r="C1680" s="48">
        <f t="array" aca="1" ref="C1680" ca="1">MAX(0,ROUND(Inputs!$B$10*Inputs!$B$11+NORMSINV(B1680)*SQRT(Inputs!$B$10*Inputs!$B$11),0))</f>
        <v>489</v>
      </c>
      <c r="D1680" s="52">
        <f ca="1">C1680*Inputs!$B$12</f>
        <v>58680000</v>
      </c>
    </row>
    <row r="1681" spans="1:4" ht="13.5" customHeight="1" x14ac:dyDescent="0.3">
      <c r="A1681" s="46">
        <v>1677</v>
      </c>
      <c r="B1681" s="47">
        <f t="shared" ca="1" si="26"/>
        <v>0.58625723887713022</v>
      </c>
      <c r="C1681" s="48">
        <f t="array" aca="1" ref="C1681" ca="1">MAX(0,ROUND(Inputs!$B$10*Inputs!$B$11+NORMSINV(B1681)*SQRT(Inputs!$B$10*Inputs!$B$11),0))</f>
        <v>505</v>
      </c>
      <c r="D1681" s="49">
        <f ca="1">C1681*Inputs!$B$12</f>
        <v>60600000</v>
      </c>
    </row>
    <row r="1682" spans="1:4" ht="13.5" customHeight="1" x14ac:dyDescent="0.3">
      <c r="A1682" s="50">
        <v>1678</v>
      </c>
      <c r="B1682" s="51">
        <f t="shared" ca="1" si="26"/>
        <v>0.85358140079502165</v>
      </c>
      <c r="C1682" s="48">
        <f t="array" aca="1" ref="C1682" ca="1">MAX(0,ROUND(Inputs!$B$10*Inputs!$B$11+NORMSINV(B1682)*SQRT(Inputs!$B$10*Inputs!$B$11),0))</f>
        <v>524</v>
      </c>
      <c r="D1682" s="52">
        <f ca="1">C1682*Inputs!$B$12</f>
        <v>62880000</v>
      </c>
    </row>
    <row r="1683" spans="1:4" ht="13.5" customHeight="1" x14ac:dyDescent="0.3">
      <c r="A1683" s="46">
        <v>1679</v>
      </c>
      <c r="B1683" s="47">
        <f t="shared" ca="1" si="26"/>
        <v>0.33188233706580683</v>
      </c>
      <c r="C1683" s="48">
        <f t="array" aca="1" ref="C1683" ca="1">MAX(0,ROUND(Inputs!$B$10*Inputs!$B$11+NORMSINV(B1683)*SQRT(Inputs!$B$10*Inputs!$B$11),0))</f>
        <v>490</v>
      </c>
      <c r="D1683" s="49">
        <f ca="1">C1683*Inputs!$B$12</f>
        <v>58800000</v>
      </c>
    </row>
    <row r="1684" spans="1:4" ht="13.5" customHeight="1" x14ac:dyDescent="0.3">
      <c r="A1684" s="50">
        <v>1680</v>
      </c>
      <c r="B1684" s="51">
        <f t="shared" ca="1" si="26"/>
        <v>0.68192593224308584</v>
      </c>
      <c r="C1684" s="48">
        <f t="array" aca="1" ref="C1684" ca="1">MAX(0,ROUND(Inputs!$B$10*Inputs!$B$11+NORMSINV(B1684)*SQRT(Inputs!$B$10*Inputs!$B$11),0))</f>
        <v>511</v>
      </c>
      <c r="D1684" s="52">
        <f ca="1">C1684*Inputs!$B$12</f>
        <v>61320000</v>
      </c>
    </row>
    <row r="1685" spans="1:4" ht="13.5" customHeight="1" x14ac:dyDescent="0.3">
      <c r="A1685" s="46">
        <v>1681</v>
      </c>
      <c r="B1685" s="47">
        <f t="shared" ca="1" si="26"/>
        <v>0.50766089101953582</v>
      </c>
      <c r="C1685" s="48">
        <f t="array" aca="1" ref="C1685" ca="1">MAX(0,ROUND(Inputs!$B$10*Inputs!$B$11+NORMSINV(B1685)*SQRT(Inputs!$B$10*Inputs!$B$11),0))</f>
        <v>500</v>
      </c>
      <c r="D1685" s="49">
        <f ca="1">C1685*Inputs!$B$12</f>
        <v>60000000</v>
      </c>
    </row>
    <row r="1686" spans="1:4" ht="13.5" customHeight="1" x14ac:dyDescent="0.3">
      <c r="A1686" s="50">
        <v>1682</v>
      </c>
      <c r="B1686" s="51">
        <f t="shared" ca="1" si="26"/>
        <v>0.60559063394710533</v>
      </c>
      <c r="C1686" s="48">
        <f t="array" aca="1" ref="C1686" ca="1">MAX(0,ROUND(Inputs!$B$10*Inputs!$B$11+NORMSINV(B1686)*SQRT(Inputs!$B$10*Inputs!$B$11),0))</f>
        <v>506</v>
      </c>
      <c r="D1686" s="52">
        <f ca="1">C1686*Inputs!$B$12</f>
        <v>60720000</v>
      </c>
    </row>
    <row r="1687" spans="1:4" ht="13.5" customHeight="1" x14ac:dyDescent="0.3">
      <c r="A1687" s="46">
        <v>1683</v>
      </c>
      <c r="B1687" s="47">
        <f t="shared" ca="1" si="26"/>
        <v>5.5252186589400676E-2</v>
      </c>
      <c r="C1687" s="48">
        <f t="array" aca="1" ref="C1687" ca="1">MAX(0,ROUND(Inputs!$B$10*Inputs!$B$11+NORMSINV(B1687)*SQRT(Inputs!$B$10*Inputs!$B$11),0))</f>
        <v>464</v>
      </c>
      <c r="D1687" s="49">
        <f ca="1">C1687*Inputs!$B$12</f>
        <v>55680000</v>
      </c>
    </row>
    <row r="1688" spans="1:4" ht="13.5" customHeight="1" x14ac:dyDescent="0.3">
      <c r="A1688" s="50">
        <v>1684</v>
      </c>
      <c r="B1688" s="51">
        <f t="shared" ca="1" si="26"/>
        <v>0.65055236847699638</v>
      </c>
      <c r="C1688" s="48">
        <f t="array" aca="1" ref="C1688" ca="1">MAX(0,ROUND(Inputs!$B$10*Inputs!$B$11+NORMSINV(B1688)*SQRT(Inputs!$B$10*Inputs!$B$11),0))</f>
        <v>509</v>
      </c>
      <c r="D1688" s="52">
        <f ca="1">C1688*Inputs!$B$12</f>
        <v>61080000</v>
      </c>
    </row>
    <row r="1689" spans="1:4" ht="13.5" customHeight="1" x14ac:dyDescent="0.3">
      <c r="A1689" s="46">
        <v>1685</v>
      </c>
      <c r="B1689" s="47">
        <f t="shared" ca="1" si="26"/>
        <v>0.63302268851504306</v>
      </c>
      <c r="C1689" s="48">
        <f t="array" aca="1" ref="C1689" ca="1">MAX(0,ROUND(Inputs!$B$10*Inputs!$B$11+NORMSINV(B1689)*SQRT(Inputs!$B$10*Inputs!$B$11),0))</f>
        <v>508</v>
      </c>
      <c r="D1689" s="49">
        <f ca="1">C1689*Inputs!$B$12</f>
        <v>60960000</v>
      </c>
    </row>
    <row r="1690" spans="1:4" ht="13.5" customHeight="1" x14ac:dyDescent="0.3">
      <c r="A1690" s="50">
        <v>1686</v>
      </c>
      <c r="B1690" s="51">
        <f t="shared" ca="1" si="26"/>
        <v>0.91866019024127255</v>
      </c>
      <c r="C1690" s="48">
        <f t="array" aca="1" ref="C1690" ca="1">MAX(0,ROUND(Inputs!$B$10*Inputs!$B$11+NORMSINV(B1690)*SQRT(Inputs!$B$10*Inputs!$B$11),0))</f>
        <v>531</v>
      </c>
      <c r="D1690" s="52">
        <f ca="1">C1690*Inputs!$B$12</f>
        <v>63720000</v>
      </c>
    </row>
    <row r="1691" spans="1:4" ht="13.5" customHeight="1" x14ac:dyDescent="0.3">
      <c r="A1691" s="46">
        <v>1687</v>
      </c>
      <c r="B1691" s="47">
        <f t="shared" ca="1" si="26"/>
        <v>0.82511907732661327</v>
      </c>
      <c r="C1691" s="48">
        <f t="array" aca="1" ref="C1691" ca="1">MAX(0,ROUND(Inputs!$B$10*Inputs!$B$11+NORMSINV(B1691)*SQRT(Inputs!$B$10*Inputs!$B$11),0))</f>
        <v>521</v>
      </c>
      <c r="D1691" s="49">
        <f ca="1">C1691*Inputs!$B$12</f>
        <v>62520000</v>
      </c>
    </row>
    <row r="1692" spans="1:4" ht="13.5" customHeight="1" x14ac:dyDescent="0.3">
      <c r="A1692" s="50">
        <v>1688</v>
      </c>
      <c r="B1692" s="51">
        <f t="shared" ca="1" si="26"/>
        <v>0.30745198292224851</v>
      </c>
      <c r="C1692" s="48">
        <f t="array" aca="1" ref="C1692" ca="1">MAX(0,ROUND(Inputs!$B$10*Inputs!$B$11+NORMSINV(B1692)*SQRT(Inputs!$B$10*Inputs!$B$11),0))</f>
        <v>489</v>
      </c>
      <c r="D1692" s="52">
        <f ca="1">C1692*Inputs!$B$12</f>
        <v>58680000</v>
      </c>
    </row>
    <row r="1693" spans="1:4" ht="13.5" customHeight="1" x14ac:dyDescent="0.3">
      <c r="A1693" s="46">
        <v>1689</v>
      </c>
      <c r="B1693" s="47">
        <f t="shared" ca="1" si="26"/>
        <v>5.8319244408808757E-2</v>
      </c>
      <c r="C1693" s="48">
        <f t="array" aca="1" ref="C1693" ca="1">MAX(0,ROUND(Inputs!$B$10*Inputs!$B$11+NORMSINV(B1693)*SQRT(Inputs!$B$10*Inputs!$B$11),0))</f>
        <v>465</v>
      </c>
      <c r="D1693" s="49">
        <f ca="1">C1693*Inputs!$B$12</f>
        <v>55800000</v>
      </c>
    </row>
    <row r="1694" spans="1:4" ht="13.5" customHeight="1" x14ac:dyDescent="0.3">
      <c r="A1694" s="50">
        <v>1690</v>
      </c>
      <c r="B1694" s="51">
        <f t="shared" ca="1" si="26"/>
        <v>0.32080302340308697</v>
      </c>
      <c r="C1694" s="48">
        <f t="array" aca="1" ref="C1694" ca="1">MAX(0,ROUND(Inputs!$B$10*Inputs!$B$11+NORMSINV(B1694)*SQRT(Inputs!$B$10*Inputs!$B$11),0))</f>
        <v>490</v>
      </c>
      <c r="D1694" s="52">
        <f ca="1">C1694*Inputs!$B$12</f>
        <v>58800000</v>
      </c>
    </row>
    <row r="1695" spans="1:4" ht="13.5" customHeight="1" x14ac:dyDescent="0.3">
      <c r="A1695" s="46">
        <v>1691</v>
      </c>
      <c r="B1695" s="47">
        <f t="shared" ca="1" si="26"/>
        <v>2.1789020732594477E-2</v>
      </c>
      <c r="C1695" s="48">
        <f t="array" aca="1" ref="C1695" ca="1">MAX(0,ROUND(Inputs!$B$10*Inputs!$B$11+NORMSINV(B1695)*SQRT(Inputs!$B$10*Inputs!$B$11),0))</f>
        <v>455</v>
      </c>
      <c r="D1695" s="49">
        <f ca="1">C1695*Inputs!$B$12</f>
        <v>54600000</v>
      </c>
    </row>
    <row r="1696" spans="1:4" ht="13.5" customHeight="1" x14ac:dyDescent="0.3">
      <c r="A1696" s="50">
        <v>1692</v>
      </c>
      <c r="B1696" s="51">
        <f t="shared" ca="1" si="26"/>
        <v>0.98952083238689048</v>
      </c>
      <c r="C1696" s="48">
        <f t="array" aca="1" ref="C1696" ca="1">MAX(0,ROUND(Inputs!$B$10*Inputs!$B$11+NORMSINV(B1696)*SQRT(Inputs!$B$10*Inputs!$B$11),0))</f>
        <v>552</v>
      </c>
      <c r="D1696" s="52">
        <f ca="1">C1696*Inputs!$B$12</f>
        <v>66240000</v>
      </c>
    </row>
    <row r="1697" spans="1:4" ht="13.5" customHeight="1" x14ac:dyDescent="0.3">
      <c r="A1697" s="46">
        <v>1693</v>
      </c>
      <c r="B1697" s="47">
        <f t="shared" ca="1" si="26"/>
        <v>0.53482201504428006</v>
      </c>
      <c r="C1697" s="48">
        <f t="array" aca="1" ref="C1697" ca="1">MAX(0,ROUND(Inputs!$B$10*Inputs!$B$11+NORMSINV(B1697)*SQRT(Inputs!$B$10*Inputs!$B$11),0))</f>
        <v>502</v>
      </c>
      <c r="D1697" s="49">
        <f ca="1">C1697*Inputs!$B$12</f>
        <v>60240000</v>
      </c>
    </row>
    <row r="1698" spans="1:4" ht="13.5" customHeight="1" x14ac:dyDescent="0.3">
      <c r="A1698" s="50">
        <v>1694</v>
      </c>
      <c r="B1698" s="51">
        <f t="shared" ca="1" si="26"/>
        <v>0.76741040192008814</v>
      </c>
      <c r="C1698" s="48">
        <f t="array" aca="1" ref="C1698" ca="1">MAX(0,ROUND(Inputs!$B$10*Inputs!$B$11+NORMSINV(B1698)*SQRT(Inputs!$B$10*Inputs!$B$11),0))</f>
        <v>516</v>
      </c>
      <c r="D1698" s="52">
        <f ca="1">C1698*Inputs!$B$12</f>
        <v>61920000</v>
      </c>
    </row>
    <row r="1699" spans="1:4" ht="13.5" customHeight="1" x14ac:dyDescent="0.3">
      <c r="A1699" s="46">
        <v>1695</v>
      </c>
      <c r="B1699" s="47">
        <f t="shared" ca="1" si="26"/>
        <v>0.81292284227746248</v>
      </c>
      <c r="C1699" s="48">
        <f t="array" aca="1" ref="C1699" ca="1">MAX(0,ROUND(Inputs!$B$10*Inputs!$B$11+NORMSINV(B1699)*SQRT(Inputs!$B$10*Inputs!$B$11),0))</f>
        <v>520</v>
      </c>
      <c r="D1699" s="49">
        <f ca="1">C1699*Inputs!$B$12</f>
        <v>62400000</v>
      </c>
    </row>
    <row r="1700" spans="1:4" ht="13.5" customHeight="1" x14ac:dyDescent="0.3">
      <c r="A1700" s="50">
        <v>1696</v>
      </c>
      <c r="B1700" s="51">
        <f t="shared" ca="1" si="26"/>
        <v>0.80159922989039156</v>
      </c>
      <c r="C1700" s="48">
        <f t="array" aca="1" ref="C1700" ca="1">MAX(0,ROUND(Inputs!$B$10*Inputs!$B$11+NORMSINV(B1700)*SQRT(Inputs!$B$10*Inputs!$B$11),0))</f>
        <v>519</v>
      </c>
      <c r="D1700" s="52">
        <f ca="1">C1700*Inputs!$B$12</f>
        <v>62280000</v>
      </c>
    </row>
    <row r="1701" spans="1:4" ht="13.5" customHeight="1" x14ac:dyDescent="0.3">
      <c r="A1701" s="46">
        <v>1697</v>
      </c>
      <c r="B1701" s="47">
        <f t="shared" ca="1" si="26"/>
        <v>0.91566422629695599</v>
      </c>
      <c r="C1701" s="48">
        <f t="array" aca="1" ref="C1701" ca="1">MAX(0,ROUND(Inputs!$B$10*Inputs!$B$11+NORMSINV(B1701)*SQRT(Inputs!$B$10*Inputs!$B$11),0))</f>
        <v>531</v>
      </c>
      <c r="D1701" s="49">
        <f ca="1">C1701*Inputs!$B$12</f>
        <v>63720000</v>
      </c>
    </row>
    <row r="1702" spans="1:4" ht="13.5" customHeight="1" x14ac:dyDescent="0.3">
      <c r="A1702" s="50">
        <v>1698</v>
      </c>
      <c r="B1702" s="51">
        <f t="shared" ca="1" si="26"/>
        <v>0.10450036490969861</v>
      </c>
      <c r="C1702" s="48">
        <f t="array" aca="1" ref="C1702" ca="1">MAX(0,ROUND(Inputs!$B$10*Inputs!$B$11+NORMSINV(B1702)*SQRT(Inputs!$B$10*Inputs!$B$11),0))</f>
        <v>472</v>
      </c>
      <c r="D1702" s="52">
        <f ca="1">C1702*Inputs!$B$12</f>
        <v>56640000</v>
      </c>
    </row>
    <row r="1703" spans="1:4" ht="13.5" customHeight="1" x14ac:dyDescent="0.3">
      <c r="A1703" s="46">
        <v>1699</v>
      </c>
      <c r="B1703" s="47">
        <f t="shared" ca="1" si="26"/>
        <v>0.60781149275189772</v>
      </c>
      <c r="C1703" s="48">
        <f t="array" aca="1" ref="C1703" ca="1">MAX(0,ROUND(Inputs!$B$10*Inputs!$B$11+NORMSINV(B1703)*SQRT(Inputs!$B$10*Inputs!$B$11),0))</f>
        <v>506</v>
      </c>
      <c r="D1703" s="49">
        <f ca="1">C1703*Inputs!$B$12</f>
        <v>60720000</v>
      </c>
    </row>
    <row r="1704" spans="1:4" ht="13.5" customHeight="1" x14ac:dyDescent="0.3">
      <c r="A1704" s="50">
        <v>1700</v>
      </c>
      <c r="B1704" s="51">
        <f t="shared" ca="1" si="26"/>
        <v>0.10873746350553037</v>
      </c>
      <c r="C1704" s="48">
        <f t="array" aca="1" ref="C1704" ca="1">MAX(0,ROUND(Inputs!$B$10*Inputs!$B$11+NORMSINV(B1704)*SQRT(Inputs!$B$10*Inputs!$B$11),0))</f>
        <v>472</v>
      </c>
      <c r="D1704" s="52">
        <f ca="1">C1704*Inputs!$B$12</f>
        <v>56640000</v>
      </c>
    </row>
    <row r="1705" spans="1:4" ht="13.5" customHeight="1" x14ac:dyDescent="0.3">
      <c r="A1705" s="46">
        <v>1701</v>
      </c>
      <c r="B1705" s="47">
        <f t="shared" ca="1" si="26"/>
        <v>0.27161668654759408</v>
      </c>
      <c r="C1705" s="48">
        <f t="array" aca="1" ref="C1705" ca="1">MAX(0,ROUND(Inputs!$B$10*Inputs!$B$11+NORMSINV(B1705)*SQRT(Inputs!$B$10*Inputs!$B$11),0))</f>
        <v>486</v>
      </c>
      <c r="D1705" s="49">
        <f ca="1">C1705*Inputs!$B$12</f>
        <v>58320000</v>
      </c>
    </row>
    <row r="1706" spans="1:4" ht="13.5" customHeight="1" x14ac:dyDescent="0.3">
      <c r="A1706" s="50">
        <v>1702</v>
      </c>
      <c r="B1706" s="51">
        <f t="shared" ca="1" si="26"/>
        <v>0.69756607559954642</v>
      </c>
      <c r="C1706" s="48">
        <f t="array" aca="1" ref="C1706" ca="1">MAX(0,ROUND(Inputs!$B$10*Inputs!$B$11+NORMSINV(B1706)*SQRT(Inputs!$B$10*Inputs!$B$11),0))</f>
        <v>512</v>
      </c>
      <c r="D1706" s="52">
        <f ca="1">C1706*Inputs!$B$12</f>
        <v>61440000</v>
      </c>
    </row>
    <row r="1707" spans="1:4" ht="13.5" customHeight="1" x14ac:dyDescent="0.3">
      <c r="A1707" s="46">
        <v>1703</v>
      </c>
      <c r="B1707" s="47">
        <f t="shared" ca="1" si="26"/>
        <v>0.55946445335443973</v>
      </c>
      <c r="C1707" s="48">
        <f t="array" aca="1" ref="C1707" ca="1">MAX(0,ROUND(Inputs!$B$10*Inputs!$B$11+NORMSINV(B1707)*SQRT(Inputs!$B$10*Inputs!$B$11),0))</f>
        <v>503</v>
      </c>
      <c r="D1707" s="49">
        <f ca="1">C1707*Inputs!$B$12</f>
        <v>60360000</v>
      </c>
    </row>
    <row r="1708" spans="1:4" ht="13.5" customHeight="1" x14ac:dyDescent="0.3">
      <c r="A1708" s="50">
        <v>1704</v>
      </c>
      <c r="B1708" s="51">
        <f t="shared" ca="1" si="26"/>
        <v>0.5553540014195153</v>
      </c>
      <c r="C1708" s="48">
        <f t="array" aca="1" ref="C1708" ca="1">MAX(0,ROUND(Inputs!$B$10*Inputs!$B$11+NORMSINV(B1708)*SQRT(Inputs!$B$10*Inputs!$B$11),0))</f>
        <v>503</v>
      </c>
      <c r="D1708" s="52">
        <f ca="1">C1708*Inputs!$B$12</f>
        <v>60360000</v>
      </c>
    </row>
    <row r="1709" spans="1:4" ht="13.5" customHeight="1" x14ac:dyDescent="0.3">
      <c r="A1709" s="46">
        <v>1705</v>
      </c>
      <c r="B1709" s="47">
        <f t="shared" ca="1" si="26"/>
        <v>0.76443994775349988</v>
      </c>
      <c r="C1709" s="48">
        <f t="array" aca="1" ref="C1709" ca="1">MAX(0,ROUND(Inputs!$B$10*Inputs!$B$11+NORMSINV(B1709)*SQRT(Inputs!$B$10*Inputs!$B$11),0))</f>
        <v>516</v>
      </c>
      <c r="D1709" s="49">
        <f ca="1">C1709*Inputs!$B$12</f>
        <v>61920000</v>
      </c>
    </row>
    <row r="1710" spans="1:4" ht="13.5" customHeight="1" x14ac:dyDescent="0.3">
      <c r="A1710" s="50">
        <v>1706</v>
      </c>
      <c r="B1710" s="51">
        <f t="shared" ca="1" si="26"/>
        <v>0.37722526334325412</v>
      </c>
      <c r="C1710" s="48">
        <f t="array" aca="1" ref="C1710" ca="1">MAX(0,ROUND(Inputs!$B$10*Inputs!$B$11+NORMSINV(B1710)*SQRT(Inputs!$B$10*Inputs!$B$11),0))</f>
        <v>493</v>
      </c>
      <c r="D1710" s="52">
        <f ca="1">C1710*Inputs!$B$12</f>
        <v>59160000</v>
      </c>
    </row>
    <row r="1711" spans="1:4" ht="13.5" customHeight="1" x14ac:dyDescent="0.3">
      <c r="A1711" s="46">
        <v>1707</v>
      </c>
      <c r="B1711" s="47">
        <f t="shared" ca="1" si="26"/>
        <v>0.59790376488383223</v>
      </c>
      <c r="C1711" s="48">
        <f t="array" aca="1" ref="C1711" ca="1">MAX(0,ROUND(Inputs!$B$10*Inputs!$B$11+NORMSINV(B1711)*SQRT(Inputs!$B$10*Inputs!$B$11),0))</f>
        <v>506</v>
      </c>
      <c r="D1711" s="49">
        <f ca="1">C1711*Inputs!$B$12</f>
        <v>60720000</v>
      </c>
    </row>
    <row r="1712" spans="1:4" ht="13.5" customHeight="1" x14ac:dyDescent="0.3">
      <c r="A1712" s="50">
        <v>1708</v>
      </c>
      <c r="B1712" s="51">
        <f t="shared" ca="1" si="26"/>
        <v>0.17718991943329054</v>
      </c>
      <c r="C1712" s="48">
        <f t="array" aca="1" ref="C1712" ca="1">MAX(0,ROUND(Inputs!$B$10*Inputs!$B$11+NORMSINV(B1712)*SQRT(Inputs!$B$10*Inputs!$B$11),0))</f>
        <v>479</v>
      </c>
      <c r="D1712" s="52">
        <f ca="1">C1712*Inputs!$B$12</f>
        <v>57480000</v>
      </c>
    </row>
    <row r="1713" spans="1:4" ht="13.5" customHeight="1" x14ac:dyDescent="0.3">
      <c r="A1713" s="46">
        <v>1709</v>
      </c>
      <c r="B1713" s="47">
        <f t="shared" ca="1" si="26"/>
        <v>0.16507926489305313</v>
      </c>
      <c r="C1713" s="48">
        <f t="array" aca="1" ref="C1713" ca="1">MAX(0,ROUND(Inputs!$B$10*Inputs!$B$11+NORMSINV(B1713)*SQRT(Inputs!$B$10*Inputs!$B$11),0))</f>
        <v>478</v>
      </c>
      <c r="D1713" s="49">
        <f ca="1">C1713*Inputs!$B$12</f>
        <v>57360000</v>
      </c>
    </row>
    <row r="1714" spans="1:4" ht="13.5" customHeight="1" x14ac:dyDescent="0.3">
      <c r="A1714" s="50">
        <v>1710</v>
      </c>
      <c r="B1714" s="51">
        <f t="shared" ca="1" si="26"/>
        <v>0.13177717912156395</v>
      </c>
      <c r="C1714" s="48">
        <f t="array" aca="1" ref="C1714" ca="1">MAX(0,ROUND(Inputs!$B$10*Inputs!$B$11+NORMSINV(B1714)*SQRT(Inputs!$B$10*Inputs!$B$11),0))</f>
        <v>475</v>
      </c>
      <c r="D1714" s="52">
        <f ca="1">C1714*Inputs!$B$12</f>
        <v>57000000</v>
      </c>
    </row>
    <row r="1715" spans="1:4" ht="13.5" customHeight="1" x14ac:dyDescent="0.3">
      <c r="A1715" s="46">
        <v>1711</v>
      </c>
      <c r="B1715" s="47">
        <f t="shared" ca="1" si="26"/>
        <v>0.45549941088373136</v>
      </c>
      <c r="C1715" s="48">
        <f t="array" aca="1" ref="C1715" ca="1">MAX(0,ROUND(Inputs!$B$10*Inputs!$B$11+NORMSINV(B1715)*SQRT(Inputs!$B$10*Inputs!$B$11),0))</f>
        <v>498</v>
      </c>
      <c r="D1715" s="49">
        <f ca="1">C1715*Inputs!$B$12</f>
        <v>59760000</v>
      </c>
    </row>
    <row r="1716" spans="1:4" ht="13.5" customHeight="1" x14ac:dyDescent="0.3">
      <c r="A1716" s="50">
        <v>1712</v>
      </c>
      <c r="B1716" s="51">
        <f t="shared" ca="1" si="26"/>
        <v>0.98809631049882884</v>
      </c>
      <c r="C1716" s="48">
        <f t="array" aca="1" ref="C1716" ca="1">MAX(0,ROUND(Inputs!$B$10*Inputs!$B$11+NORMSINV(B1716)*SQRT(Inputs!$B$10*Inputs!$B$11),0))</f>
        <v>551</v>
      </c>
      <c r="D1716" s="52">
        <f ca="1">C1716*Inputs!$B$12</f>
        <v>66120000</v>
      </c>
    </row>
    <row r="1717" spans="1:4" ht="13.5" customHeight="1" x14ac:dyDescent="0.3">
      <c r="A1717" s="46">
        <v>1713</v>
      </c>
      <c r="B1717" s="47">
        <f t="shared" ca="1" si="26"/>
        <v>0.51591752861860662</v>
      </c>
      <c r="C1717" s="48">
        <f t="array" aca="1" ref="C1717" ca="1">MAX(0,ROUND(Inputs!$B$10*Inputs!$B$11+NORMSINV(B1717)*SQRT(Inputs!$B$10*Inputs!$B$11),0))</f>
        <v>501</v>
      </c>
      <c r="D1717" s="49">
        <f ca="1">C1717*Inputs!$B$12</f>
        <v>60120000</v>
      </c>
    </row>
    <row r="1718" spans="1:4" ht="13.5" customHeight="1" x14ac:dyDescent="0.3">
      <c r="A1718" s="50">
        <v>1714</v>
      </c>
      <c r="B1718" s="51">
        <f t="shared" ca="1" si="26"/>
        <v>0.70083526103050275</v>
      </c>
      <c r="C1718" s="48">
        <f t="array" aca="1" ref="C1718" ca="1">MAX(0,ROUND(Inputs!$B$10*Inputs!$B$11+NORMSINV(B1718)*SQRT(Inputs!$B$10*Inputs!$B$11),0))</f>
        <v>512</v>
      </c>
      <c r="D1718" s="52">
        <f ca="1">C1718*Inputs!$B$12</f>
        <v>61440000</v>
      </c>
    </row>
    <row r="1719" spans="1:4" ht="13.5" customHeight="1" x14ac:dyDescent="0.3">
      <c r="A1719" s="46">
        <v>1715</v>
      </c>
      <c r="B1719" s="47">
        <f t="shared" ca="1" si="26"/>
        <v>0.71843252578844619</v>
      </c>
      <c r="C1719" s="48">
        <f t="array" aca="1" ref="C1719" ca="1">MAX(0,ROUND(Inputs!$B$10*Inputs!$B$11+NORMSINV(B1719)*SQRT(Inputs!$B$10*Inputs!$B$11),0))</f>
        <v>513</v>
      </c>
      <c r="D1719" s="49">
        <f ca="1">C1719*Inputs!$B$12</f>
        <v>61560000</v>
      </c>
    </row>
    <row r="1720" spans="1:4" ht="13.5" customHeight="1" x14ac:dyDescent="0.3">
      <c r="A1720" s="50">
        <v>1716</v>
      </c>
      <c r="B1720" s="51">
        <f t="shared" ca="1" si="26"/>
        <v>0.97739100573635329</v>
      </c>
      <c r="C1720" s="48">
        <f t="array" aca="1" ref="C1720" ca="1">MAX(0,ROUND(Inputs!$B$10*Inputs!$B$11+NORMSINV(B1720)*SQRT(Inputs!$B$10*Inputs!$B$11),0))</f>
        <v>545</v>
      </c>
      <c r="D1720" s="52">
        <f ca="1">C1720*Inputs!$B$12</f>
        <v>65400000</v>
      </c>
    </row>
    <row r="1721" spans="1:4" ht="13.5" customHeight="1" x14ac:dyDescent="0.3">
      <c r="A1721" s="46">
        <v>1717</v>
      </c>
      <c r="B1721" s="47">
        <f t="shared" ca="1" si="26"/>
        <v>0.3517822539614972</v>
      </c>
      <c r="C1721" s="48">
        <f t="array" aca="1" ref="C1721" ca="1">MAX(0,ROUND(Inputs!$B$10*Inputs!$B$11+NORMSINV(B1721)*SQRT(Inputs!$B$10*Inputs!$B$11),0))</f>
        <v>491</v>
      </c>
      <c r="D1721" s="49">
        <f ca="1">C1721*Inputs!$B$12</f>
        <v>58920000</v>
      </c>
    </row>
    <row r="1722" spans="1:4" ht="13.5" customHeight="1" x14ac:dyDescent="0.3">
      <c r="A1722" s="50">
        <v>1718</v>
      </c>
      <c r="B1722" s="51">
        <f t="shared" ca="1" si="26"/>
        <v>0.643541441075138</v>
      </c>
      <c r="C1722" s="48">
        <f t="array" aca="1" ref="C1722" ca="1">MAX(0,ROUND(Inputs!$B$10*Inputs!$B$11+NORMSINV(B1722)*SQRT(Inputs!$B$10*Inputs!$B$11),0))</f>
        <v>508</v>
      </c>
      <c r="D1722" s="52">
        <f ca="1">C1722*Inputs!$B$12</f>
        <v>60960000</v>
      </c>
    </row>
    <row r="1723" spans="1:4" ht="13.5" customHeight="1" x14ac:dyDescent="0.3">
      <c r="A1723" s="46">
        <v>1719</v>
      </c>
      <c r="B1723" s="47">
        <f t="shared" ca="1" si="26"/>
        <v>0.33627645662066463</v>
      </c>
      <c r="C1723" s="48">
        <f t="array" aca="1" ref="C1723" ca="1">MAX(0,ROUND(Inputs!$B$10*Inputs!$B$11+NORMSINV(B1723)*SQRT(Inputs!$B$10*Inputs!$B$11),0))</f>
        <v>491</v>
      </c>
      <c r="D1723" s="49">
        <f ca="1">C1723*Inputs!$B$12</f>
        <v>58920000</v>
      </c>
    </row>
    <row r="1724" spans="1:4" ht="13.5" customHeight="1" x14ac:dyDescent="0.3">
      <c r="A1724" s="50">
        <v>1720</v>
      </c>
      <c r="B1724" s="51">
        <f t="shared" ca="1" si="26"/>
        <v>0.48561774723949891</v>
      </c>
      <c r="C1724" s="48">
        <f t="array" aca="1" ref="C1724" ca="1">MAX(0,ROUND(Inputs!$B$10*Inputs!$B$11+NORMSINV(B1724)*SQRT(Inputs!$B$10*Inputs!$B$11),0))</f>
        <v>499</v>
      </c>
      <c r="D1724" s="52">
        <f ca="1">C1724*Inputs!$B$12</f>
        <v>59880000</v>
      </c>
    </row>
    <row r="1725" spans="1:4" ht="13.5" customHeight="1" x14ac:dyDescent="0.3">
      <c r="A1725" s="46">
        <v>1721</v>
      </c>
      <c r="B1725" s="47">
        <f t="shared" ca="1" si="26"/>
        <v>0.35563246668977855</v>
      </c>
      <c r="C1725" s="48">
        <f t="array" aca="1" ref="C1725" ca="1">MAX(0,ROUND(Inputs!$B$10*Inputs!$B$11+NORMSINV(B1725)*SQRT(Inputs!$B$10*Inputs!$B$11),0))</f>
        <v>492</v>
      </c>
      <c r="D1725" s="49">
        <f ca="1">C1725*Inputs!$B$12</f>
        <v>59040000</v>
      </c>
    </row>
    <row r="1726" spans="1:4" ht="13.5" customHeight="1" x14ac:dyDescent="0.3">
      <c r="A1726" s="50">
        <v>1722</v>
      </c>
      <c r="B1726" s="51">
        <f t="shared" ca="1" si="26"/>
        <v>0.65503898527594728</v>
      </c>
      <c r="C1726" s="48">
        <f t="array" aca="1" ref="C1726" ca="1">MAX(0,ROUND(Inputs!$B$10*Inputs!$B$11+NORMSINV(B1726)*SQRT(Inputs!$B$10*Inputs!$B$11),0))</f>
        <v>509</v>
      </c>
      <c r="D1726" s="52">
        <f ca="1">C1726*Inputs!$B$12</f>
        <v>61080000</v>
      </c>
    </row>
    <row r="1727" spans="1:4" ht="13.5" customHeight="1" x14ac:dyDescent="0.3">
      <c r="A1727" s="46">
        <v>1723</v>
      </c>
      <c r="B1727" s="47">
        <f t="shared" ca="1" si="26"/>
        <v>0.68139064925880488</v>
      </c>
      <c r="C1727" s="48">
        <f t="array" aca="1" ref="C1727" ca="1">MAX(0,ROUND(Inputs!$B$10*Inputs!$B$11+NORMSINV(B1727)*SQRT(Inputs!$B$10*Inputs!$B$11),0))</f>
        <v>511</v>
      </c>
      <c r="D1727" s="49">
        <f ca="1">C1727*Inputs!$B$12</f>
        <v>61320000</v>
      </c>
    </row>
    <row r="1728" spans="1:4" ht="13.5" customHeight="1" x14ac:dyDescent="0.3">
      <c r="A1728" s="50">
        <v>1724</v>
      </c>
      <c r="B1728" s="51">
        <f t="shared" ca="1" si="26"/>
        <v>0.43458096577193339</v>
      </c>
      <c r="C1728" s="48">
        <f t="array" aca="1" ref="C1728" ca="1">MAX(0,ROUND(Inputs!$B$10*Inputs!$B$11+NORMSINV(B1728)*SQRT(Inputs!$B$10*Inputs!$B$11),0))</f>
        <v>496</v>
      </c>
      <c r="D1728" s="52">
        <f ca="1">C1728*Inputs!$B$12</f>
        <v>59520000</v>
      </c>
    </row>
    <row r="1729" spans="1:4" ht="13.5" customHeight="1" x14ac:dyDescent="0.3">
      <c r="A1729" s="46">
        <v>1725</v>
      </c>
      <c r="B1729" s="47">
        <f t="shared" ca="1" si="26"/>
        <v>0.48928963425075123</v>
      </c>
      <c r="C1729" s="48">
        <f t="array" aca="1" ref="C1729" ca="1">MAX(0,ROUND(Inputs!$B$10*Inputs!$B$11+NORMSINV(B1729)*SQRT(Inputs!$B$10*Inputs!$B$11),0))</f>
        <v>499</v>
      </c>
      <c r="D1729" s="49">
        <f ca="1">C1729*Inputs!$B$12</f>
        <v>59880000</v>
      </c>
    </row>
    <row r="1730" spans="1:4" ht="13.5" customHeight="1" x14ac:dyDescent="0.3">
      <c r="A1730" s="50">
        <v>1726</v>
      </c>
      <c r="B1730" s="51">
        <f t="shared" ca="1" si="26"/>
        <v>0.8141797254316222</v>
      </c>
      <c r="C1730" s="48">
        <f t="array" aca="1" ref="C1730" ca="1">MAX(0,ROUND(Inputs!$B$10*Inputs!$B$11+NORMSINV(B1730)*SQRT(Inputs!$B$10*Inputs!$B$11),0))</f>
        <v>520</v>
      </c>
      <c r="D1730" s="52">
        <f ca="1">C1730*Inputs!$B$12</f>
        <v>62400000</v>
      </c>
    </row>
    <row r="1731" spans="1:4" ht="13.5" customHeight="1" x14ac:dyDescent="0.3">
      <c r="A1731" s="46">
        <v>1727</v>
      </c>
      <c r="B1731" s="47">
        <f t="shared" ca="1" si="26"/>
        <v>0.23284915291133379</v>
      </c>
      <c r="C1731" s="48">
        <f t="array" aca="1" ref="C1731" ca="1">MAX(0,ROUND(Inputs!$B$10*Inputs!$B$11+NORMSINV(B1731)*SQRT(Inputs!$B$10*Inputs!$B$11),0))</f>
        <v>484</v>
      </c>
      <c r="D1731" s="49">
        <f ca="1">C1731*Inputs!$B$12</f>
        <v>58080000</v>
      </c>
    </row>
    <row r="1732" spans="1:4" ht="13.5" customHeight="1" x14ac:dyDescent="0.3">
      <c r="A1732" s="50">
        <v>1728</v>
      </c>
      <c r="B1732" s="51">
        <f t="shared" ca="1" si="26"/>
        <v>0.22358478675846671</v>
      </c>
      <c r="C1732" s="48">
        <f t="array" aca="1" ref="C1732" ca="1">MAX(0,ROUND(Inputs!$B$10*Inputs!$B$11+NORMSINV(B1732)*SQRT(Inputs!$B$10*Inputs!$B$11),0))</f>
        <v>483</v>
      </c>
      <c r="D1732" s="52">
        <f ca="1">C1732*Inputs!$B$12</f>
        <v>57960000</v>
      </c>
    </row>
    <row r="1733" spans="1:4" ht="13.5" customHeight="1" x14ac:dyDescent="0.3">
      <c r="A1733" s="46">
        <v>1729</v>
      </c>
      <c r="B1733" s="47">
        <f t="shared" ref="B1733:B1796" ca="1" si="27">RAND()</f>
        <v>0.12741994257650624</v>
      </c>
      <c r="C1733" s="48">
        <f t="array" aca="1" ref="C1733" ca="1">MAX(0,ROUND(Inputs!$B$10*Inputs!$B$11+NORMSINV(B1733)*SQRT(Inputs!$B$10*Inputs!$B$11),0))</f>
        <v>475</v>
      </c>
      <c r="D1733" s="49">
        <f ca="1">C1733*Inputs!$B$12</f>
        <v>57000000</v>
      </c>
    </row>
    <row r="1734" spans="1:4" ht="13.5" customHeight="1" x14ac:dyDescent="0.3">
      <c r="A1734" s="50">
        <v>1730</v>
      </c>
      <c r="B1734" s="51">
        <f t="shared" ca="1" si="27"/>
        <v>0.62388400994108684</v>
      </c>
      <c r="C1734" s="48">
        <f t="array" aca="1" ref="C1734" ca="1">MAX(0,ROUND(Inputs!$B$10*Inputs!$B$11+NORMSINV(B1734)*SQRT(Inputs!$B$10*Inputs!$B$11),0))</f>
        <v>507</v>
      </c>
      <c r="D1734" s="52">
        <f ca="1">C1734*Inputs!$B$12</f>
        <v>60840000</v>
      </c>
    </row>
    <row r="1735" spans="1:4" ht="13.5" customHeight="1" x14ac:dyDescent="0.3">
      <c r="A1735" s="46">
        <v>1731</v>
      </c>
      <c r="B1735" s="47">
        <f t="shared" ca="1" si="27"/>
        <v>2.4599028383064714E-2</v>
      </c>
      <c r="C1735" s="48">
        <f t="array" aca="1" ref="C1735" ca="1">MAX(0,ROUND(Inputs!$B$10*Inputs!$B$11+NORMSINV(B1735)*SQRT(Inputs!$B$10*Inputs!$B$11),0))</f>
        <v>456</v>
      </c>
      <c r="D1735" s="49">
        <f ca="1">C1735*Inputs!$B$12</f>
        <v>54720000</v>
      </c>
    </row>
    <row r="1736" spans="1:4" ht="13.5" customHeight="1" x14ac:dyDescent="0.3">
      <c r="A1736" s="50">
        <v>1732</v>
      </c>
      <c r="B1736" s="51">
        <f t="shared" ca="1" si="27"/>
        <v>0.58296495118979197</v>
      </c>
      <c r="C1736" s="48">
        <f t="array" aca="1" ref="C1736" ca="1">MAX(0,ROUND(Inputs!$B$10*Inputs!$B$11+NORMSINV(B1736)*SQRT(Inputs!$B$10*Inputs!$B$11),0))</f>
        <v>505</v>
      </c>
      <c r="D1736" s="52">
        <f ca="1">C1736*Inputs!$B$12</f>
        <v>60600000</v>
      </c>
    </row>
    <row r="1737" spans="1:4" ht="13.5" customHeight="1" x14ac:dyDescent="0.3">
      <c r="A1737" s="46">
        <v>1733</v>
      </c>
      <c r="B1737" s="47">
        <f t="shared" ca="1" si="27"/>
        <v>0.69976828922652534</v>
      </c>
      <c r="C1737" s="48">
        <f t="array" aca="1" ref="C1737" ca="1">MAX(0,ROUND(Inputs!$B$10*Inputs!$B$11+NORMSINV(B1737)*SQRT(Inputs!$B$10*Inputs!$B$11),0))</f>
        <v>512</v>
      </c>
      <c r="D1737" s="49">
        <f ca="1">C1737*Inputs!$B$12</f>
        <v>61440000</v>
      </c>
    </row>
    <row r="1738" spans="1:4" ht="13.5" customHeight="1" x14ac:dyDescent="0.3">
      <c r="A1738" s="50">
        <v>1734</v>
      </c>
      <c r="B1738" s="51">
        <f t="shared" ca="1" si="27"/>
        <v>0.98203852830609539</v>
      </c>
      <c r="C1738" s="48">
        <f t="array" aca="1" ref="C1738" ca="1">MAX(0,ROUND(Inputs!$B$10*Inputs!$B$11+NORMSINV(B1738)*SQRT(Inputs!$B$10*Inputs!$B$11),0))</f>
        <v>547</v>
      </c>
      <c r="D1738" s="52">
        <f ca="1">C1738*Inputs!$B$12</f>
        <v>65640000</v>
      </c>
    </row>
    <row r="1739" spans="1:4" ht="13.5" customHeight="1" x14ac:dyDescent="0.3">
      <c r="A1739" s="46">
        <v>1735</v>
      </c>
      <c r="B1739" s="47">
        <f t="shared" ca="1" si="27"/>
        <v>0.38280564445644893</v>
      </c>
      <c r="C1739" s="48">
        <f t="array" aca="1" ref="C1739" ca="1">MAX(0,ROUND(Inputs!$B$10*Inputs!$B$11+NORMSINV(B1739)*SQRT(Inputs!$B$10*Inputs!$B$11),0))</f>
        <v>493</v>
      </c>
      <c r="D1739" s="49">
        <f ca="1">C1739*Inputs!$B$12</f>
        <v>59160000</v>
      </c>
    </row>
    <row r="1740" spans="1:4" ht="13.5" customHeight="1" x14ac:dyDescent="0.3">
      <c r="A1740" s="50">
        <v>1736</v>
      </c>
      <c r="B1740" s="51">
        <f t="shared" ca="1" si="27"/>
        <v>0.32619223611549153</v>
      </c>
      <c r="C1740" s="48">
        <f t="array" aca="1" ref="C1740" ca="1">MAX(0,ROUND(Inputs!$B$10*Inputs!$B$11+NORMSINV(B1740)*SQRT(Inputs!$B$10*Inputs!$B$11),0))</f>
        <v>490</v>
      </c>
      <c r="D1740" s="52">
        <f ca="1">C1740*Inputs!$B$12</f>
        <v>58800000</v>
      </c>
    </row>
    <row r="1741" spans="1:4" ht="13.5" customHeight="1" x14ac:dyDescent="0.3">
      <c r="A1741" s="46">
        <v>1737</v>
      </c>
      <c r="B1741" s="47">
        <f t="shared" ca="1" si="27"/>
        <v>0.32382138510089875</v>
      </c>
      <c r="C1741" s="48">
        <f t="array" aca="1" ref="C1741" ca="1">MAX(0,ROUND(Inputs!$B$10*Inputs!$B$11+NORMSINV(B1741)*SQRT(Inputs!$B$10*Inputs!$B$11),0))</f>
        <v>490</v>
      </c>
      <c r="D1741" s="49">
        <f ca="1">C1741*Inputs!$B$12</f>
        <v>58800000</v>
      </c>
    </row>
    <row r="1742" spans="1:4" ht="13.5" customHeight="1" x14ac:dyDescent="0.3">
      <c r="A1742" s="50">
        <v>1738</v>
      </c>
      <c r="B1742" s="51">
        <f t="shared" ca="1" si="27"/>
        <v>0.41480646910826224</v>
      </c>
      <c r="C1742" s="48">
        <f t="array" aca="1" ref="C1742" ca="1">MAX(0,ROUND(Inputs!$B$10*Inputs!$B$11+NORMSINV(B1742)*SQRT(Inputs!$B$10*Inputs!$B$11),0))</f>
        <v>495</v>
      </c>
      <c r="D1742" s="52">
        <f ca="1">C1742*Inputs!$B$12</f>
        <v>59400000</v>
      </c>
    </row>
    <row r="1743" spans="1:4" ht="13.5" customHeight="1" x14ac:dyDescent="0.3">
      <c r="A1743" s="46">
        <v>1739</v>
      </c>
      <c r="B1743" s="47">
        <f t="shared" ca="1" si="27"/>
        <v>0.75808762529463769</v>
      </c>
      <c r="C1743" s="48">
        <f t="array" aca="1" ref="C1743" ca="1">MAX(0,ROUND(Inputs!$B$10*Inputs!$B$11+NORMSINV(B1743)*SQRT(Inputs!$B$10*Inputs!$B$11),0))</f>
        <v>516</v>
      </c>
      <c r="D1743" s="49">
        <f ca="1">C1743*Inputs!$B$12</f>
        <v>61920000</v>
      </c>
    </row>
    <row r="1744" spans="1:4" ht="13.5" customHeight="1" x14ac:dyDescent="0.3">
      <c r="A1744" s="50">
        <v>1740</v>
      </c>
      <c r="B1744" s="51">
        <f t="shared" ca="1" si="27"/>
        <v>0.8648179773106407</v>
      </c>
      <c r="C1744" s="48">
        <f t="array" aca="1" ref="C1744" ca="1">MAX(0,ROUND(Inputs!$B$10*Inputs!$B$11+NORMSINV(B1744)*SQRT(Inputs!$B$10*Inputs!$B$11),0))</f>
        <v>525</v>
      </c>
      <c r="D1744" s="52">
        <f ca="1">C1744*Inputs!$B$12</f>
        <v>63000000</v>
      </c>
    </row>
    <row r="1745" spans="1:4" ht="13.5" customHeight="1" x14ac:dyDescent="0.3">
      <c r="A1745" s="46">
        <v>1741</v>
      </c>
      <c r="B1745" s="47">
        <f t="shared" ca="1" si="27"/>
        <v>6.8976730671808317E-2</v>
      </c>
      <c r="C1745" s="48">
        <f t="array" aca="1" ref="C1745" ca="1">MAX(0,ROUND(Inputs!$B$10*Inputs!$B$11+NORMSINV(B1745)*SQRT(Inputs!$B$10*Inputs!$B$11),0))</f>
        <v>467</v>
      </c>
      <c r="D1745" s="49">
        <f ca="1">C1745*Inputs!$B$12</f>
        <v>56040000</v>
      </c>
    </row>
    <row r="1746" spans="1:4" ht="13.5" customHeight="1" x14ac:dyDescent="0.3">
      <c r="A1746" s="50">
        <v>1742</v>
      </c>
      <c r="B1746" s="51">
        <f t="shared" ca="1" si="27"/>
        <v>0.8015837206525972</v>
      </c>
      <c r="C1746" s="48">
        <f t="array" aca="1" ref="C1746" ca="1">MAX(0,ROUND(Inputs!$B$10*Inputs!$B$11+NORMSINV(B1746)*SQRT(Inputs!$B$10*Inputs!$B$11),0))</f>
        <v>519</v>
      </c>
      <c r="D1746" s="52">
        <f ca="1">C1746*Inputs!$B$12</f>
        <v>62280000</v>
      </c>
    </row>
    <row r="1747" spans="1:4" ht="13.5" customHeight="1" x14ac:dyDescent="0.3">
      <c r="A1747" s="46">
        <v>1743</v>
      </c>
      <c r="B1747" s="47">
        <f t="shared" ca="1" si="27"/>
        <v>0.87267387913221073</v>
      </c>
      <c r="C1747" s="48">
        <f t="array" aca="1" ref="C1747" ca="1">MAX(0,ROUND(Inputs!$B$10*Inputs!$B$11+NORMSINV(B1747)*SQRT(Inputs!$B$10*Inputs!$B$11),0))</f>
        <v>525</v>
      </c>
      <c r="D1747" s="49">
        <f ca="1">C1747*Inputs!$B$12</f>
        <v>63000000</v>
      </c>
    </row>
    <row r="1748" spans="1:4" ht="13.5" customHeight="1" x14ac:dyDescent="0.3">
      <c r="A1748" s="50">
        <v>1744</v>
      </c>
      <c r="B1748" s="51">
        <f t="shared" ca="1" si="27"/>
        <v>0.29576591132346963</v>
      </c>
      <c r="C1748" s="48">
        <f t="array" aca="1" ref="C1748" ca="1">MAX(0,ROUND(Inputs!$B$10*Inputs!$B$11+NORMSINV(B1748)*SQRT(Inputs!$B$10*Inputs!$B$11),0))</f>
        <v>488</v>
      </c>
      <c r="D1748" s="52">
        <f ca="1">C1748*Inputs!$B$12</f>
        <v>58560000</v>
      </c>
    </row>
    <row r="1749" spans="1:4" ht="13.5" customHeight="1" x14ac:dyDescent="0.3">
      <c r="A1749" s="46">
        <v>1745</v>
      </c>
      <c r="B1749" s="47">
        <f t="shared" ca="1" si="27"/>
        <v>0.32682731030242163</v>
      </c>
      <c r="C1749" s="48">
        <f t="array" aca="1" ref="C1749" ca="1">MAX(0,ROUND(Inputs!$B$10*Inputs!$B$11+NORMSINV(B1749)*SQRT(Inputs!$B$10*Inputs!$B$11),0))</f>
        <v>490</v>
      </c>
      <c r="D1749" s="49">
        <f ca="1">C1749*Inputs!$B$12</f>
        <v>58800000</v>
      </c>
    </row>
    <row r="1750" spans="1:4" ht="13.5" customHeight="1" x14ac:dyDescent="0.3">
      <c r="A1750" s="50">
        <v>1746</v>
      </c>
      <c r="B1750" s="51">
        <f t="shared" ca="1" si="27"/>
        <v>0.91878295803457888</v>
      </c>
      <c r="C1750" s="48">
        <f t="array" aca="1" ref="C1750" ca="1">MAX(0,ROUND(Inputs!$B$10*Inputs!$B$11+NORMSINV(B1750)*SQRT(Inputs!$B$10*Inputs!$B$11),0))</f>
        <v>531</v>
      </c>
      <c r="D1750" s="52">
        <f ca="1">C1750*Inputs!$B$12</f>
        <v>63720000</v>
      </c>
    </row>
    <row r="1751" spans="1:4" ht="13.5" customHeight="1" x14ac:dyDescent="0.3">
      <c r="A1751" s="46">
        <v>1747</v>
      </c>
      <c r="B1751" s="47">
        <f t="shared" ca="1" si="27"/>
        <v>0.32520448433263427</v>
      </c>
      <c r="C1751" s="48">
        <f t="array" aca="1" ref="C1751" ca="1">MAX(0,ROUND(Inputs!$B$10*Inputs!$B$11+NORMSINV(B1751)*SQRT(Inputs!$B$10*Inputs!$B$11),0))</f>
        <v>490</v>
      </c>
      <c r="D1751" s="49">
        <f ca="1">C1751*Inputs!$B$12</f>
        <v>58800000</v>
      </c>
    </row>
    <row r="1752" spans="1:4" ht="13.5" customHeight="1" x14ac:dyDescent="0.3">
      <c r="A1752" s="50">
        <v>1748</v>
      </c>
      <c r="B1752" s="51">
        <f t="shared" ca="1" si="27"/>
        <v>0.15152207061506506</v>
      </c>
      <c r="C1752" s="48">
        <f t="array" aca="1" ref="C1752" ca="1">MAX(0,ROUND(Inputs!$B$10*Inputs!$B$11+NORMSINV(B1752)*SQRT(Inputs!$B$10*Inputs!$B$11),0))</f>
        <v>477</v>
      </c>
      <c r="D1752" s="52">
        <f ca="1">C1752*Inputs!$B$12</f>
        <v>57240000</v>
      </c>
    </row>
    <row r="1753" spans="1:4" ht="13.5" customHeight="1" x14ac:dyDescent="0.3">
      <c r="A1753" s="46">
        <v>1749</v>
      </c>
      <c r="B1753" s="47">
        <f t="shared" ca="1" si="27"/>
        <v>0.96935618640342669</v>
      </c>
      <c r="C1753" s="48">
        <f t="array" aca="1" ref="C1753" ca="1">MAX(0,ROUND(Inputs!$B$10*Inputs!$B$11+NORMSINV(B1753)*SQRT(Inputs!$B$10*Inputs!$B$11),0))</f>
        <v>542</v>
      </c>
      <c r="D1753" s="49">
        <f ca="1">C1753*Inputs!$B$12</f>
        <v>65040000</v>
      </c>
    </row>
    <row r="1754" spans="1:4" ht="13.5" customHeight="1" x14ac:dyDescent="0.3">
      <c r="A1754" s="50">
        <v>1750</v>
      </c>
      <c r="B1754" s="51">
        <f t="shared" ca="1" si="27"/>
        <v>0.88765357046048554</v>
      </c>
      <c r="C1754" s="48">
        <f t="array" aca="1" ref="C1754" ca="1">MAX(0,ROUND(Inputs!$B$10*Inputs!$B$11+NORMSINV(B1754)*SQRT(Inputs!$B$10*Inputs!$B$11),0))</f>
        <v>527</v>
      </c>
      <c r="D1754" s="52">
        <f ca="1">C1754*Inputs!$B$12</f>
        <v>63240000</v>
      </c>
    </row>
    <row r="1755" spans="1:4" ht="13.5" customHeight="1" x14ac:dyDescent="0.3">
      <c r="A1755" s="46">
        <v>1751</v>
      </c>
      <c r="B1755" s="47">
        <f t="shared" ca="1" si="27"/>
        <v>7.4403306874347375E-2</v>
      </c>
      <c r="C1755" s="48">
        <f t="array" aca="1" ref="C1755" ca="1">MAX(0,ROUND(Inputs!$B$10*Inputs!$B$11+NORMSINV(B1755)*SQRT(Inputs!$B$10*Inputs!$B$11),0))</f>
        <v>468</v>
      </c>
      <c r="D1755" s="49">
        <f ca="1">C1755*Inputs!$B$12</f>
        <v>56160000</v>
      </c>
    </row>
    <row r="1756" spans="1:4" ht="13.5" customHeight="1" x14ac:dyDescent="0.3">
      <c r="A1756" s="50">
        <v>1752</v>
      </c>
      <c r="B1756" s="51">
        <f t="shared" ca="1" si="27"/>
        <v>0.57750452958971332</v>
      </c>
      <c r="C1756" s="48">
        <f t="array" aca="1" ref="C1756" ca="1">MAX(0,ROUND(Inputs!$B$10*Inputs!$B$11+NORMSINV(B1756)*SQRT(Inputs!$B$10*Inputs!$B$11),0))</f>
        <v>504</v>
      </c>
      <c r="D1756" s="52">
        <f ca="1">C1756*Inputs!$B$12</f>
        <v>60480000</v>
      </c>
    </row>
    <row r="1757" spans="1:4" ht="13.5" customHeight="1" x14ac:dyDescent="0.3">
      <c r="A1757" s="46">
        <v>1753</v>
      </c>
      <c r="B1757" s="47">
        <f t="shared" ca="1" si="27"/>
        <v>0.92025834552477592</v>
      </c>
      <c r="C1757" s="48">
        <f t="array" aca="1" ref="C1757" ca="1">MAX(0,ROUND(Inputs!$B$10*Inputs!$B$11+NORMSINV(B1757)*SQRT(Inputs!$B$10*Inputs!$B$11),0))</f>
        <v>531</v>
      </c>
      <c r="D1757" s="49">
        <f ca="1">C1757*Inputs!$B$12</f>
        <v>63720000</v>
      </c>
    </row>
    <row r="1758" spans="1:4" ht="13.5" customHeight="1" x14ac:dyDescent="0.3">
      <c r="A1758" s="50">
        <v>1754</v>
      </c>
      <c r="B1758" s="51">
        <f t="shared" ca="1" si="27"/>
        <v>0.4836014837244732</v>
      </c>
      <c r="C1758" s="48">
        <f t="array" aca="1" ref="C1758" ca="1">MAX(0,ROUND(Inputs!$B$10*Inputs!$B$11+NORMSINV(B1758)*SQRT(Inputs!$B$10*Inputs!$B$11),0))</f>
        <v>499</v>
      </c>
      <c r="D1758" s="52">
        <f ca="1">C1758*Inputs!$B$12</f>
        <v>59880000</v>
      </c>
    </row>
    <row r="1759" spans="1:4" ht="13.5" customHeight="1" x14ac:dyDescent="0.3">
      <c r="A1759" s="46">
        <v>1755</v>
      </c>
      <c r="B1759" s="47">
        <f t="shared" ca="1" si="27"/>
        <v>0.23415330933168854</v>
      </c>
      <c r="C1759" s="48">
        <f t="array" aca="1" ref="C1759" ca="1">MAX(0,ROUND(Inputs!$B$10*Inputs!$B$11+NORMSINV(B1759)*SQRT(Inputs!$B$10*Inputs!$B$11),0))</f>
        <v>484</v>
      </c>
      <c r="D1759" s="49">
        <f ca="1">C1759*Inputs!$B$12</f>
        <v>58080000</v>
      </c>
    </row>
    <row r="1760" spans="1:4" ht="13.5" customHeight="1" x14ac:dyDescent="0.3">
      <c r="A1760" s="50">
        <v>1756</v>
      </c>
      <c r="B1760" s="51">
        <f t="shared" ca="1" si="27"/>
        <v>9.2289326777796998E-2</v>
      </c>
      <c r="C1760" s="48">
        <f t="array" aca="1" ref="C1760" ca="1">MAX(0,ROUND(Inputs!$B$10*Inputs!$B$11+NORMSINV(B1760)*SQRT(Inputs!$B$10*Inputs!$B$11),0))</f>
        <v>470</v>
      </c>
      <c r="D1760" s="52">
        <f ca="1">C1760*Inputs!$B$12</f>
        <v>56400000</v>
      </c>
    </row>
    <row r="1761" spans="1:4" ht="13.5" customHeight="1" x14ac:dyDescent="0.3">
      <c r="A1761" s="46">
        <v>1757</v>
      </c>
      <c r="B1761" s="47">
        <f t="shared" ca="1" si="27"/>
        <v>0.67796887871543066</v>
      </c>
      <c r="C1761" s="48">
        <f t="array" aca="1" ref="C1761" ca="1">MAX(0,ROUND(Inputs!$B$10*Inputs!$B$11+NORMSINV(B1761)*SQRT(Inputs!$B$10*Inputs!$B$11),0))</f>
        <v>510</v>
      </c>
      <c r="D1761" s="49">
        <f ca="1">C1761*Inputs!$B$12</f>
        <v>61200000</v>
      </c>
    </row>
    <row r="1762" spans="1:4" ht="13.5" customHeight="1" x14ac:dyDescent="0.3">
      <c r="A1762" s="50">
        <v>1758</v>
      </c>
      <c r="B1762" s="51">
        <f t="shared" ca="1" si="27"/>
        <v>0.13955543159017647</v>
      </c>
      <c r="C1762" s="48">
        <f t="array" aca="1" ref="C1762" ca="1">MAX(0,ROUND(Inputs!$B$10*Inputs!$B$11+NORMSINV(B1762)*SQRT(Inputs!$B$10*Inputs!$B$11),0))</f>
        <v>476</v>
      </c>
      <c r="D1762" s="52">
        <f ca="1">C1762*Inputs!$B$12</f>
        <v>57120000</v>
      </c>
    </row>
    <row r="1763" spans="1:4" ht="13.5" customHeight="1" x14ac:dyDescent="0.3">
      <c r="A1763" s="46">
        <v>1759</v>
      </c>
      <c r="B1763" s="47">
        <f t="shared" ca="1" si="27"/>
        <v>0.39993626978475194</v>
      </c>
      <c r="C1763" s="48">
        <f t="array" aca="1" ref="C1763" ca="1">MAX(0,ROUND(Inputs!$B$10*Inputs!$B$11+NORMSINV(B1763)*SQRT(Inputs!$B$10*Inputs!$B$11),0))</f>
        <v>494</v>
      </c>
      <c r="D1763" s="49">
        <f ca="1">C1763*Inputs!$B$12</f>
        <v>59280000</v>
      </c>
    </row>
    <row r="1764" spans="1:4" ht="13.5" customHeight="1" x14ac:dyDescent="0.3">
      <c r="A1764" s="50">
        <v>1760</v>
      </c>
      <c r="B1764" s="51">
        <f t="shared" ca="1" si="27"/>
        <v>0.18537205857345074</v>
      </c>
      <c r="C1764" s="48">
        <f t="array" aca="1" ref="C1764" ca="1">MAX(0,ROUND(Inputs!$B$10*Inputs!$B$11+NORMSINV(B1764)*SQRT(Inputs!$B$10*Inputs!$B$11),0))</f>
        <v>480</v>
      </c>
      <c r="D1764" s="52">
        <f ca="1">C1764*Inputs!$B$12</f>
        <v>57600000</v>
      </c>
    </row>
    <row r="1765" spans="1:4" ht="13.5" customHeight="1" x14ac:dyDescent="0.3">
      <c r="A1765" s="46">
        <v>1761</v>
      </c>
      <c r="B1765" s="47">
        <f t="shared" ca="1" si="27"/>
        <v>0.58881076800303855</v>
      </c>
      <c r="C1765" s="48">
        <f t="array" aca="1" ref="C1765" ca="1">MAX(0,ROUND(Inputs!$B$10*Inputs!$B$11+NORMSINV(B1765)*SQRT(Inputs!$B$10*Inputs!$B$11),0))</f>
        <v>505</v>
      </c>
      <c r="D1765" s="49">
        <f ca="1">C1765*Inputs!$B$12</f>
        <v>60600000</v>
      </c>
    </row>
    <row r="1766" spans="1:4" ht="13.5" customHeight="1" x14ac:dyDescent="0.3">
      <c r="A1766" s="50">
        <v>1762</v>
      </c>
      <c r="B1766" s="51">
        <f t="shared" ca="1" si="27"/>
        <v>5.9337438684862076E-2</v>
      </c>
      <c r="C1766" s="48">
        <f t="array" aca="1" ref="C1766" ca="1">MAX(0,ROUND(Inputs!$B$10*Inputs!$B$11+NORMSINV(B1766)*SQRT(Inputs!$B$10*Inputs!$B$11),0))</f>
        <v>465</v>
      </c>
      <c r="D1766" s="52">
        <f ca="1">C1766*Inputs!$B$12</f>
        <v>55800000</v>
      </c>
    </row>
    <row r="1767" spans="1:4" ht="13.5" customHeight="1" x14ac:dyDescent="0.3">
      <c r="A1767" s="46">
        <v>1763</v>
      </c>
      <c r="B1767" s="47">
        <f t="shared" ca="1" si="27"/>
        <v>0.55188237223345771</v>
      </c>
      <c r="C1767" s="48">
        <f t="array" aca="1" ref="C1767" ca="1">MAX(0,ROUND(Inputs!$B$10*Inputs!$B$11+NORMSINV(B1767)*SQRT(Inputs!$B$10*Inputs!$B$11),0))</f>
        <v>503</v>
      </c>
      <c r="D1767" s="49">
        <f ca="1">C1767*Inputs!$B$12</f>
        <v>60360000</v>
      </c>
    </row>
    <row r="1768" spans="1:4" ht="13.5" customHeight="1" x14ac:dyDescent="0.3">
      <c r="A1768" s="50">
        <v>1764</v>
      </c>
      <c r="B1768" s="51">
        <f t="shared" ca="1" si="27"/>
        <v>0.19368290176578218</v>
      </c>
      <c r="C1768" s="48">
        <f t="array" aca="1" ref="C1768" ca="1">MAX(0,ROUND(Inputs!$B$10*Inputs!$B$11+NORMSINV(B1768)*SQRT(Inputs!$B$10*Inputs!$B$11),0))</f>
        <v>481</v>
      </c>
      <c r="D1768" s="52">
        <f ca="1">C1768*Inputs!$B$12</f>
        <v>57720000</v>
      </c>
    </row>
    <row r="1769" spans="1:4" ht="13.5" customHeight="1" x14ac:dyDescent="0.3">
      <c r="A1769" s="46">
        <v>1765</v>
      </c>
      <c r="B1769" s="47">
        <f t="shared" ca="1" si="27"/>
        <v>0.29973097452214659</v>
      </c>
      <c r="C1769" s="48">
        <f t="array" aca="1" ref="C1769" ca="1">MAX(0,ROUND(Inputs!$B$10*Inputs!$B$11+NORMSINV(B1769)*SQRT(Inputs!$B$10*Inputs!$B$11),0))</f>
        <v>488</v>
      </c>
      <c r="D1769" s="49">
        <f ca="1">C1769*Inputs!$B$12</f>
        <v>58560000</v>
      </c>
    </row>
    <row r="1770" spans="1:4" ht="13.5" customHeight="1" x14ac:dyDescent="0.3">
      <c r="A1770" s="50">
        <v>1766</v>
      </c>
      <c r="B1770" s="51">
        <f t="shared" ca="1" si="27"/>
        <v>0.95678961360615977</v>
      </c>
      <c r="C1770" s="48">
        <f t="array" aca="1" ref="C1770" ca="1">MAX(0,ROUND(Inputs!$B$10*Inputs!$B$11+NORMSINV(B1770)*SQRT(Inputs!$B$10*Inputs!$B$11),0))</f>
        <v>538</v>
      </c>
      <c r="D1770" s="52">
        <f ca="1">C1770*Inputs!$B$12</f>
        <v>64560000</v>
      </c>
    </row>
    <row r="1771" spans="1:4" ht="13.5" customHeight="1" x14ac:dyDescent="0.3">
      <c r="A1771" s="46">
        <v>1767</v>
      </c>
      <c r="B1771" s="47">
        <f t="shared" ca="1" si="27"/>
        <v>0.98975193017748586</v>
      </c>
      <c r="C1771" s="48">
        <f t="array" aca="1" ref="C1771" ca="1">MAX(0,ROUND(Inputs!$B$10*Inputs!$B$11+NORMSINV(B1771)*SQRT(Inputs!$B$10*Inputs!$B$11),0))</f>
        <v>552</v>
      </c>
      <c r="D1771" s="49">
        <f ca="1">C1771*Inputs!$B$12</f>
        <v>66240000</v>
      </c>
    </row>
    <row r="1772" spans="1:4" ht="13.5" customHeight="1" x14ac:dyDescent="0.3">
      <c r="A1772" s="50">
        <v>1768</v>
      </c>
      <c r="B1772" s="51">
        <f t="shared" ca="1" si="27"/>
        <v>0.58661448380354908</v>
      </c>
      <c r="C1772" s="48">
        <f t="array" aca="1" ref="C1772" ca="1">MAX(0,ROUND(Inputs!$B$10*Inputs!$B$11+NORMSINV(B1772)*SQRT(Inputs!$B$10*Inputs!$B$11),0))</f>
        <v>505</v>
      </c>
      <c r="D1772" s="52">
        <f ca="1">C1772*Inputs!$B$12</f>
        <v>60600000</v>
      </c>
    </row>
    <row r="1773" spans="1:4" ht="13.5" customHeight="1" x14ac:dyDescent="0.3">
      <c r="A1773" s="46">
        <v>1769</v>
      </c>
      <c r="B1773" s="47">
        <f t="shared" ca="1" si="27"/>
        <v>0.59240361599155411</v>
      </c>
      <c r="C1773" s="48">
        <f t="array" aca="1" ref="C1773" ca="1">MAX(0,ROUND(Inputs!$B$10*Inputs!$B$11+NORMSINV(B1773)*SQRT(Inputs!$B$10*Inputs!$B$11),0))</f>
        <v>505</v>
      </c>
      <c r="D1773" s="49">
        <f ca="1">C1773*Inputs!$B$12</f>
        <v>60600000</v>
      </c>
    </row>
    <row r="1774" spans="1:4" ht="13.5" customHeight="1" x14ac:dyDescent="0.3">
      <c r="A1774" s="50">
        <v>1770</v>
      </c>
      <c r="B1774" s="51">
        <f t="shared" ca="1" si="27"/>
        <v>0.64370381328761117</v>
      </c>
      <c r="C1774" s="48">
        <f t="array" aca="1" ref="C1774" ca="1">MAX(0,ROUND(Inputs!$B$10*Inputs!$B$11+NORMSINV(B1774)*SQRT(Inputs!$B$10*Inputs!$B$11),0))</f>
        <v>508</v>
      </c>
      <c r="D1774" s="52">
        <f ca="1">C1774*Inputs!$B$12</f>
        <v>60960000</v>
      </c>
    </row>
    <row r="1775" spans="1:4" ht="13.5" customHeight="1" x14ac:dyDescent="0.3">
      <c r="A1775" s="46">
        <v>1771</v>
      </c>
      <c r="B1775" s="47">
        <f t="shared" ca="1" si="27"/>
        <v>0.49011172059950936</v>
      </c>
      <c r="C1775" s="48">
        <f t="array" aca="1" ref="C1775" ca="1">MAX(0,ROUND(Inputs!$B$10*Inputs!$B$11+NORMSINV(B1775)*SQRT(Inputs!$B$10*Inputs!$B$11),0))</f>
        <v>499</v>
      </c>
      <c r="D1775" s="49">
        <f ca="1">C1775*Inputs!$B$12</f>
        <v>59880000</v>
      </c>
    </row>
    <row r="1776" spans="1:4" ht="13.5" customHeight="1" x14ac:dyDescent="0.3">
      <c r="A1776" s="50">
        <v>1772</v>
      </c>
      <c r="B1776" s="51">
        <f t="shared" ca="1" si="27"/>
        <v>0.16864229061147296</v>
      </c>
      <c r="C1776" s="48">
        <f t="array" aca="1" ref="C1776" ca="1">MAX(0,ROUND(Inputs!$B$10*Inputs!$B$11+NORMSINV(B1776)*SQRT(Inputs!$B$10*Inputs!$B$11),0))</f>
        <v>479</v>
      </c>
      <c r="D1776" s="52">
        <f ca="1">C1776*Inputs!$B$12</f>
        <v>57480000</v>
      </c>
    </row>
    <row r="1777" spans="1:4" ht="13.5" customHeight="1" x14ac:dyDescent="0.3">
      <c r="A1777" s="46">
        <v>1773</v>
      </c>
      <c r="B1777" s="47">
        <f t="shared" ca="1" si="27"/>
        <v>0.5487786935863298</v>
      </c>
      <c r="C1777" s="48">
        <f t="array" aca="1" ref="C1777" ca="1">MAX(0,ROUND(Inputs!$B$10*Inputs!$B$11+NORMSINV(B1777)*SQRT(Inputs!$B$10*Inputs!$B$11),0))</f>
        <v>503</v>
      </c>
      <c r="D1777" s="49">
        <f ca="1">C1777*Inputs!$B$12</f>
        <v>60360000</v>
      </c>
    </row>
    <row r="1778" spans="1:4" ht="13.5" customHeight="1" x14ac:dyDescent="0.3">
      <c r="A1778" s="50">
        <v>1774</v>
      </c>
      <c r="B1778" s="51">
        <f t="shared" ca="1" si="27"/>
        <v>0.74285635119362103</v>
      </c>
      <c r="C1778" s="48">
        <f t="array" aca="1" ref="C1778" ca="1">MAX(0,ROUND(Inputs!$B$10*Inputs!$B$11+NORMSINV(B1778)*SQRT(Inputs!$B$10*Inputs!$B$11),0))</f>
        <v>515</v>
      </c>
      <c r="D1778" s="52">
        <f ca="1">C1778*Inputs!$B$12</f>
        <v>61800000</v>
      </c>
    </row>
    <row r="1779" spans="1:4" ht="13.5" customHeight="1" x14ac:dyDescent="0.3">
      <c r="A1779" s="46">
        <v>1775</v>
      </c>
      <c r="B1779" s="47">
        <f t="shared" ca="1" si="27"/>
        <v>0.80763911388569576</v>
      </c>
      <c r="C1779" s="48">
        <f t="array" aca="1" ref="C1779" ca="1">MAX(0,ROUND(Inputs!$B$10*Inputs!$B$11+NORMSINV(B1779)*SQRT(Inputs!$B$10*Inputs!$B$11),0))</f>
        <v>519</v>
      </c>
      <c r="D1779" s="49">
        <f ca="1">C1779*Inputs!$B$12</f>
        <v>62280000</v>
      </c>
    </row>
    <row r="1780" spans="1:4" ht="13.5" customHeight="1" x14ac:dyDescent="0.3">
      <c r="A1780" s="50">
        <v>1776</v>
      </c>
      <c r="B1780" s="51">
        <f t="shared" ca="1" si="27"/>
        <v>0.14368334114679038</v>
      </c>
      <c r="C1780" s="48">
        <f t="array" aca="1" ref="C1780" ca="1">MAX(0,ROUND(Inputs!$B$10*Inputs!$B$11+NORMSINV(B1780)*SQRT(Inputs!$B$10*Inputs!$B$11),0))</f>
        <v>476</v>
      </c>
      <c r="D1780" s="52">
        <f ca="1">C1780*Inputs!$B$12</f>
        <v>57120000</v>
      </c>
    </row>
    <row r="1781" spans="1:4" ht="13.5" customHeight="1" x14ac:dyDescent="0.3">
      <c r="A1781" s="46">
        <v>1777</v>
      </c>
      <c r="B1781" s="47">
        <f t="shared" ca="1" si="27"/>
        <v>0.258991239809098</v>
      </c>
      <c r="C1781" s="48">
        <f t="array" aca="1" ref="C1781" ca="1">MAX(0,ROUND(Inputs!$B$10*Inputs!$B$11+NORMSINV(B1781)*SQRT(Inputs!$B$10*Inputs!$B$11),0))</f>
        <v>486</v>
      </c>
      <c r="D1781" s="49">
        <f ca="1">C1781*Inputs!$B$12</f>
        <v>58320000</v>
      </c>
    </row>
    <row r="1782" spans="1:4" ht="13.5" customHeight="1" x14ac:dyDescent="0.3">
      <c r="A1782" s="50">
        <v>1778</v>
      </c>
      <c r="B1782" s="51">
        <f t="shared" ca="1" si="27"/>
        <v>0.6682144762566411</v>
      </c>
      <c r="C1782" s="48">
        <f t="array" aca="1" ref="C1782" ca="1">MAX(0,ROUND(Inputs!$B$10*Inputs!$B$11+NORMSINV(B1782)*SQRT(Inputs!$B$10*Inputs!$B$11),0))</f>
        <v>510</v>
      </c>
      <c r="D1782" s="52">
        <f ca="1">C1782*Inputs!$B$12</f>
        <v>61200000</v>
      </c>
    </row>
    <row r="1783" spans="1:4" ht="13.5" customHeight="1" x14ac:dyDescent="0.3">
      <c r="A1783" s="46">
        <v>1779</v>
      </c>
      <c r="B1783" s="47">
        <f t="shared" ca="1" si="27"/>
        <v>0.82390329473287593</v>
      </c>
      <c r="C1783" s="48">
        <f t="array" aca="1" ref="C1783" ca="1">MAX(0,ROUND(Inputs!$B$10*Inputs!$B$11+NORMSINV(B1783)*SQRT(Inputs!$B$10*Inputs!$B$11),0))</f>
        <v>521</v>
      </c>
      <c r="D1783" s="49">
        <f ca="1">C1783*Inputs!$B$12</f>
        <v>62520000</v>
      </c>
    </row>
    <row r="1784" spans="1:4" ht="13.5" customHeight="1" x14ac:dyDescent="0.3">
      <c r="A1784" s="50">
        <v>1780</v>
      </c>
      <c r="B1784" s="51">
        <f t="shared" ca="1" si="27"/>
        <v>0.11161978682614282</v>
      </c>
      <c r="C1784" s="48">
        <f t="array" aca="1" ref="C1784" ca="1">MAX(0,ROUND(Inputs!$B$10*Inputs!$B$11+NORMSINV(B1784)*SQRT(Inputs!$B$10*Inputs!$B$11),0))</f>
        <v>473</v>
      </c>
      <c r="D1784" s="52">
        <f ca="1">C1784*Inputs!$B$12</f>
        <v>56760000</v>
      </c>
    </row>
    <row r="1785" spans="1:4" ht="13.5" customHeight="1" x14ac:dyDescent="0.3">
      <c r="A1785" s="46">
        <v>1781</v>
      </c>
      <c r="B1785" s="47">
        <f t="shared" ca="1" si="27"/>
        <v>0.98557549305108139</v>
      </c>
      <c r="C1785" s="48">
        <f t="array" aca="1" ref="C1785" ca="1">MAX(0,ROUND(Inputs!$B$10*Inputs!$B$11+NORMSINV(B1785)*SQRT(Inputs!$B$10*Inputs!$B$11),0))</f>
        <v>549</v>
      </c>
      <c r="D1785" s="49">
        <f ca="1">C1785*Inputs!$B$12</f>
        <v>65880000</v>
      </c>
    </row>
    <row r="1786" spans="1:4" ht="13.5" customHeight="1" x14ac:dyDescent="0.3">
      <c r="A1786" s="50">
        <v>1782</v>
      </c>
      <c r="B1786" s="51">
        <f t="shared" ca="1" si="27"/>
        <v>8.0417841583581229E-2</v>
      </c>
      <c r="C1786" s="48">
        <f t="array" aca="1" ref="C1786" ca="1">MAX(0,ROUND(Inputs!$B$10*Inputs!$B$11+NORMSINV(B1786)*SQRT(Inputs!$B$10*Inputs!$B$11),0))</f>
        <v>469</v>
      </c>
      <c r="D1786" s="52">
        <f ca="1">C1786*Inputs!$B$12</f>
        <v>56280000</v>
      </c>
    </row>
    <row r="1787" spans="1:4" ht="13.5" customHeight="1" x14ac:dyDescent="0.3">
      <c r="A1787" s="46">
        <v>1783</v>
      </c>
      <c r="B1787" s="47">
        <f t="shared" ca="1" si="27"/>
        <v>0.49183003116378299</v>
      </c>
      <c r="C1787" s="48">
        <f t="array" aca="1" ref="C1787" ca="1">MAX(0,ROUND(Inputs!$B$10*Inputs!$B$11+NORMSINV(B1787)*SQRT(Inputs!$B$10*Inputs!$B$11),0))</f>
        <v>500</v>
      </c>
      <c r="D1787" s="49">
        <f ca="1">C1787*Inputs!$B$12</f>
        <v>60000000</v>
      </c>
    </row>
    <row r="1788" spans="1:4" ht="13.5" customHeight="1" x14ac:dyDescent="0.3">
      <c r="A1788" s="50">
        <v>1784</v>
      </c>
      <c r="B1788" s="51">
        <f t="shared" ca="1" si="27"/>
        <v>3.5051643240471275E-3</v>
      </c>
      <c r="C1788" s="48">
        <f t="array" aca="1" ref="C1788" ca="1">MAX(0,ROUND(Inputs!$B$10*Inputs!$B$11+NORMSINV(B1788)*SQRT(Inputs!$B$10*Inputs!$B$11),0))</f>
        <v>440</v>
      </c>
      <c r="D1788" s="52">
        <f ca="1">C1788*Inputs!$B$12</f>
        <v>52800000</v>
      </c>
    </row>
    <row r="1789" spans="1:4" ht="13.5" customHeight="1" x14ac:dyDescent="0.3">
      <c r="A1789" s="46">
        <v>1785</v>
      </c>
      <c r="B1789" s="47">
        <f t="shared" ca="1" si="27"/>
        <v>0.37555438037516675</v>
      </c>
      <c r="C1789" s="48">
        <f t="array" aca="1" ref="C1789" ca="1">MAX(0,ROUND(Inputs!$B$10*Inputs!$B$11+NORMSINV(B1789)*SQRT(Inputs!$B$10*Inputs!$B$11),0))</f>
        <v>493</v>
      </c>
      <c r="D1789" s="49">
        <f ca="1">C1789*Inputs!$B$12</f>
        <v>59160000</v>
      </c>
    </row>
    <row r="1790" spans="1:4" ht="13.5" customHeight="1" x14ac:dyDescent="0.3">
      <c r="A1790" s="50">
        <v>1786</v>
      </c>
      <c r="B1790" s="51">
        <f t="shared" ca="1" si="27"/>
        <v>0.55059738531199454</v>
      </c>
      <c r="C1790" s="48">
        <f t="array" aca="1" ref="C1790" ca="1">MAX(0,ROUND(Inputs!$B$10*Inputs!$B$11+NORMSINV(B1790)*SQRT(Inputs!$B$10*Inputs!$B$11),0))</f>
        <v>503</v>
      </c>
      <c r="D1790" s="52">
        <f ca="1">C1790*Inputs!$B$12</f>
        <v>60360000</v>
      </c>
    </row>
    <row r="1791" spans="1:4" ht="13.5" customHeight="1" x14ac:dyDescent="0.3">
      <c r="A1791" s="46">
        <v>1787</v>
      </c>
      <c r="B1791" s="47">
        <f t="shared" ca="1" si="27"/>
        <v>0.47154873811369236</v>
      </c>
      <c r="C1791" s="48">
        <f t="array" aca="1" ref="C1791" ca="1">MAX(0,ROUND(Inputs!$B$10*Inputs!$B$11+NORMSINV(B1791)*SQRT(Inputs!$B$10*Inputs!$B$11),0))</f>
        <v>498</v>
      </c>
      <c r="D1791" s="49">
        <f ca="1">C1791*Inputs!$B$12</f>
        <v>59760000</v>
      </c>
    </row>
    <row r="1792" spans="1:4" ht="13.5" customHeight="1" x14ac:dyDescent="0.3">
      <c r="A1792" s="50">
        <v>1788</v>
      </c>
      <c r="B1792" s="51">
        <f t="shared" ca="1" si="27"/>
        <v>0.3567310993271714</v>
      </c>
      <c r="C1792" s="48">
        <f t="array" aca="1" ref="C1792" ca="1">MAX(0,ROUND(Inputs!$B$10*Inputs!$B$11+NORMSINV(B1792)*SQRT(Inputs!$B$10*Inputs!$B$11),0))</f>
        <v>492</v>
      </c>
      <c r="D1792" s="52">
        <f ca="1">C1792*Inputs!$B$12</f>
        <v>59040000</v>
      </c>
    </row>
    <row r="1793" spans="1:4" ht="13.5" customHeight="1" x14ac:dyDescent="0.3">
      <c r="A1793" s="46">
        <v>1789</v>
      </c>
      <c r="B1793" s="47">
        <f t="shared" ca="1" si="27"/>
        <v>0.62710891054395346</v>
      </c>
      <c r="C1793" s="48">
        <f t="array" aca="1" ref="C1793" ca="1">MAX(0,ROUND(Inputs!$B$10*Inputs!$B$11+NORMSINV(B1793)*SQRT(Inputs!$B$10*Inputs!$B$11),0))</f>
        <v>507</v>
      </c>
      <c r="D1793" s="49">
        <f ca="1">C1793*Inputs!$B$12</f>
        <v>60840000</v>
      </c>
    </row>
    <row r="1794" spans="1:4" ht="13.5" customHeight="1" x14ac:dyDescent="0.3">
      <c r="A1794" s="50">
        <v>1790</v>
      </c>
      <c r="B1794" s="51">
        <f t="shared" ca="1" si="27"/>
        <v>0.3867657775661637</v>
      </c>
      <c r="C1794" s="48">
        <f t="array" aca="1" ref="C1794" ca="1">MAX(0,ROUND(Inputs!$B$10*Inputs!$B$11+NORMSINV(B1794)*SQRT(Inputs!$B$10*Inputs!$B$11),0))</f>
        <v>494</v>
      </c>
      <c r="D1794" s="52">
        <f ca="1">C1794*Inputs!$B$12</f>
        <v>59280000</v>
      </c>
    </row>
    <row r="1795" spans="1:4" ht="13.5" customHeight="1" x14ac:dyDescent="0.3">
      <c r="A1795" s="46">
        <v>1791</v>
      </c>
      <c r="B1795" s="47">
        <f t="shared" ca="1" si="27"/>
        <v>0.72086070338021635</v>
      </c>
      <c r="C1795" s="48">
        <f t="array" aca="1" ref="C1795" ca="1">MAX(0,ROUND(Inputs!$B$10*Inputs!$B$11+NORMSINV(B1795)*SQRT(Inputs!$B$10*Inputs!$B$11),0))</f>
        <v>513</v>
      </c>
      <c r="D1795" s="49">
        <f ca="1">C1795*Inputs!$B$12</f>
        <v>61560000</v>
      </c>
    </row>
    <row r="1796" spans="1:4" ht="13.5" customHeight="1" x14ac:dyDescent="0.3">
      <c r="A1796" s="50">
        <v>1792</v>
      </c>
      <c r="B1796" s="51">
        <f t="shared" ca="1" si="27"/>
        <v>0.87735127675356928</v>
      </c>
      <c r="C1796" s="48">
        <f t="array" aca="1" ref="C1796" ca="1">MAX(0,ROUND(Inputs!$B$10*Inputs!$B$11+NORMSINV(B1796)*SQRT(Inputs!$B$10*Inputs!$B$11),0))</f>
        <v>526</v>
      </c>
      <c r="D1796" s="52">
        <f ca="1">C1796*Inputs!$B$12</f>
        <v>63120000</v>
      </c>
    </row>
    <row r="1797" spans="1:4" ht="13.5" customHeight="1" x14ac:dyDescent="0.3">
      <c r="A1797" s="46">
        <v>1793</v>
      </c>
      <c r="B1797" s="47">
        <f t="shared" ref="B1797:B1860" ca="1" si="28">RAND()</f>
        <v>0.89155463733881679</v>
      </c>
      <c r="C1797" s="48">
        <f t="array" aca="1" ref="C1797" ca="1">MAX(0,ROUND(Inputs!$B$10*Inputs!$B$11+NORMSINV(B1797)*SQRT(Inputs!$B$10*Inputs!$B$11),0))</f>
        <v>528</v>
      </c>
      <c r="D1797" s="49">
        <f ca="1">C1797*Inputs!$B$12</f>
        <v>63360000</v>
      </c>
    </row>
    <row r="1798" spans="1:4" ht="13.5" customHeight="1" x14ac:dyDescent="0.3">
      <c r="A1798" s="50">
        <v>1794</v>
      </c>
      <c r="B1798" s="51">
        <f t="shared" ca="1" si="28"/>
        <v>0.99939897831948954</v>
      </c>
      <c r="C1798" s="48">
        <f t="array" aca="1" ref="C1798" ca="1">MAX(0,ROUND(Inputs!$B$10*Inputs!$B$11+NORMSINV(B1798)*SQRT(Inputs!$B$10*Inputs!$B$11),0))</f>
        <v>572</v>
      </c>
      <c r="D1798" s="52">
        <f ca="1">C1798*Inputs!$B$12</f>
        <v>68640000</v>
      </c>
    </row>
    <row r="1799" spans="1:4" ht="13.5" customHeight="1" x14ac:dyDescent="0.3">
      <c r="A1799" s="46">
        <v>1795</v>
      </c>
      <c r="B1799" s="47">
        <f t="shared" ca="1" si="28"/>
        <v>0.72426307890828856</v>
      </c>
      <c r="C1799" s="48">
        <f t="array" aca="1" ref="C1799" ca="1">MAX(0,ROUND(Inputs!$B$10*Inputs!$B$11+NORMSINV(B1799)*SQRT(Inputs!$B$10*Inputs!$B$11),0))</f>
        <v>513</v>
      </c>
      <c r="D1799" s="49">
        <f ca="1">C1799*Inputs!$B$12</f>
        <v>61560000</v>
      </c>
    </row>
    <row r="1800" spans="1:4" ht="13.5" customHeight="1" x14ac:dyDescent="0.3">
      <c r="A1800" s="50">
        <v>1796</v>
      </c>
      <c r="B1800" s="51">
        <f t="shared" ca="1" si="28"/>
        <v>5.119297415607782E-2</v>
      </c>
      <c r="C1800" s="48">
        <f t="array" aca="1" ref="C1800" ca="1">MAX(0,ROUND(Inputs!$B$10*Inputs!$B$11+NORMSINV(B1800)*SQRT(Inputs!$B$10*Inputs!$B$11),0))</f>
        <v>463</v>
      </c>
      <c r="D1800" s="52">
        <f ca="1">C1800*Inputs!$B$12</f>
        <v>55560000</v>
      </c>
    </row>
    <row r="1801" spans="1:4" ht="13.5" customHeight="1" x14ac:dyDescent="0.3">
      <c r="A1801" s="46">
        <v>1797</v>
      </c>
      <c r="B1801" s="47">
        <f t="shared" ca="1" si="28"/>
        <v>0.49622003222162914</v>
      </c>
      <c r="C1801" s="48">
        <f t="array" aca="1" ref="C1801" ca="1">MAX(0,ROUND(Inputs!$B$10*Inputs!$B$11+NORMSINV(B1801)*SQRT(Inputs!$B$10*Inputs!$B$11),0))</f>
        <v>500</v>
      </c>
      <c r="D1801" s="49">
        <f ca="1">C1801*Inputs!$B$12</f>
        <v>60000000</v>
      </c>
    </row>
    <row r="1802" spans="1:4" ht="13.5" customHeight="1" x14ac:dyDescent="0.3">
      <c r="A1802" s="50">
        <v>1798</v>
      </c>
      <c r="B1802" s="51">
        <f t="shared" ca="1" si="28"/>
        <v>0.92729240616123421</v>
      </c>
      <c r="C1802" s="48">
        <f t="array" aca="1" ref="C1802" ca="1">MAX(0,ROUND(Inputs!$B$10*Inputs!$B$11+NORMSINV(B1802)*SQRT(Inputs!$B$10*Inputs!$B$11),0))</f>
        <v>533</v>
      </c>
      <c r="D1802" s="52">
        <f ca="1">C1802*Inputs!$B$12</f>
        <v>63960000</v>
      </c>
    </row>
    <row r="1803" spans="1:4" ht="13.5" customHeight="1" x14ac:dyDescent="0.3">
      <c r="A1803" s="46">
        <v>1799</v>
      </c>
      <c r="B1803" s="47">
        <f t="shared" ca="1" si="28"/>
        <v>0.12940020928751261</v>
      </c>
      <c r="C1803" s="48">
        <f t="array" aca="1" ref="C1803" ca="1">MAX(0,ROUND(Inputs!$B$10*Inputs!$B$11+NORMSINV(B1803)*SQRT(Inputs!$B$10*Inputs!$B$11),0))</f>
        <v>475</v>
      </c>
      <c r="D1803" s="49">
        <f ca="1">C1803*Inputs!$B$12</f>
        <v>57000000</v>
      </c>
    </row>
    <row r="1804" spans="1:4" ht="13.5" customHeight="1" x14ac:dyDescent="0.3">
      <c r="A1804" s="50">
        <v>1800</v>
      </c>
      <c r="B1804" s="51">
        <f t="shared" ca="1" si="28"/>
        <v>2.9489079040125543E-2</v>
      </c>
      <c r="C1804" s="48">
        <f t="array" aca="1" ref="C1804" ca="1">MAX(0,ROUND(Inputs!$B$10*Inputs!$B$11+NORMSINV(B1804)*SQRT(Inputs!$B$10*Inputs!$B$11),0))</f>
        <v>458</v>
      </c>
      <c r="D1804" s="52">
        <f ca="1">C1804*Inputs!$B$12</f>
        <v>54960000</v>
      </c>
    </row>
    <row r="1805" spans="1:4" ht="13.5" customHeight="1" x14ac:dyDescent="0.3">
      <c r="A1805" s="46">
        <v>1801</v>
      </c>
      <c r="B1805" s="47">
        <f t="shared" ca="1" si="28"/>
        <v>0.75020586276578727</v>
      </c>
      <c r="C1805" s="48">
        <f t="array" aca="1" ref="C1805" ca="1">MAX(0,ROUND(Inputs!$B$10*Inputs!$B$11+NORMSINV(B1805)*SQRT(Inputs!$B$10*Inputs!$B$11),0))</f>
        <v>515</v>
      </c>
      <c r="D1805" s="49">
        <f ca="1">C1805*Inputs!$B$12</f>
        <v>61800000</v>
      </c>
    </row>
    <row r="1806" spans="1:4" ht="13.5" customHeight="1" x14ac:dyDescent="0.3">
      <c r="A1806" s="50">
        <v>1802</v>
      </c>
      <c r="B1806" s="51">
        <f t="shared" ca="1" si="28"/>
        <v>0.17289760394727527</v>
      </c>
      <c r="C1806" s="48">
        <f t="array" aca="1" ref="C1806" ca="1">MAX(0,ROUND(Inputs!$B$10*Inputs!$B$11+NORMSINV(B1806)*SQRT(Inputs!$B$10*Inputs!$B$11),0))</f>
        <v>479</v>
      </c>
      <c r="D1806" s="52">
        <f ca="1">C1806*Inputs!$B$12</f>
        <v>57480000</v>
      </c>
    </row>
    <row r="1807" spans="1:4" ht="13.5" customHeight="1" x14ac:dyDescent="0.3">
      <c r="A1807" s="46">
        <v>1803</v>
      </c>
      <c r="B1807" s="47">
        <f t="shared" ca="1" si="28"/>
        <v>0.9695790416236334</v>
      </c>
      <c r="C1807" s="48">
        <f t="array" aca="1" ref="C1807" ca="1">MAX(0,ROUND(Inputs!$B$10*Inputs!$B$11+NORMSINV(B1807)*SQRT(Inputs!$B$10*Inputs!$B$11),0))</f>
        <v>542</v>
      </c>
      <c r="D1807" s="49">
        <f ca="1">C1807*Inputs!$B$12</f>
        <v>65040000</v>
      </c>
    </row>
    <row r="1808" spans="1:4" ht="13.5" customHeight="1" x14ac:dyDescent="0.3">
      <c r="A1808" s="50">
        <v>1804</v>
      </c>
      <c r="B1808" s="51">
        <f t="shared" ca="1" si="28"/>
        <v>9.6455428148756184E-3</v>
      </c>
      <c r="C1808" s="48">
        <f t="array" aca="1" ref="C1808" ca="1">MAX(0,ROUND(Inputs!$B$10*Inputs!$B$11+NORMSINV(B1808)*SQRT(Inputs!$B$10*Inputs!$B$11),0))</f>
        <v>448</v>
      </c>
      <c r="D1808" s="52">
        <f ca="1">C1808*Inputs!$B$12</f>
        <v>53760000</v>
      </c>
    </row>
    <row r="1809" spans="1:4" ht="13.5" customHeight="1" x14ac:dyDescent="0.3">
      <c r="A1809" s="46">
        <v>1805</v>
      </c>
      <c r="B1809" s="47">
        <f t="shared" ca="1" si="28"/>
        <v>0.92542433991888062</v>
      </c>
      <c r="C1809" s="48">
        <f t="array" aca="1" ref="C1809" ca="1">MAX(0,ROUND(Inputs!$B$10*Inputs!$B$11+NORMSINV(B1809)*SQRT(Inputs!$B$10*Inputs!$B$11),0))</f>
        <v>532</v>
      </c>
      <c r="D1809" s="49">
        <f ca="1">C1809*Inputs!$B$12</f>
        <v>63840000</v>
      </c>
    </row>
    <row r="1810" spans="1:4" ht="13.5" customHeight="1" x14ac:dyDescent="0.3">
      <c r="A1810" s="50">
        <v>1806</v>
      </c>
      <c r="B1810" s="51">
        <f t="shared" ca="1" si="28"/>
        <v>0.50629877349091934</v>
      </c>
      <c r="C1810" s="48">
        <f t="array" aca="1" ref="C1810" ca="1">MAX(0,ROUND(Inputs!$B$10*Inputs!$B$11+NORMSINV(B1810)*SQRT(Inputs!$B$10*Inputs!$B$11),0))</f>
        <v>500</v>
      </c>
      <c r="D1810" s="52">
        <f ca="1">C1810*Inputs!$B$12</f>
        <v>60000000</v>
      </c>
    </row>
    <row r="1811" spans="1:4" ht="13.5" customHeight="1" x14ac:dyDescent="0.3">
      <c r="A1811" s="46">
        <v>1807</v>
      </c>
      <c r="B1811" s="47">
        <f t="shared" ca="1" si="28"/>
        <v>0.59998075047101351</v>
      </c>
      <c r="C1811" s="48">
        <f t="array" aca="1" ref="C1811" ca="1">MAX(0,ROUND(Inputs!$B$10*Inputs!$B$11+NORMSINV(B1811)*SQRT(Inputs!$B$10*Inputs!$B$11),0))</f>
        <v>506</v>
      </c>
      <c r="D1811" s="49">
        <f ca="1">C1811*Inputs!$B$12</f>
        <v>60720000</v>
      </c>
    </row>
    <row r="1812" spans="1:4" ht="13.5" customHeight="1" x14ac:dyDescent="0.3">
      <c r="A1812" s="50">
        <v>1808</v>
      </c>
      <c r="B1812" s="51">
        <f t="shared" ca="1" si="28"/>
        <v>0.70491666616604887</v>
      </c>
      <c r="C1812" s="48">
        <f t="array" aca="1" ref="C1812" ca="1">MAX(0,ROUND(Inputs!$B$10*Inputs!$B$11+NORMSINV(B1812)*SQRT(Inputs!$B$10*Inputs!$B$11),0))</f>
        <v>512</v>
      </c>
      <c r="D1812" s="52">
        <f ca="1">C1812*Inputs!$B$12</f>
        <v>61440000</v>
      </c>
    </row>
    <row r="1813" spans="1:4" ht="13.5" customHeight="1" x14ac:dyDescent="0.3">
      <c r="A1813" s="46">
        <v>1809</v>
      </c>
      <c r="B1813" s="47">
        <f t="shared" ca="1" si="28"/>
        <v>0.14602316711323571</v>
      </c>
      <c r="C1813" s="48">
        <f t="array" aca="1" ref="C1813" ca="1">MAX(0,ROUND(Inputs!$B$10*Inputs!$B$11+NORMSINV(B1813)*SQRT(Inputs!$B$10*Inputs!$B$11),0))</f>
        <v>476</v>
      </c>
      <c r="D1813" s="49">
        <f ca="1">C1813*Inputs!$B$12</f>
        <v>57120000</v>
      </c>
    </row>
    <row r="1814" spans="1:4" ht="13.5" customHeight="1" x14ac:dyDescent="0.3">
      <c r="A1814" s="50">
        <v>1810</v>
      </c>
      <c r="B1814" s="51">
        <f t="shared" ca="1" si="28"/>
        <v>0.47076479575229102</v>
      </c>
      <c r="C1814" s="48">
        <f t="array" aca="1" ref="C1814" ca="1">MAX(0,ROUND(Inputs!$B$10*Inputs!$B$11+NORMSINV(B1814)*SQRT(Inputs!$B$10*Inputs!$B$11),0))</f>
        <v>498</v>
      </c>
      <c r="D1814" s="52">
        <f ca="1">C1814*Inputs!$B$12</f>
        <v>59760000</v>
      </c>
    </row>
    <row r="1815" spans="1:4" ht="13.5" customHeight="1" x14ac:dyDescent="0.3">
      <c r="A1815" s="46">
        <v>1811</v>
      </c>
      <c r="B1815" s="47">
        <f t="shared" ca="1" si="28"/>
        <v>0.85368293048715405</v>
      </c>
      <c r="C1815" s="48">
        <f t="array" aca="1" ref="C1815" ca="1">MAX(0,ROUND(Inputs!$B$10*Inputs!$B$11+NORMSINV(B1815)*SQRT(Inputs!$B$10*Inputs!$B$11),0))</f>
        <v>524</v>
      </c>
      <c r="D1815" s="49">
        <f ca="1">C1815*Inputs!$B$12</f>
        <v>62880000</v>
      </c>
    </row>
    <row r="1816" spans="1:4" ht="13.5" customHeight="1" x14ac:dyDescent="0.3">
      <c r="A1816" s="50">
        <v>1812</v>
      </c>
      <c r="B1816" s="51">
        <f t="shared" ca="1" si="28"/>
        <v>0.19359623543190385</v>
      </c>
      <c r="C1816" s="48">
        <f t="array" aca="1" ref="C1816" ca="1">MAX(0,ROUND(Inputs!$B$10*Inputs!$B$11+NORMSINV(B1816)*SQRT(Inputs!$B$10*Inputs!$B$11),0))</f>
        <v>481</v>
      </c>
      <c r="D1816" s="52">
        <f ca="1">C1816*Inputs!$B$12</f>
        <v>57720000</v>
      </c>
    </row>
    <row r="1817" spans="1:4" ht="13.5" customHeight="1" x14ac:dyDescent="0.3">
      <c r="A1817" s="46">
        <v>1813</v>
      </c>
      <c r="B1817" s="47">
        <f t="shared" ca="1" si="28"/>
        <v>0.53021612043934019</v>
      </c>
      <c r="C1817" s="48">
        <f t="array" aca="1" ref="C1817" ca="1">MAX(0,ROUND(Inputs!$B$10*Inputs!$B$11+NORMSINV(B1817)*SQRT(Inputs!$B$10*Inputs!$B$11),0))</f>
        <v>502</v>
      </c>
      <c r="D1817" s="49">
        <f ca="1">C1817*Inputs!$B$12</f>
        <v>60240000</v>
      </c>
    </row>
    <row r="1818" spans="1:4" ht="13.5" customHeight="1" x14ac:dyDescent="0.3">
      <c r="A1818" s="50">
        <v>1814</v>
      </c>
      <c r="B1818" s="51">
        <f t="shared" ca="1" si="28"/>
        <v>0.6679132465657015</v>
      </c>
      <c r="C1818" s="48">
        <f t="array" aca="1" ref="C1818" ca="1">MAX(0,ROUND(Inputs!$B$10*Inputs!$B$11+NORMSINV(B1818)*SQRT(Inputs!$B$10*Inputs!$B$11),0))</f>
        <v>510</v>
      </c>
      <c r="D1818" s="52">
        <f ca="1">C1818*Inputs!$B$12</f>
        <v>61200000</v>
      </c>
    </row>
    <row r="1819" spans="1:4" ht="13.5" customHeight="1" x14ac:dyDescent="0.3">
      <c r="A1819" s="46">
        <v>1815</v>
      </c>
      <c r="B1819" s="47">
        <f t="shared" ca="1" si="28"/>
        <v>4.3048552065514389E-3</v>
      </c>
      <c r="C1819" s="48">
        <f t="array" aca="1" ref="C1819" ca="1">MAX(0,ROUND(Inputs!$B$10*Inputs!$B$11+NORMSINV(B1819)*SQRT(Inputs!$B$10*Inputs!$B$11),0))</f>
        <v>441</v>
      </c>
      <c r="D1819" s="49">
        <f ca="1">C1819*Inputs!$B$12</f>
        <v>52920000</v>
      </c>
    </row>
    <row r="1820" spans="1:4" ht="13.5" customHeight="1" x14ac:dyDescent="0.3">
      <c r="A1820" s="50">
        <v>1816</v>
      </c>
      <c r="B1820" s="51">
        <f t="shared" ca="1" si="28"/>
        <v>0.7278989371000113</v>
      </c>
      <c r="C1820" s="48">
        <f t="array" aca="1" ref="C1820" ca="1">MAX(0,ROUND(Inputs!$B$10*Inputs!$B$11+NORMSINV(B1820)*SQRT(Inputs!$B$10*Inputs!$B$11),0))</f>
        <v>514</v>
      </c>
      <c r="D1820" s="52">
        <f ca="1">C1820*Inputs!$B$12</f>
        <v>61680000</v>
      </c>
    </row>
    <row r="1821" spans="1:4" ht="13.5" customHeight="1" x14ac:dyDescent="0.3">
      <c r="A1821" s="46">
        <v>1817</v>
      </c>
      <c r="B1821" s="47">
        <f t="shared" ca="1" si="28"/>
        <v>0.50329229047514801</v>
      </c>
      <c r="C1821" s="48">
        <f t="array" aca="1" ref="C1821" ca="1">MAX(0,ROUND(Inputs!$B$10*Inputs!$B$11+NORMSINV(B1821)*SQRT(Inputs!$B$10*Inputs!$B$11),0))</f>
        <v>500</v>
      </c>
      <c r="D1821" s="49">
        <f ca="1">C1821*Inputs!$B$12</f>
        <v>60000000</v>
      </c>
    </row>
    <row r="1822" spans="1:4" ht="13.5" customHeight="1" x14ac:dyDescent="0.3">
      <c r="A1822" s="50">
        <v>1818</v>
      </c>
      <c r="B1822" s="51">
        <f t="shared" ca="1" si="28"/>
        <v>0.72756771582777258</v>
      </c>
      <c r="C1822" s="48">
        <f t="array" aca="1" ref="C1822" ca="1">MAX(0,ROUND(Inputs!$B$10*Inputs!$B$11+NORMSINV(B1822)*SQRT(Inputs!$B$10*Inputs!$B$11),0))</f>
        <v>514</v>
      </c>
      <c r="D1822" s="52">
        <f ca="1">C1822*Inputs!$B$12</f>
        <v>61680000</v>
      </c>
    </row>
    <row r="1823" spans="1:4" ht="13.5" customHeight="1" x14ac:dyDescent="0.3">
      <c r="A1823" s="46">
        <v>1819</v>
      </c>
      <c r="B1823" s="47">
        <f t="shared" ca="1" si="28"/>
        <v>0.32041929624916821</v>
      </c>
      <c r="C1823" s="48">
        <f t="array" aca="1" ref="C1823" ca="1">MAX(0,ROUND(Inputs!$B$10*Inputs!$B$11+NORMSINV(B1823)*SQRT(Inputs!$B$10*Inputs!$B$11),0))</f>
        <v>490</v>
      </c>
      <c r="D1823" s="49">
        <f ca="1">C1823*Inputs!$B$12</f>
        <v>58800000</v>
      </c>
    </row>
    <row r="1824" spans="1:4" ht="13.5" customHeight="1" x14ac:dyDescent="0.3">
      <c r="A1824" s="50">
        <v>1820</v>
      </c>
      <c r="B1824" s="51">
        <f t="shared" ca="1" si="28"/>
        <v>0.62402625851849169</v>
      </c>
      <c r="C1824" s="48">
        <f t="array" aca="1" ref="C1824" ca="1">MAX(0,ROUND(Inputs!$B$10*Inputs!$B$11+NORMSINV(B1824)*SQRT(Inputs!$B$10*Inputs!$B$11),0))</f>
        <v>507</v>
      </c>
      <c r="D1824" s="52">
        <f ca="1">C1824*Inputs!$B$12</f>
        <v>60840000</v>
      </c>
    </row>
    <row r="1825" spans="1:4" ht="13.5" customHeight="1" x14ac:dyDescent="0.3">
      <c r="A1825" s="46">
        <v>1821</v>
      </c>
      <c r="B1825" s="47">
        <f t="shared" ca="1" si="28"/>
        <v>0.31359721863029277</v>
      </c>
      <c r="C1825" s="48">
        <f t="array" aca="1" ref="C1825" ca="1">MAX(0,ROUND(Inputs!$B$10*Inputs!$B$11+NORMSINV(B1825)*SQRT(Inputs!$B$10*Inputs!$B$11),0))</f>
        <v>489</v>
      </c>
      <c r="D1825" s="49">
        <f ca="1">C1825*Inputs!$B$12</f>
        <v>58680000</v>
      </c>
    </row>
    <row r="1826" spans="1:4" ht="13.5" customHeight="1" x14ac:dyDescent="0.3">
      <c r="A1826" s="50">
        <v>1822</v>
      </c>
      <c r="B1826" s="51">
        <f t="shared" ca="1" si="28"/>
        <v>0.42142520879144785</v>
      </c>
      <c r="C1826" s="48">
        <f t="array" aca="1" ref="C1826" ca="1">MAX(0,ROUND(Inputs!$B$10*Inputs!$B$11+NORMSINV(B1826)*SQRT(Inputs!$B$10*Inputs!$B$11),0))</f>
        <v>496</v>
      </c>
      <c r="D1826" s="52">
        <f ca="1">C1826*Inputs!$B$12</f>
        <v>59520000</v>
      </c>
    </row>
    <row r="1827" spans="1:4" ht="13.5" customHeight="1" x14ac:dyDescent="0.3">
      <c r="A1827" s="46">
        <v>1823</v>
      </c>
      <c r="B1827" s="47">
        <f t="shared" ca="1" si="28"/>
        <v>0.10448641365427125</v>
      </c>
      <c r="C1827" s="48">
        <f t="array" aca="1" ref="C1827" ca="1">MAX(0,ROUND(Inputs!$B$10*Inputs!$B$11+NORMSINV(B1827)*SQRT(Inputs!$B$10*Inputs!$B$11),0))</f>
        <v>472</v>
      </c>
      <c r="D1827" s="49">
        <f ca="1">C1827*Inputs!$B$12</f>
        <v>56640000</v>
      </c>
    </row>
    <row r="1828" spans="1:4" ht="13.5" customHeight="1" x14ac:dyDescent="0.3">
      <c r="A1828" s="50">
        <v>1824</v>
      </c>
      <c r="B1828" s="51">
        <f t="shared" ca="1" si="28"/>
        <v>0.72250791954021687</v>
      </c>
      <c r="C1828" s="48">
        <f t="array" aca="1" ref="C1828" ca="1">MAX(0,ROUND(Inputs!$B$10*Inputs!$B$11+NORMSINV(B1828)*SQRT(Inputs!$B$10*Inputs!$B$11),0))</f>
        <v>513</v>
      </c>
      <c r="D1828" s="52">
        <f ca="1">C1828*Inputs!$B$12</f>
        <v>61560000</v>
      </c>
    </row>
    <row r="1829" spans="1:4" ht="13.5" customHeight="1" x14ac:dyDescent="0.3">
      <c r="A1829" s="46">
        <v>1825</v>
      </c>
      <c r="B1829" s="47">
        <f t="shared" ca="1" si="28"/>
        <v>0.48545483383817567</v>
      </c>
      <c r="C1829" s="48">
        <f t="array" aca="1" ref="C1829" ca="1">MAX(0,ROUND(Inputs!$B$10*Inputs!$B$11+NORMSINV(B1829)*SQRT(Inputs!$B$10*Inputs!$B$11),0))</f>
        <v>499</v>
      </c>
      <c r="D1829" s="49">
        <f ca="1">C1829*Inputs!$B$12</f>
        <v>59880000</v>
      </c>
    </row>
    <row r="1830" spans="1:4" ht="13.5" customHeight="1" x14ac:dyDescent="0.3">
      <c r="A1830" s="50">
        <v>1826</v>
      </c>
      <c r="B1830" s="51">
        <f t="shared" ca="1" si="28"/>
        <v>0.56773054598436912</v>
      </c>
      <c r="C1830" s="48">
        <f t="array" aca="1" ref="C1830" ca="1">MAX(0,ROUND(Inputs!$B$10*Inputs!$B$11+NORMSINV(B1830)*SQRT(Inputs!$B$10*Inputs!$B$11),0))</f>
        <v>504</v>
      </c>
      <c r="D1830" s="52">
        <f ca="1">C1830*Inputs!$B$12</f>
        <v>60480000</v>
      </c>
    </row>
    <row r="1831" spans="1:4" ht="13.5" customHeight="1" x14ac:dyDescent="0.3">
      <c r="A1831" s="46">
        <v>1827</v>
      </c>
      <c r="B1831" s="47">
        <f t="shared" ca="1" si="28"/>
        <v>0.5784266844639997</v>
      </c>
      <c r="C1831" s="48">
        <f t="array" aca="1" ref="C1831" ca="1">MAX(0,ROUND(Inputs!$B$10*Inputs!$B$11+NORMSINV(B1831)*SQRT(Inputs!$B$10*Inputs!$B$11),0))</f>
        <v>504</v>
      </c>
      <c r="D1831" s="49">
        <f ca="1">C1831*Inputs!$B$12</f>
        <v>60480000</v>
      </c>
    </row>
    <row r="1832" spans="1:4" ht="13.5" customHeight="1" x14ac:dyDescent="0.3">
      <c r="A1832" s="50">
        <v>1828</v>
      </c>
      <c r="B1832" s="51">
        <f t="shared" ca="1" si="28"/>
        <v>0.26885403282776732</v>
      </c>
      <c r="C1832" s="48">
        <f t="array" aca="1" ref="C1832" ca="1">MAX(0,ROUND(Inputs!$B$10*Inputs!$B$11+NORMSINV(B1832)*SQRT(Inputs!$B$10*Inputs!$B$11),0))</f>
        <v>486</v>
      </c>
      <c r="D1832" s="52">
        <f ca="1">C1832*Inputs!$B$12</f>
        <v>58320000</v>
      </c>
    </row>
    <row r="1833" spans="1:4" ht="13.5" customHeight="1" x14ac:dyDescent="0.3">
      <c r="A1833" s="46">
        <v>1829</v>
      </c>
      <c r="B1833" s="47">
        <f t="shared" ca="1" si="28"/>
        <v>0.80415544246536841</v>
      </c>
      <c r="C1833" s="48">
        <f t="array" aca="1" ref="C1833" ca="1">MAX(0,ROUND(Inputs!$B$10*Inputs!$B$11+NORMSINV(B1833)*SQRT(Inputs!$B$10*Inputs!$B$11),0))</f>
        <v>519</v>
      </c>
      <c r="D1833" s="49">
        <f ca="1">C1833*Inputs!$B$12</f>
        <v>62280000</v>
      </c>
    </row>
    <row r="1834" spans="1:4" ht="13.5" customHeight="1" x14ac:dyDescent="0.3">
      <c r="A1834" s="50">
        <v>1830</v>
      </c>
      <c r="B1834" s="51">
        <f t="shared" ca="1" si="28"/>
        <v>0.73812726284731411</v>
      </c>
      <c r="C1834" s="48">
        <f t="array" aca="1" ref="C1834" ca="1">MAX(0,ROUND(Inputs!$B$10*Inputs!$B$11+NORMSINV(B1834)*SQRT(Inputs!$B$10*Inputs!$B$11),0))</f>
        <v>514</v>
      </c>
      <c r="D1834" s="52">
        <f ca="1">C1834*Inputs!$B$12</f>
        <v>61680000</v>
      </c>
    </row>
    <row r="1835" spans="1:4" ht="13.5" customHeight="1" x14ac:dyDescent="0.3">
      <c r="A1835" s="46">
        <v>1831</v>
      </c>
      <c r="B1835" s="47">
        <f t="shared" ca="1" si="28"/>
        <v>0.44225007455634968</v>
      </c>
      <c r="C1835" s="48">
        <f t="array" aca="1" ref="C1835" ca="1">MAX(0,ROUND(Inputs!$B$10*Inputs!$B$11+NORMSINV(B1835)*SQRT(Inputs!$B$10*Inputs!$B$11),0))</f>
        <v>497</v>
      </c>
      <c r="D1835" s="49">
        <f ca="1">C1835*Inputs!$B$12</f>
        <v>59640000</v>
      </c>
    </row>
    <row r="1836" spans="1:4" ht="13.5" customHeight="1" x14ac:dyDescent="0.3">
      <c r="A1836" s="50">
        <v>1832</v>
      </c>
      <c r="B1836" s="51">
        <f t="shared" ca="1" si="28"/>
        <v>0.75672970196669742</v>
      </c>
      <c r="C1836" s="48">
        <f t="array" aca="1" ref="C1836" ca="1">MAX(0,ROUND(Inputs!$B$10*Inputs!$B$11+NORMSINV(B1836)*SQRT(Inputs!$B$10*Inputs!$B$11),0))</f>
        <v>516</v>
      </c>
      <c r="D1836" s="52">
        <f ca="1">C1836*Inputs!$B$12</f>
        <v>61920000</v>
      </c>
    </row>
    <row r="1837" spans="1:4" ht="13.5" customHeight="1" x14ac:dyDescent="0.3">
      <c r="A1837" s="46">
        <v>1833</v>
      </c>
      <c r="B1837" s="47">
        <f t="shared" ca="1" si="28"/>
        <v>7.3023312126515805E-2</v>
      </c>
      <c r="C1837" s="48">
        <f t="array" aca="1" ref="C1837" ca="1">MAX(0,ROUND(Inputs!$B$10*Inputs!$B$11+NORMSINV(B1837)*SQRT(Inputs!$B$10*Inputs!$B$11),0))</f>
        <v>467</v>
      </c>
      <c r="D1837" s="49">
        <f ca="1">C1837*Inputs!$B$12</f>
        <v>56040000</v>
      </c>
    </row>
    <row r="1838" spans="1:4" ht="13.5" customHeight="1" x14ac:dyDescent="0.3">
      <c r="A1838" s="50">
        <v>1834</v>
      </c>
      <c r="B1838" s="51">
        <f t="shared" ca="1" si="28"/>
        <v>0.52777336716322731</v>
      </c>
      <c r="C1838" s="48">
        <f t="array" aca="1" ref="C1838" ca="1">MAX(0,ROUND(Inputs!$B$10*Inputs!$B$11+NORMSINV(B1838)*SQRT(Inputs!$B$10*Inputs!$B$11),0))</f>
        <v>502</v>
      </c>
      <c r="D1838" s="52">
        <f ca="1">C1838*Inputs!$B$12</f>
        <v>60240000</v>
      </c>
    </row>
    <row r="1839" spans="1:4" ht="13.5" customHeight="1" x14ac:dyDescent="0.3">
      <c r="A1839" s="46">
        <v>1835</v>
      </c>
      <c r="B1839" s="47">
        <f t="shared" ca="1" si="28"/>
        <v>0.78464522823752225</v>
      </c>
      <c r="C1839" s="48">
        <f t="array" aca="1" ref="C1839" ca="1">MAX(0,ROUND(Inputs!$B$10*Inputs!$B$11+NORMSINV(B1839)*SQRT(Inputs!$B$10*Inputs!$B$11),0))</f>
        <v>518</v>
      </c>
      <c r="D1839" s="49">
        <f ca="1">C1839*Inputs!$B$12</f>
        <v>62160000</v>
      </c>
    </row>
    <row r="1840" spans="1:4" ht="13.5" customHeight="1" x14ac:dyDescent="0.3">
      <c r="A1840" s="50">
        <v>1836</v>
      </c>
      <c r="B1840" s="51">
        <f t="shared" ca="1" si="28"/>
        <v>0.52002350202342273</v>
      </c>
      <c r="C1840" s="48">
        <f t="array" aca="1" ref="C1840" ca="1">MAX(0,ROUND(Inputs!$B$10*Inputs!$B$11+NORMSINV(B1840)*SQRT(Inputs!$B$10*Inputs!$B$11),0))</f>
        <v>501</v>
      </c>
      <c r="D1840" s="52">
        <f ca="1">C1840*Inputs!$B$12</f>
        <v>60120000</v>
      </c>
    </row>
    <row r="1841" spans="1:4" ht="13.5" customHeight="1" x14ac:dyDescent="0.3">
      <c r="A1841" s="46">
        <v>1837</v>
      </c>
      <c r="B1841" s="47">
        <f t="shared" ca="1" si="28"/>
        <v>0.63956539815169278</v>
      </c>
      <c r="C1841" s="48">
        <f t="array" aca="1" ref="C1841" ca="1">MAX(0,ROUND(Inputs!$B$10*Inputs!$B$11+NORMSINV(B1841)*SQRT(Inputs!$B$10*Inputs!$B$11),0))</f>
        <v>508</v>
      </c>
      <c r="D1841" s="49">
        <f ca="1">C1841*Inputs!$B$12</f>
        <v>60960000</v>
      </c>
    </row>
    <row r="1842" spans="1:4" ht="13.5" customHeight="1" x14ac:dyDescent="0.3">
      <c r="A1842" s="50">
        <v>1838</v>
      </c>
      <c r="B1842" s="51">
        <f t="shared" ca="1" si="28"/>
        <v>0.85678152148947517</v>
      </c>
      <c r="C1842" s="48">
        <f t="array" aca="1" ref="C1842" ca="1">MAX(0,ROUND(Inputs!$B$10*Inputs!$B$11+NORMSINV(B1842)*SQRT(Inputs!$B$10*Inputs!$B$11),0))</f>
        <v>524</v>
      </c>
      <c r="D1842" s="52">
        <f ca="1">C1842*Inputs!$B$12</f>
        <v>62880000</v>
      </c>
    </row>
    <row r="1843" spans="1:4" ht="13.5" customHeight="1" x14ac:dyDescent="0.3">
      <c r="A1843" s="46">
        <v>1839</v>
      </c>
      <c r="B1843" s="47">
        <f t="shared" ca="1" si="28"/>
        <v>0.36190328855846932</v>
      </c>
      <c r="C1843" s="48">
        <f t="array" aca="1" ref="C1843" ca="1">MAX(0,ROUND(Inputs!$B$10*Inputs!$B$11+NORMSINV(B1843)*SQRT(Inputs!$B$10*Inputs!$B$11),0))</f>
        <v>492</v>
      </c>
      <c r="D1843" s="49">
        <f ca="1">C1843*Inputs!$B$12</f>
        <v>59040000</v>
      </c>
    </row>
    <row r="1844" spans="1:4" ht="13.5" customHeight="1" x14ac:dyDescent="0.3">
      <c r="A1844" s="50">
        <v>1840</v>
      </c>
      <c r="B1844" s="51">
        <f t="shared" ca="1" si="28"/>
        <v>0.29493107509989747</v>
      </c>
      <c r="C1844" s="48">
        <f t="array" aca="1" ref="C1844" ca="1">MAX(0,ROUND(Inputs!$B$10*Inputs!$B$11+NORMSINV(B1844)*SQRT(Inputs!$B$10*Inputs!$B$11),0))</f>
        <v>488</v>
      </c>
      <c r="D1844" s="52">
        <f ca="1">C1844*Inputs!$B$12</f>
        <v>58560000</v>
      </c>
    </row>
    <row r="1845" spans="1:4" ht="13.5" customHeight="1" x14ac:dyDescent="0.3">
      <c r="A1845" s="46">
        <v>1841</v>
      </c>
      <c r="B1845" s="47">
        <f t="shared" ca="1" si="28"/>
        <v>0.97248181191760963</v>
      </c>
      <c r="C1845" s="48">
        <f t="array" aca="1" ref="C1845" ca="1">MAX(0,ROUND(Inputs!$B$10*Inputs!$B$11+NORMSINV(B1845)*SQRT(Inputs!$B$10*Inputs!$B$11),0))</f>
        <v>543</v>
      </c>
      <c r="D1845" s="49">
        <f ca="1">C1845*Inputs!$B$12</f>
        <v>65160000</v>
      </c>
    </row>
    <row r="1846" spans="1:4" ht="13.5" customHeight="1" x14ac:dyDescent="0.3">
      <c r="A1846" s="50">
        <v>1842</v>
      </c>
      <c r="B1846" s="51">
        <f t="shared" ca="1" si="28"/>
        <v>0.75304097477169663</v>
      </c>
      <c r="C1846" s="48">
        <f t="array" aca="1" ref="C1846" ca="1">MAX(0,ROUND(Inputs!$B$10*Inputs!$B$11+NORMSINV(B1846)*SQRT(Inputs!$B$10*Inputs!$B$11),0))</f>
        <v>515</v>
      </c>
      <c r="D1846" s="52">
        <f ca="1">C1846*Inputs!$B$12</f>
        <v>61800000</v>
      </c>
    </row>
    <row r="1847" spans="1:4" ht="13.5" customHeight="1" x14ac:dyDescent="0.3">
      <c r="A1847" s="46">
        <v>1843</v>
      </c>
      <c r="B1847" s="47">
        <f t="shared" ca="1" si="28"/>
        <v>2.6995875731386954E-2</v>
      </c>
      <c r="C1847" s="48">
        <f t="array" aca="1" ref="C1847" ca="1">MAX(0,ROUND(Inputs!$B$10*Inputs!$B$11+NORMSINV(B1847)*SQRT(Inputs!$B$10*Inputs!$B$11),0))</f>
        <v>457</v>
      </c>
      <c r="D1847" s="49">
        <f ca="1">C1847*Inputs!$B$12</f>
        <v>54840000</v>
      </c>
    </row>
    <row r="1848" spans="1:4" ht="13.5" customHeight="1" x14ac:dyDescent="0.3">
      <c r="A1848" s="50">
        <v>1844</v>
      </c>
      <c r="B1848" s="51">
        <f t="shared" ca="1" si="28"/>
        <v>0.29446845148446443</v>
      </c>
      <c r="C1848" s="48">
        <f t="array" aca="1" ref="C1848" ca="1">MAX(0,ROUND(Inputs!$B$10*Inputs!$B$11+NORMSINV(B1848)*SQRT(Inputs!$B$10*Inputs!$B$11),0))</f>
        <v>488</v>
      </c>
      <c r="D1848" s="52">
        <f ca="1">C1848*Inputs!$B$12</f>
        <v>58560000</v>
      </c>
    </row>
    <row r="1849" spans="1:4" ht="13.5" customHeight="1" x14ac:dyDescent="0.3">
      <c r="A1849" s="46">
        <v>1845</v>
      </c>
      <c r="B1849" s="47">
        <f t="shared" ca="1" si="28"/>
        <v>0.5563215569193396</v>
      </c>
      <c r="C1849" s="48">
        <f t="array" aca="1" ref="C1849" ca="1">MAX(0,ROUND(Inputs!$B$10*Inputs!$B$11+NORMSINV(B1849)*SQRT(Inputs!$B$10*Inputs!$B$11),0))</f>
        <v>503</v>
      </c>
      <c r="D1849" s="49">
        <f ca="1">C1849*Inputs!$B$12</f>
        <v>60360000</v>
      </c>
    </row>
    <row r="1850" spans="1:4" ht="13.5" customHeight="1" x14ac:dyDescent="0.3">
      <c r="A1850" s="50">
        <v>1846</v>
      </c>
      <c r="B1850" s="51">
        <f t="shared" ca="1" si="28"/>
        <v>0.1625031556088784</v>
      </c>
      <c r="C1850" s="48">
        <f t="array" aca="1" ref="C1850" ca="1">MAX(0,ROUND(Inputs!$B$10*Inputs!$B$11+NORMSINV(B1850)*SQRT(Inputs!$B$10*Inputs!$B$11),0))</f>
        <v>478</v>
      </c>
      <c r="D1850" s="52">
        <f ca="1">C1850*Inputs!$B$12</f>
        <v>57360000</v>
      </c>
    </row>
    <row r="1851" spans="1:4" ht="13.5" customHeight="1" x14ac:dyDescent="0.3">
      <c r="A1851" s="46">
        <v>1847</v>
      </c>
      <c r="B1851" s="47">
        <f t="shared" ca="1" si="28"/>
        <v>0.5531728608986024</v>
      </c>
      <c r="C1851" s="48">
        <f t="array" aca="1" ref="C1851" ca="1">MAX(0,ROUND(Inputs!$B$10*Inputs!$B$11+NORMSINV(B1851)*SQRT(Inputs!$B$10*Inputs!$B$11),0))</f>
        <v>503</v>
      </c>
      <c r="D1851" s="49">
        <f ca="1">C1851*Inputs!$B$12</f>
        <v>60360000</v>
      </c>
    </row>
    <row r="1852" spans="1:4" ht="13.5" customHeight="1" x14ac:dyDescent="0.3">
      <c r="A1852" s="50">
        <v>1848</v>
      </c>
      <c r="B1852" s="51">
        <f t="shared" ca="1" si="28"/>
        <v>0.78677933577501802</v>
      </c>
      <c r="C1852" s="48">
        <f t="array" aca="1" ref="C1852" ca="1">MAX(0,ROUND(Inputs!$B$10*Inputs!$B$11+NORMSINV(B1852)*SQRT(Inputs!$B$10*Inputs!$B$11),0))</f>
        <v>518</v>
      </c>
      <c r="D1852" s="52">
        <f ca="1">C1852*Inputs!$B$12</f>
        <v>62160000</v>
      </c>
    </row>
    <row r="1853" spans="1:4" ht="13.5" customHeight="1" x14ac:dyDescent="0.3">
      <c r="A1853" s="46">
        <v>1849</v>
      </c>
      <c r="B1853" s="47">
        <f t="shared" ca="1" si="28"/>
        <v>0.45082726259236028</v>
      </c>
      <c r="C1853" s="48">
        <f t="array" aca="1" ref="C1853" ca="1">MAX(0,ROUND(Inputs!$B$10*Inputs!$B$11+NORMSINV(B1853)*SQRT(Inputs!$B$10*Inputs!$B$11),0))</f>
        <v>497</v>
      </c>
      <c r="D1853" s="49">
        <f ca="1">C1853*Inputs!$B$12</f>
        <v>59640000</v>
      </c>
    </row>
    <row r="1854" spans="1:4" ht="13.5" customHeight="1" x14ac:dyDescent="0.3">
      <c r="A1854" s="50">
        <v>1850</v>
      </c>
      <c r="B1854" s="51">
        <f t="shared" ca="1" si="28"/>
        <v>0.88038029842696064</v>
      </c>
      <c r="C1854" s="48">
        <f t="array" aca="1" ref="C1854" ca="1">MAX(0,ROUND(Inputs!$B$10*Inputs!$B$11+NORMSINV(B1854)*SQRT(Inputs!$B$10*Inputs!$B$11),0))</f>
        <v>526</v>
      </c>
      <c r="D1854" s="52">
        <f ca="1">C1854*Inputs!$B$12</f>
        <v>63120000</v>
      </c>
    </row>
    <row r="1855" spans="1:4" ht="13.5" customHeight="1" x14ac:dyDescent="0.3">
      <c r="A1855" s="46">
        <v>1851</v>
      </c>
      <c r="B1855" s="47">
        <f t="shared" ca="1" si="28"/>
        <v>0.57180063270620307</v>
      </c>
      <c r="C1855" s="48">
        <f t="array" aca="1" ref="C1855" ca="1">MAX(0,ROUND(Inputs!$B$10*Inputs!$B$11+NORMSINV(B1855)*SQRT(Inputs!$B$10*Inputs!$B$11),0))</f>
        <v>504</v>
      </c>
      <c r="D1855" s="49">
        <f ca="1">C1855*Inputs!$B$12</f>
        <v>60480000</v>
      </c>
    </row>
    <row r="1856" spans="1:4" ht="13.5" customHeight="1" x14ac:dyDescent="0.3">
      <c r="A1856" s="50">
        <v>1852</v>
      </c>
      <c r="B1856" s="51">
        <f t="shared" ca="1" si="28"/>
        <v>6.7283621910847025E-2</v>
      </c>
      <c r="C1856" s="48">
        <f t="array" aca="1" ref="C1856" ca="1">MAX(0,ROUND(Inputs!$B$10*Inputs!$B$11+NORMSINV(B1856)*SQRT(Inputs!$B$10*Inputs!$B$11),0))</f>
        <v>467</v>
      </c>
      <c r="D1856" s="52">
        <f ca="1">C1856*Inputs!$B$12</f>
        <v>56040000</v>
      </c>
    </row>
    <row r="1857" spans="1:4" ht="13.5" customHeight="1" x14ac:dyDescent="0.3">
      <c r="A1857" s="46">
        <v>1853</v>
      </c>
      <c r="B1857" s="47">
        <f t="shared" ca="1" si="28"/>
        <v>0.53718327547889977</v>
      </c>
      <c r="C1857" s="48">
        <f t="array" aca="1" ref="C1857" ca="1">MAX(0,ROUND(Inputs!$B$10*Inputs!$B$11+NORMSINV(B1857)*SQRT(Inputs!$B$10*Inputs!$B$11),0))</f>
        <v>502</v>
      </c>
      <c r="D1857" s="49">
        <f ca="1">C1857*Inputs!$B$12</f>
        <v>60240000</v>
      </c>
    </row>
    <row r="1858" spans="1:4" ht="13.5" customHeight="1" x14ac:dyDescent="0.3">
      <c r="A1858" s="50">
        <v>1854</v>
      </c>
      <c r="B1858" s="51">
        <f t="shared" ca="1" si="28"/>
        <v>0.57758422700327483</v>
      </c>
      <c r="C1858" s="48">
        <f t="array" aca="1" ref="C1858" ca="1">MAX(0,ROUND(Inputs!$B$10*Inputs!$B$11+NORMSINV(B1858)*SQRT(Inputs!$B$10*Inputs!$B$11),0))</f>
        <v>504</v>
      </c>
      <c r="D1858" s="52">
        <f ca="1">C1858*Inputs!$B$12</f>
        <v>60480000</v>
      </c>
    </row>
    <row r="1859" spans="1:4" ht="13.5" customHeight="1" x14ac:dyDescent="0.3">
      <c r="A1859" s="46">
        <v>1855</v>
      </c>
      <c r="B1859" s="47">
        <f t="shared" ca="1" si="28"/>
        <v>0.89184959888944815</v>
      </c>
      <c r="C1859" s="48">
        <f t="array" aca="1" ref="C1859" ca="1">MAX(0,ROUND(Inputs!$B$10*Inputs!$B$11+NORMSINV(B1859)*SQRT(Inputs!$B$10*Inputs!$B$11),0))</f>
        <v>528</v>
      </c>
      <c r="D1859" s="49">
        <f ca="1">C1859*Inputs!$B$12</f>
        <v>63360000</v>
      </c>
    </row>
    <row r="1860" spans="1:4" ht="13.5" customHeight="1" x14ac:dyDescent="0.3">
      <c r="A1860" s="50">
        <v>1856</v>
      </c>
      <c r="B1860" s="51">
        <f t="shared" ca="1" si="28"/>
        <v>0.1074214800449711</v>
      </c>
      <c r="C1860" s="48">
        <f t="array" aca="1" ref="C1860" ca="1">MAX(0,ROUND(Inputs!$B$10*Inputs!$B$11+NORMSINV(B1860)*SQRT(Inputs!$B$10*Inputs!$B$11),0))</f>
        <v>472</v>
      </c>
      <c r="D1860" s="52">
        <f ca="1">C1860*Inputs!$B$12</f>
        <v>56640000</v>
      </c>
    </row>
    <row r="1861" spans="1:4" ht="13.5" customHeight="1" x14ac:dyDescent="0.3">
      <c r="A1861" s="46">
        <v>1857</v>
      </c>
      <c r="B1861" s="47">
        <f t="shared" ref="B1861:B1924" ca="1" si="29">RAND()</f>
        <v>0.39214435956000471</v>
      </c>
      <c r="C1861" s="48">
        <f t="array" aca="1" ref="C1861" ca="1">MAX(0,ROUND(Inputs!$B$10*Inputs!$B$11+NORMSINV(B1861)*SQRT(Inputs!$B$10*Inputs!$B$11),0))</f>
        <v>494</v>
      </c>
      <c r="D1861" s="49">
        <f ca="1">C1861*Inputs!$B$12</f>
        <v>59280000</v>
      </c>
    </row>
    <row r="1862" spans="1:4" ht="13.5" customHeight="1" x14ac:dyDescent="0.3">
      <c r="A1862" s="50">
        <v>1858</v>
      </c>
      <c r="B1862" s="51">
        <f t="shared" ca="1" si="29"/>
        <v>0.30832775217193142</v>
      </c>
      <c r="C1862" s="48">
        <f t="array" aca="1" ref="C1862" ca="1">MAX(0,ROUND(Inputs!$B$10*Inputs!$B$11+NORMSINV(B1862)*SQRT(Inputs!$B$10*Inputs!$B$11),0))</f>
        <v>489</v>
      </c>
      <c r="D1862" s="52">
        <f ca="1">C1862*Inputs!$B$12</f>
        <v>58680000</v>
      </c>
    </row>
    <row r="1863" spans="1:4" ht="13.5" customHeight="1" x14ac:dyDescent="0.3">
      <c r="A1863" s="46">
        <v>1859</v>
      </c>
      <c r="B1863" s="47">
        <f t="shared" ca="1" si="29"/>
        <v>0.78724676735727317</v>
      </c>
      <c r="C1863" s="48">
        <f t="array" aca="1" ref="C1863" ca="1">MAX(0,ROUND(Inputs!$B$10*Inputs!$B$11+NORMSINV(B1863)*SQRT(Inputs!$B$10*Inputs!$B$11),0))</f>
        <v>518</v>
      </c>
      <c r="D1863" s="49">
        <f ca="1">C1863*Inputs!$B$12</f>
        <v>62160000</v>
      </c>
    </row>
    <row r="1864" spans="1:4" ht="13.5" customHeight="1" x14ac:dyDescent="0.3">
      <c r="A1864" s="50">
        <v>1860</v>
      </c>
      <c r="B1864" s="51">
        <f t="shared" ca="1" si="29"/>
        <v>0.63020301414190905</v>
      </c>
      <c r="C1864" s="48">
        <f t="array" aca="1" ref="C1864" ca="1">MAX(0,ROUND(Inputs!$B$10*Inputs!$B$11+NORMSINV(B1864)*SQRT(Inputs!$B$10*Inputs!$B$11),0))</f>
        <v>507</v>
      </c>
      <c r="D1864" s="52">
        <f ca="1">C1864*Inputs!$B$12</f>
        <v>60840000</v>
      </c>
    </row>
    <row r="1865" spans="1:4" ht="13.5" customHeight="1" x14ac:dyDescent="0.3">
      <c r="A1865" s="46">
        <v>1861</v>
      </c>
      <c r="B1865" s="47">
        <f t="shared" ca="1" si="29"/>
        <v>0.32956015112541226</v>
      </c>
      <c r="C1865" s="48">
        <f t="array" aca="1" ref="C1865" ca="1">MAX(0,ROUND(Inputs!$B$10*Inputs!$B$11+NORMSINV(B1865)*SQRT(Inputs!$B$10*Inputs!$B$11),0))</f>
        <v>490</v>
      </c>
      <c r="D1865" s="49">
        <f ca="1">C1865*Inputs!$B$12</f>
        <v>58800000</v>
      </c>
    </row>
    <row r="1866" spans="1:4" ht="13.5" customHeight="1" x14ac:dyDescent="0.3">
      <c r="A1866" s="50">
        <v>1862</v>
      </c>
      <c r="B1866" s="51">
        <f t="shared" ca="1" si="29"/>
        <v>0.862126658749926</v>
      </c>
      <c r="C1866" s="48">
        <f t="array" aca="1" ref="C1866" ca="1">MAX(0,ROUND(Inputs!$B$10*Inputs!$B$11+NORMSINV(B1866)*SQRT(Inputs!$B$10*Inputs!$B$11),0))</f>
        <v>524</v>
      </c>
      <c r="D1866" s="52">
        <f ca="1">C1866*Inputs!$B$12</f>
        <v>62880000</v>
      </c>
    </row>
    <row r="1867" spans="1:4" ht="13.5" customHeight="1" x14ac:dyDescent="0.3">
      <c r="A1867" s="46">
        <v>1863</v>
      </c>
      <c r="B1867" s="47">
        <f t="shared" ca="1" si="29"/>
        <v>0.53090186085372804</v>
      </c>
      <c r="C1867" s="48">
        <f t="array" aca="1" ref="C1867" ca="1">MAX(0,ROUND(Inputs!$B$10*Inputs!$B$11+NORMSINV(B1867)*SQRT(Inputs!$B$10*Inputs!$B$11),0))</f>
        <v>502</v>
      </c>
      <c r="D1867" s="49">
        <f ca="1">C1867*Inputs!$B$12</f>
        <v>60240000</v>
      </c>
    </row>
    <row r="1868" spans="1:4" ht="13.5" customHeight="1" x14ac:dyDescent="0.3">
      <c r="A1868" s="50">
        <v>1864</v>
      </c>
      <c r="B1868" s="51">
        <f t="shared" ca="1" si="29"/>
        <v>0.1329539421253243</v>
      </c>
      <c r="C1868" s="48">
        <f t="array" aca="1" ref="C1868" ca="1">MAX(0,ROUND(Inputs!$B$10*Inputs!$B$11+NORMSINV(B1868)*SQRT(Inputs!$B$10*Inputs!$B$11),0))</f>
        <v>475</v>
      </c>
      <c r="D1868" s="52">
        <f ca="1">C1868*Inputs!$B$12</f>
        <v>57000000</v>
      </c>
    </row>
    <row r="1869" spans="1:4" ht="13.5" customHeight="1" x14ac:dyDescent="0.3">
      <c r="A1869" s="46">
        <v>1865</v>
      </c>
      <c r="B1869" s="47">
        <f t="shared" ca="1" si="29"/>
        <v>0.80098330135517826</v>
      </c>
      <c r="C1869" s="48">
        <f t="array" aca="1" ref="C1869" ca="1">MAX(0,ROUND(Inputs!$B$10*Inputs!$B$11+NORMSINV(B1869)*SQRT(Inputs!$B$10*Inputs!$B$11),0))</f>
        <v>519</v>
      </c>
      <c r="D1869" s="49">
        <f ca="1">C1869*Inputs!$B$12</f>
        <v>62280000</v>
      </c>
    </row>
    <row r="1870" spans="1:4" ht="13.5" customHeight="1" x14ac:dyDescent="0.3">
      <c r="A1870" s="50">
        <v>1866</v>
      </c>
      <c r="B1870" s="51">
        <f t="shared" ca="1" si="29"/>
        <v>0.86642989877280141</v>
      </c>
      <c r="C1870" s="48">
        <f t="array" aca="1" ref="C1870" ca="1">MAX(0,ROUND(Inputs!$B$10*Inputs!$B$11+NORMSINV(B1870)*SQRT(Inputs!$B$10*Inputs!$B$11),0))</f>
        <v>525</v>
      </c>
      <c r="D1870" s="52">
        <f ca="1">C1870*Inputs!$B$12</f>
        <v>63000000</v>
      </c>
    </row>
    <row r="1871" spans="1:4" ht="13.5" customHeight="1" x14ac:dyDescent="0.3">
      <c r="A1871" s="46">
        <v>1867</v>
      </c>
      <c r="B1871" s="47">
        <f t="shared" ca="1" si="29"/>
        <v>0.22357560446542546</v>
      </c>
      <c r="C1871" s="48">
        <f t="array" aca="1" ref="C1871" ca="1">MAX(0,ROUND(Inputs!$B$10*Inputs!$B$11+NORMSINV(B1871)*SQRT(Inputs!$B$10*Inputs!$B$11),0))</f>
        <v>483</v>
      </c>
      <c r="D1871" s="49">
        <f ca="1">C1871*Inputs!$B$12</f>
        <v>57960000</v>
      </c>
    </row>
    <row r="1872" spans="1:4" ht="13.5" customHeight="1" x14ac:dyDescent="0.3">
      <c r="A1872" s="50">
        <v>1868</v>
      </c>
      <c r="B1872" s="51">
        <f t="shared" ca="1" si="29"/>
        <v>0.69781685181777975</v>
      </c>
      <c r="C1872" s="48">
        <f t="array" aca="1" ref="C1872" ca="1">MAX(0,ROUND(Inputs!$B$10*Inputs!$B$11+NORMSINV(B1872)*SQRT(Inputs!$B$10*Inputs!$B$11),0))</f>
        <v>512</v>
      </c>
      <c r="D1872" s="52">
        <f ca="1">C1872*Inputs!$B$12</f>
        <v>61440000</v>
      </c>
    </row>
    <row r="1873" spans="1:4" ht="13.5" customHeight="1" x14ac:dyDescent="0.3">
      <c r="A1873" s="46">
        <v>1869</v>
      </c>
      <c r="B1873" s="47">
        <f t="shared" ca="1" si="29"/>
        <v>0.99825078070071338</v>
      </c>
      <c r="C1873" s="48">
        <f t="array" aca="1" ref="C1873" ca="1">MAX(0,ROUND(Inputs!$B$10*Inputs!$B$11+NORMSINV(B1873)*SQRT(Inputs!$B$10*Inputs!$B$11),0))</f>
        <v>565</v>
      </c>
      <c r="D1873" s="49">
        <f ca="1">C1873*Inputs!$B$12</f>
        <v>67800000</v>
      </c>
    </row>
    <row r="1874" spans="1:4" ht="13.5" customHeight="1" x14ac:dyDescent="0.3">
      <c r="A1874" s="50">
        <v>1870</v>
      </c>
      <c r="B1874" s="51">
        <f t="shared" ca="1" si="29"/>
        <v>0.62590118822541219</v>
      </c>
      <c r="C1874" s="48">
        <f t="array" aca="1" ref="C1874" ca="1">MAX(0,ROUND(Inputs!$B$10*Inputs!$B$11+NORMSINV(B1874)*SQRT(Inputs!$B$10*Inputs!$B$11),0))</f>
        <v>507</v>
      </c>
      <c r="D1874" s="52">
        <f ca="1">C1874*Inputs!$B$12</f>
        <v>60840000</v>
      </c>
    </row>
    <row r="1875" spans="1:4" ht="13.5" customHeight="1" x14ac:dyDescent="0.3">
      <c r="A1875" s="46">
        <v>1871</v>
      </c>
      <c r="B1875" s="47">
        <f t="shared" ca="1" si="29"/>
        <v>0.35163622340295231</v>
      </c>
      <c r="C1875" s="48">
        <f t="array" aca="1" ref="C1875" ca="1">MAX(0,ROUND(Inputs!$B$10*Inputs!$B$11+NORMSINV(B1875)*SQRT(Inputs!$B$10*Inputs!$B$11),0))</f>
        <v>491</v>
      </c>
      <c r="D1875" s="49">
        <f ca="1">C1875*Inputs!$B$12</f>
        <v>58920000</v>
      </c>
    </row>
    <row r="1876" spans="1:4" ht="13.5" customHeight="1" x14ac:dyDescent="0.3">
      <c r="A1876" s="50">
        <v>1872</v>
      </c>
      <c r="B1876" s="51">
        <f t="shared" ca="1" si="29"/>
        <v>0.43760766911623228</v>
      </c>
      <c r="C1876" s="48">
        <f t="array" aca="1" ref="C1876" ca="1">MAX(0,ROUND(Inputs!$B$10*Inputs!$B$11+NORMSINV(B1876)*SQRT(Inputs!$B$10*Inputs!$B$11),0))</f>
        <v>496</v>
      </c>
      <c r="D1876" s="52">
        <f ca="1">C1876*Inputs!$B$12</f>
        <v>59520000</v>
      </c>
    </row>
    <row r="1877" spans="1:4" ht="13.5" customHeight="1" x14ac:dyDescent="0.3">
      <c r="A1877" s="46">
        <v>1873</v>
      </c>
      <c r="B1877" s="47">
        <f t="shared" ca="1" si="29"/>
        <v>0.36699488358214949</v>
      </c>
      <c r="C1877" s="48">
        <f t="array" aca="1" ref="C1877" ca="1">MAX(0,ROUND(Inputs!$B$10*Inputs!$B$11+NORMSINV(B1877)*SQRT(Inputs!$B$10*Inputs!$B$11),0))</f>
        <v>492</v>
      </c>
      <c r="D1877" s="49">
        <f ca="1">C1877*Inputs!$B$12</f>
        <v>59040000</v>
      </c>
    </row>
    <row r="1878" spans="1:4" ht="13.5" customHeight="1" x14ac:dyDescent="0.3">
      <c r="A1878" s="50">
        <v>1874</v>
      </c>
      <c r="B1878" s="51">
        <f t="shared" ca="1" si="29"/>
        <v>0.68074782772033382</v>
      </c>
      <c r="C1878" s="48">
        <f t="array" aca="1" ref="C1878" ca="1">MAX(0,ROUND(Inputs!$B$10*Inputs!$B$11+NORMSINV(B1878)*SQRT(Inputs!$B$10*Inputs!$B$11),0))</f>
        <v>511</v>
      </c>
      <c r="D1878" s="52">
        <f ca="1">C1878*Inputs!$B$12</f>
        <v>61320000</v>
      </c>
    </row>
    <row r="1879" spans="1:4" ht="13.5" customHeight="1" x14ac:dyDescent="0.3">
      <c r="A1879" s="46">
        <v>1875</v>
      </c>
      <c r="B1879" s="47">
        <f t="shared" ca="1" si="29"/>
        <v>0.42019784896058887</v>
      </c>
      <c r="C1879" s="48">
        <f t="array" aca="1" ref="C1879" ca="1">MAX(0,ROUND(Inputs!$B$10*Inputs!$B$11+NORMSINV(B1879)*SQRT(Inputs!$B$10*Inputs!$B$11),0))</f>
        <v>495</v>
      </c>
      <c r="D1879" s="49">
        <f ca="1">C1879*Inputs!$B$12</f>
        <v>59400000</v>
      </c>
    </row>
    <row r="1880" spans="1:4" ht="13.5" customHeight="1" x14ac:dyDescent="0.3">
      <c r="A1880" s="50">
        <v>1876</v>
      </c>
      <c r="B1880" s="51">
        <f t="shared" ca="1" si="29"/>
        <v>0.73791579230325643</v>
      </c>
      <c r="C1880" s="48">
        <f t="array" aca="1" ref="C1880" ca="1">MAX(0,ROUND(Inputs!$B$10*Inputs!$B$11+NORMSINV(B1880)*SQRT(Inputs!$B$10*Inputs!$B$11),0))</f>
        <v>514</v>
      </c>
      <c r="D1880" s="52">
        <f ca="1">C1880*Inputs!$B$12</f>
        <v>61680000</v>
      </c>
    </row>
    <row r="1881" spans="1:4" ht="13.5" customHeight="1" x14ac:dyDescent="0.3">
      <c r="A1881" s="46">
        <v>1877</v>
      </c>
      <c r="B1881" s="47">
        <f t="shared" ca="1" si="29"/>
        <v>0.8729882625675538</v>
      </c>
      <c r="C1881" s="48">
        <f t="array" aca="1" ref="C1881" ca="1">MAX(0,ROUND(Inputs!$B$10*Inputs!$B$11+NORMSINV(B1881)*SQRT(Inputs!$B$10*Inputs!$B$11),0))</f>
        <v>526</v>
      </c>
      <c r="D1881" s="49">
        <f ca="1">C1881*Inputs!$B$12</f>
        <v>63120000</v>
      </c>
    </row>
    <row r="1882" spans="1:4" ht="13.5" customHeight="1" x14ac:dyDescent="0.3">
      <c r="A1882" s="50">
        <v>1878</v>
      </c>
      <c r="B1882" s="51">
        <f t="shared" ca="1" si="29"/>
        <v>0.89304700821658545</v>
      </c>
      <c r="C1882" s="48">
        <f t="array" aca="1" ref="C1882" ca="1">MAX(0,ROUND(Inputs!$B$10*Inputs!$B$11+NORMSINV(B1882)*SQRT(Inputs!$B$10*Inputs!$B$11),0))</f>
        <v>528</v>
      </c>
      <c r="D1882" s="52">
        <f ca="1">C1882*Inputs!$B$12</f>
        <v>63360000</v>
      </c>
    </row>
    <row r="1883" spans="1:4" ht="13.5" customHeight="1" x14ac:dyDescent="0.3">
      <c r="A1883" s="46">
        <v>1879</v>
      </c>
      <c r="B1883" s="47">
        <f t="shared" ca="1" si="29"/>
        <v>0.15919376107290906</v>
      </c>
      <c r="C1883" s="48">
        <f t="array" aca="1" ref="C1883" ca="1">MAX(0,ROUND(Inputs!$B$10*Inputs!$B$11+NORMSINV(B1883)*SQRT(Inputs!$B$10*Inputs!$B$11),0))</f>
        <v>478</v>
      </c>
      <c r="D1883" s="49">
        <f ca="1">C1883*Inputs!$B$12</f>
        <v>57360000</v>
      </c>
    </row>
    <row r="1884" spans="1:4" ht="13.5" customHeight="1" x14ac:dyDescent="0.3">
      <c r="A1884" s="50">
        <v>1880</v>
      </c>
      <c r="B1884" s="51">
        <f t="shared" ca="1" si="29"/>
        <v>0.75460945656186296</v>
      </c>
      <c r="C1884" s="48">
        <f t="array" aca="1" ref="C1884" ca="1">MAX(0,ROUND(Inputs!$B$10*Inputs!$B$11+NORMSINV(B1884)*SQRT(Inputs!$B$10*Inputs!$B$11),0))</f>
        <v>515</v>
      </c>
      <c r="D1884" s="52">
        <f ca="1">C1884*Inputs!$B$12</f>
        <v>61800000</v>
      </c>
    </row>
    <row r="1885" spans="1:4" ht="13.5" customHeight="1" x14ac:dyDescent="0.3">
      <c r="A1885" s="46">
        <v>1881</v>
      </c>
      <c r="B1885" s="47">
        <f t="shared" ca="1" si="29"/>
        <v>0.33894889896214742</v>
      </c>
      <c r="C1885" s="48">
        <f t="array" aca="1" ref="C1885" ca="1">MAX(0,ROUND(Inputs!$B$10*Inputs!$B$11+NORMSINV(B1885)*SQRT(Inputs!$B$10*Inputs!$B$11),0))</f>
        <v>491</v>
      </c>
      <c r="D1885" s="49">
        <f ca="1">C1885*Inputs!$B$12</f>
        <v>58920000</v>
      </c>
    </row>
    <row r="1886" spans="1:4" ht="13.5" customHeight="1" x14ac:dyDescent="0.3">
      <c r="A1886" s="50">
        <v>1882</v>
      </c>
      <c r="B1886" s="51">
        <f t="shared" ca="1" si="29"/>
        <v>8.2841765310747717E-2</v>
      </c>
      <c r="C1886" s="48">
        <f t="array" aca="1" ref="C1886" ca="1">MAX(0,ROUND(Inputs!$B$10*Inputs!$B$11+NORMSINV(B1886)*SQRT(Inputs!$B$10*Inputs!$B$11),0))</f>
        <v>469</v>
      </c>
      <c r="D1886" s="52">
        <f ca="1">C1886*Inputs!$B$12</f>
        <v>56280000</v>
      </c>
    </row>
    <row r="1887" spans="1:4" ht="13.5" customHeight="1" x14ac:dyDescent="0.3">
      <c r="A1887" s="46">
        <v>1883</v>
      </c>
      <c r="B1887" s="47">
        <f t="shared" ca="1" si="29"/>
        <v>0.35381464921734396</v>
      </c>
      <c r="C1887" s="48">
        <f t="array" aca="1" ref="C1887" ca="1">MAX(0,ROUND(Inputs!$B$10*Inputs!$B$11+NORMSINV(B1887)*SQRT(Inputs!$B$10*Inputs!$B$11),0))</f>
        <v>492</v>
      </c>
      <c r="D1887" s="49">
        <f ca="1">C1887*Inputs!$B$12</f>
        <v>59040000</v>
      </c>
    </row>
    <row r="1888" spans="1:4" ht="13.5" customHeight="1" x14ac:dyDescent="0.3">
      <c r="A1888" s="50">
        <v>1884</v>
      </c>
      <c r="B1888" s="51">
        <f t="shared" ca="1" si="29"/>
        <v>0.73617344936698093</v>
      </c>
      <c r="C1888" s="48">
        <f t="array" aca="1" ref="C1888" ca="1">MAX(0,ROUND(Inputs!$B$10*Inputs!$B$11+NORMSINV(B1888)*SQRT(Inputs!$B$10*Inputs!$B$11),0))</f>
        <v>514</v>
      </c>
      <c r="D1888" s="52">
        <f ca="1">C1888*Inputs!$B$12</f>
        <v>61680000</v>
      </c>
    </row>
    <row r="1889" spans="1:4" ht="13.5" customHeight="1" x14ac:dyDescent="0.3">
      <c r="A1889" s="46">
        <v>1885</v>
      </c>
      <c r="B1889" s="47">
        <f t="shared" ca="1" si="29"/>
        <v>0.5834845525086827</v>
      </c>
      <c r="C1889" s="48">
        <f t="array" aca="1" ref="C1889" ca="1">MAX(0,ROUND(Inputs!$B$10*Inputs!$B$11+NORMSINV(B1889)*SQRT(Inputs!$B$10*Inputs!$B$11),0))</f>
        <v>505</v>
      </c>
      <c r="D1889" s="49">
        <f ca="1">C1889*Inputs!$B$12</f>
        <v>60600000</v>
      </c>
    </row>
    <row r="1890" spans="1:4" ht="13.5" customHeight="1" x14ac:dyDescent="0.3">
      <c r="A1890" s="50">
        <v>1886</v>
      </c>
      <c r="B1890" s="51">
        <f t="shared" ca="1" si="29"/>
        <v>6.7217629763973274E-2</v>
      </c>
      <c r="C1890" s="48">
        <f t="array" aca="1" ref="C1890" ca="1">MAX(0,ROUND(Inputs!$B$10*Inputs!$B$11+NORMSINV(B1890)*SQRT(Inputs!$B$10*Inputs!$B$11),0))</f>
        <v>467</v>
      </c>
      <c r="D1890" s="52">
        <f ca="1">C1890*Inputs!$B$12</f>
        <v>56040000</v>
      </c>
    </row>
    <row r="1891" spans="1:4" ht="13.5" customHeight="1" x14ac:dyDescent="0.3">
      <c r="A1891" s="46">
        <v>1887</v>
      </c>
      <c r="B1891" s="47">
        <f t="shared" ca="1" si="29"/>
        <v>0.5567251589867066</v>
      </c>
      <c r="C1891" s="48">
        <f t="array" aca="1" ref="C1891" ca="1">MAX(0,ROUND(Inputs!$B$10*Inputs!$B$11+NORMSINV(B1891)*SQRT(Inputs!$B$10*Inputs!$B$11),0))</f>
        <v>503</v>
      </c>
      <c r="D1891" s="49">
        <f ca="1">C1891*Inputs!$B$12</f>
        <v>60360000</v>
      </c>
    </row>
    <row r="1892" spans="1:4" ht="13.5" customHeight="1" x14ac:dyDescent="0.3">
      <c r="A1892" s="50">
        <v>1888</v>
      </c>
      <c r="B1892" s="51">
        <f t="shared" ca="1" si="29"/>
        <v>0.14099416463676318</v>
      </c>
      <c r="C1892" s="48">
        <f t="array" aca="1" ref="C1892" ca="1">MAX(0,ROUND(Inputs!$B$10*Inputs!$B$11+NORMSINV(B1892)*SQRT(Inputs!$B$10*Inputs!$B$11),0))</f>
        <v>476</v>
      </c>
      <c r="D1892" s="52">
        <f ca="1">C1892*Inputs!$B$12</f>
        <v>57120000</v>
      </c>
    </row>
    <row r="1893" spans="1:4" ht="13.5" customHeight="1" x14ac:dyDescent="0.3">
      <c r="A1893" s="46">
        <v>1889</v>
      </c>
      <c r="B1893" s="47">
        <f t="shared" ca="1" si="29"/>
        <v>0.57830523617373764</v>
      </c>
      <c r="C1893" s="48">
        <f t="array" aca="1" ref="C1893" ca="1">MAX(0,ROUND(Inputs!$B$10*Inputs!$B$11+NORMSINV(B1893)*SQRT(Inputs!$B$10*Inputs!$B$11),0))</f>
        <v>504</v>
      </c>
      <c r="D1893" s="49">
        <f ca="1">C1893*Inputs!$B$12</f>
        <v>60480000</v>
      </c>
    </row>
    <row r="1894" spans="1:4" ht="13.5" customHeight="1" x14ac:dyDescent="0.3">
      <c r="A1894" s="50">
        <v>1890</v>
      </c>
      <c r="B1894" s="51">
        <f t="shared" ca="1" si="29"/>
        <v>0.29066689572295834</v>
      </c>
      <c r="C1894" s="48">
        <f t="array" aca="1" ref="C1894" ca="1">MAX(0,ROUND(Inputs!$B$10*Inputs!$B$11+NORMSINV(B1894)*SQRT(Inputs!$B$10*Inputs!$B$11),0))</f>
        <v>488</v>
      </c>
      <c r="D1894" s="52">
        <f ca="1">C1894*Inputs!$B$12</f>
        <v>58560000</v>
      </c>
    </row>
    <row r="1895" spans="1:4" ht="13.5" customHeight="1" x14ac:dyDescent="0.3">
      <c r="A1895" s="46">
        <v>1891</v>
      </c>
      <c r="B1895" s="47">
        <f t="shared" ca="1" si="29"/>
        <v>0.23062505943413147</v>
      </c>
      <c r="C1895" s="48">
        <f t="array" aca="1" ref="C1895" ca="1">MAX(0,ROUND(Inputs!$B$10*Inputs!$B$11+NORMSINV(B1895)*SQRT(Inputs!$B$10*Inputs!$B$11),0))</f>
        <v>484</v>
      </c>
      <c r="D1895" s="49">
        <f ca="1">C1895*Inputs!$B$12</f>
        <v>58080000</v>
      </c>
    </row>
    <row r="1896" spans="1:4" ht="13.5" customHeight="1" x14ac:dyDescent="0.3">
      <c r="A1896" s="50">
        <v>1892</v>
      </c>
      <c r="B1896" s="51">
        <f t="shared" ca="1" si="29"/>
        <v>0.73220680152312312</v>
      </c>
      <c r="C1896" s="48">
        <f t="array" aca="1" ref="C1896" ca="1">MAX(0,ROUND(Inputs!$B$10*Inputs!$B$11+NORMSINV(B1896)*SQRT(Inputs!$B$10*Inputs!$B$11),0))</f>
        <v>514</v>
      </c>
      <c r="D1896" s="52">
        <f ca="1">C1896*Inputs!$B$12</f>
        <v>61680000</v>
      </c>
    </row>
    <row r="1897" spans="1:4" ht="13.5" customHeight="1" x14ac:dyDescent="0.3">
      <c r="A1897" s="46">
        <v>1893</v>
      </c>
      <c r="B1897" s="47">
        <f t="shared" ca="1" si="29"/>
        <v>0.19966390023363034</v>
      </c>
      <c r="C1897" s="48">
        <f t="array" aca="1" ref="C1897" ca="1">MAX(0,ROUND(Inputs!$B$10*Inputs!$B$11+NORMSINV(B1897)*SQRT(Inputs!$B$10*Inputs!$B$11),0))</f>
        <v>481</v>
      </c>
      <c r="D1897" s="49">
        <f ca="1">C1897*Inputs!$B$12</f>
        <v>57720000</v>
      </c>
    </row>
    <row r="1898" spans="1:4" ht="13.5" customHeight="1" x14ac:dyDescent="0.3">
      <c r="A1898" s="50">
        <v>1894</v>
      </c>
      <c r="B1898" s="51">
        <f t="shared" ca="1" si="29"/>
        <v>6.5237304106839811E-2</v>
      </c>
      <c r="C1898" s="48">
        <f t="array" aca="1" ref="C1898" ca="1">MAX(0,ROUND(Inputs!$B$10*Inputs!$B$11+NORMSINV(B1898)*SQRT(Inputs!$B$10*Inputs!$B$11),0))</f>
        <v>466</v>
      </c>
      <c r="D1898" s="52">
        <f ca="1">C1898*Inputs!$B$12</f>
        <v>55920000</v>
      </c>
    </row>
    <row r="1899" spans="1:4" ht="13.5" customHeight="1" x14ac:dyDescent="0.3">
      <c r="A1899" s="46">
        <v>1895</v>
      </c>
      <c r="B1899" s="47">
        <f t="shared" ca="1" si="29"/>
        <v>0.94612776415688771</v>
      </c>
      <c r="C1899" s="48">
        <f t="array" aca="1" ref="C1899" ca="1">MAX(0,ROUND(Inputs!$B$10*Inputs!$B$11+NORMSINV(B1899)*SQRT(Inputs!$B$10*Inputs!$B$11),0))</f>
        <v>536</v>
      </c>
      <c r="D1899" s="49">
        <f ca="1">C1899*Inputs!$B$12</f>
        <v>64320000</v>
      </c>
    </row>
    <row r="1900" spans="1:4" ht="13.5" customHeight="1" x14ac:dyDescent="0.3">
      <c r="A1900" s="50">
        <v>1896</v>
      </c>
      <c r="B1900" s="51">
        <f t="shared" ca="1" si="29"/>
        <v>0.38787238095573728</v>
      </c>
      <c r="C1900" s="48">
        <f t="array" aca="1" ref="C1900" ca="1">MAX(0,ROUND(Inputs!$B$10*Inputs!$B$11+NORMSINV(B1900)*SQRT(Inputs!$B$10*Inputs!$B$11),0))</f>
        <v>494</v>
      </c>
      <c r="D1900" s="52">
        <f ca="1">C1900*Inputs!$B$12</f>
        <v>59280000</v>
      </c>
    </row>
    <row r="1901" spans="1:4" ht="13.5" customHeight="1" x14ac:dyDescent="0.3">
      <c r="A1901" s="46">
        <v>1897</v>
      </c>
      <c r="B1901" s="47">
        <f t="shared" ca="1" si="29"/>
        <v>0.58347812619776485</v>
      </c>
      <c r="C1901" s="48">
        <f t="array" aca="1" ref="C1901" ca="1">MAX(0,ROUND(Inputs!$B$10*Inputs!$B$11+NORMSINV(B1901)*SQRT(Inputs!$B$10*Inputs!$B$11),0))</f>
        <v>505</v>
      </c>
      <c r="D1901" s="49">
        <f ca="1">C1901*Inputs!$B$12</f>
        <v>60600000</v>
      </c>
    </row>
    <row r="1902" spans="1:4" ht="13.5" customHeight="1" x14ac:dyDescent="0.3">
      <c r="A1902" s="50">
        <v>1898</v>
      </c>
      <c r="B1902" s="51">
        <f t="shared" ca="1" si="29"/>
        <v>0.61855124814716111</v>
      </c>
      <c r="C1902" s="48">
        <f t="array" aca="1" ref="C1902" ca="1">MAX(0,ROUND(Inputs!$B$10*Inputs!$B$11+NORMSINV(B1902)*SQRT(Inputs!$B$10*Inputs!$B$11),0))</f>
        <v>507</v>
      </c>
      <c r="D1902" s="52">
        <f ca="1">C1902*Inputs!$B$12</f>
        <v>60840000</v>
      </c>
    </row>
    <row r="1903" spans="1:4" ht="13.5" customHeight="1" x14ac:dyDescent="0.3">
      <c r="A1903" s="46">
        <v>1899</v>
      </c>
      <c r="B1903" s="47">
        <f t="shared" ca="1" si="29"/>
        <v>0.6666237035607967</v>
      </c>
      <c r="C1903" s="48">
        <f t="array" aca="1" ref="C1903" ca="1">MAX(0,ROUND(Inputs!$B$10*Inputs!$B$11+NORMSINV(B1903)*SQRT(Inputs!$B$10*Inputs!$B$11),0))</f>
        <v>510</v>
      </c>
      <c r="D1903" s="49">
        <f ca="1">C1903*Inputs!$B$12</f>
        <v>61200000</v>
      </c>
    </row>
    <row r="1904" spans="1:4" ht="13.5" customHeight="1" x14ac:dyDescent="0.3">
      <c r="A1904" s="50">
        <v>1900</v>
      </c>
      <c r="B1904" s="51">
        <f t="shared" ca="1" si="29"/>
        <v>0.5695508550762991</v>
      </c>
      <c r="C1904" s="48">
        <f t="array" aca="1" ref="C1904" ca="1">MAX(0,ROUND(Inputs!$B$10*Inputs!$B$11+NORMSINV(B1904)*SQRT(Inputs!$B$10*Inputs!$B$11),0))</f>
        <v>504</v>
      </c>
      <c r="D1904" s="52">
        <f ca="1">C1904*Inputs!$B$12</f>
        <v>60480000</v>
      </c>
    </row>
    <row r="1905" spans="1:4" ht="13.5" customHeight="1" x14ac:dyDescent="0.3">
      <c r="A1905" s="46">
        <v>1901</v>
      </c>
      <c r="B1905" s="47">
        <f t="shared" ca="1" si="29"/>
        <v>0.57735530424675241</v>
      </c>
      <c r="C1905" s="48">
        <f t="array" aca="1" ref="C1905" ca="1">MAX(0,ROUND(Inputs!$B$10*Inputs!$B$11+NORMSINV(B1905)*SQRT(Inputs!$B$10*Inputs!$B$11),0))</f>
        <v>504</v>
      </c>
      <c r="D1905" s="49">
        <f ca="1">C1905*Inputs!$B$12</f>
        <v>60480000</v>
      </c>
    </row>
    <row r="1906" spans="1:4" ht="13.5" customHeight="1" x14ac:dyDescent="0.3">
      <c r="A1906" s="50">
        <v>1902</v>
      </c>
      <c r="B1906" s="51">
        <f t="shared" ca="1" si="29"/>
        <v>0.47517886724758684</v>
      </c>
      <c r="C1906" s="48">
        <f t="array" aca="1" ref="C1906" ca="1">MAX(0,ROUND(Inputs!$B$10*Inputs!$B$11+NORMSINV(B1906)*SQRT(Inputs!$B$10*Inputs!$B$11),0))</f>
        <v>499</v>
      </c>
      <c r="D1906" s="52">
        <f ca="1">C1906*Inputs!$B$12</f>
        <v>59880000</v>
      </c>
    </row>
    <row r="1907" spans="1:4" ht="13.5" customHeight="1" x14ac:dyDescent="0.3">
      <c r="A1907" s="46">
        <v>1903</v>
      </c>
      <c r="B1907" s="47">
        <f t="shared" ca="1" si="29"/>
        <v>0.58207986432978509</v>
      </c>
      <c r="C1907" s="48">
        <f t="array" aca="1" ref="C1907" ca="1">MAX(0,ROUND(Inputs!$B$10*Inputs!$B$11+NORMSINV(B1907)*SQRT(Inputs!$B$10*Inputs!$B$11),0))</f>
        <v>505</v>
      </c>
      <c r="D1907" s="49">
        <f ca="1">C1907*Inputs!$B$12</f>
        <v>60600000</v>
      </c>
    </row>
    <row r="1908" spans="1:4" ht="13.5" customHeight="1" x14ac:dyDescent="0.3">
      <c r="A1908" s="50">
        <v>1904</v>
      </c>
      <c r="B1908" s="51">
        <f t="shared" ca="1" si="29"/>
        <v>0.51564166526744615</v>
      </c>
      <c r="C1908" s="48">
        <f t="array" aca="1" ref="C1908" ca="1">MAX(0,ROUND(Inputs!$B$10*Inputs!$B$11+NORMSINV(B1908)*SQRT(Inputs!$B$10*Inputs!$B$11),0))</f>
        <v>501</v>
      </c>
      <c r="D1908" s="52">
        <f ca="1">C1908*Inputs!$B$12</f>
        <v>60120000</v>
      </c>
    </row>
    <row r="1909" spans="1:4" ht="13.5" customHeight="1" x14ac:dyDescent="0.3">
      <c r="A1909" s="46">
        <v>1905</v>
      </c>
      <c r="B1909" s="47">
        <f t="shared" ca="1" si="29"/>
        <v>4.6917995806665225E-2</v>
      </c>
      <c r="C1909" s="48">
        <f t="array" aca="1" ref="C1909" ca="1">MAX(0,ROUND(Inputs!$B$10*Inputs!$B$11+NORMSINV(B1909)*SQRT(Inputs!$B$10*Inputs!$B$11),0))</f>
        <v>463</v>
      </c>
      <c r="D1909" s="49">
        <f ca="1">C1909*Inputs!$B$12</f>
        <v>55560000</v>
      </c>
    </row>
    <row r="1910" spans="1:4" ht="13.5" customHeight="1" x14ac:dyDescent="0.3">
      <c r="A1910" s="50">
        <v>1906</v>
      </c>
      <c r="B1910" s="51">
        <f t="shared" ca="1" si="29"/>
        <v>5.8837464986535304E-2</v>
      </c>
      <c r="C1910" s="48">
        <f t="array" aca="1" ref="C1910" ca="1">MAX(0,ROUND(Inputs!$B$10*Inputs!$B$11+NORMSINV(B1910)*SQRT(Inputs!$B$10*Inputs!$B$11),0))</f>
        <v>465</v>
      </c>
      <c r="D1910" s="52">
        <f ca="1">C1910*Inputs!$B$12</f>
        <v>55800000</v>
      </c>
    </row>
    <row r="1911" spans="1:4" ht="13.5" customHeight="1" x14ac:dyDescent="0.3">
      <c r="A1911" s="46">
        <v>1907</v>
      </c>
      <c r="B1911" s="47">
        <f t="shared" ca="1" si="29"/>
        <v>0.21950471325170484</v>
      </c>
      <c r="C1911" s="48">
        <f t="array" aca="1" ref="C1911" ca="1">MAX(0,ROUND(Inputs!$B$10*Inputs!$B$11+NORMSINV(B1911)*SQRT(Inputs!$B$10*Inputs!$B$11),0))</f>
        <v>483</v>
      </c>
      <c r="D1911" s="49">
        <f ca="1">C1911*Inputs!$B$12</f>
        <v>57960000</v>
      </c>
    </row>
    <row r="1912" spans="1:4" ht="13.5" customHeight="1" x14ac:dyDescent="0.3">
      <c r="A1912" s="50">
        <v>1908</v>
      </c>
      <c r="B1912" s="51">
        <f t="shared" ca="1" si="29"/>
        <v>0.62435216015793382</v>
      </c>
      <c r="C1912" s="48">
        <f t="array" aca="1" ref="C1912" ca="1">MAX(0,ROUND(Inputs!$B$10*Inputs!$B$11+NORMSINV(B1912)*SQRT(Inputs!$B$10*Inputs!$B$11),0))</f>
        <v>507</v>
      </c>
      <c r="D1912" s="52">
        <f ca="1">C1912*Inputs!$B$12</f>
        <v>60840000</v>
      </c>
    </row>
    <row r="1913" spans="1:4" ht="13.5" customHeight="1" x14ac:dyDescent="0.3">
      <c r="A1913" s="46">
        <v>1909</v>
      </c>
      <c r="B1913" s="47">
        <f t="shared" ca="1" si="29"/>
        <v>0.27878049226986834</v>
      </c>
      <c r="C1913" s="48">
        <f t="array" aca="1" ref="C1913" ca="1">MAX(0,ROUND(Inputs!$B$10*Inputs!$B$11+NORMSINV(B1913)*SQRT(Inputs!$B$10*Inputs!$B$11),0))</f>
        <v>487</v>
      </c>
      <c r="D1913" s="49">
        <f ca="1">C1913*Inputs!$B$12</f>
        <v>58440000</v>
      </c>
    </row>
    <row r="1914" spans="1:4" ht="13.5" customHeight="1" x14ac:dyDescent="0.3">
      <c r="A1914" s="50">
        <v>1910</v>
      </c>
      <c r="B1914" s="51">
        <f t="shared" ca="1" si="29"/>
        <v>0.66358568683923991</v>
      </c>
      <c r="C1914" s="48">
        <f t="array" aca="1" ref="C1914" ca="1">MAX(0,ROUND(Inputs!$B$10*Inputs!$B$11+NORMSINV(B1914)*SQRT(Inputs!$B$10*Inputs!$B$11),0))</f>
        <v>509</v>
      </c>
      <c r="D1914" s="52">
        <f ca="1">C1914*Inputs!$B$12</f>
        <v>61080000</v>
      </c>
    </row>
    <row r="1915" spans="1:4" ht="13.5" customHeight="1" x14ac:dyDescent="0.3">
      <c r="A1915" s="46">
        <v>1911</v>
      </c>
      <c r="B1915" s="47">
        <f t="shared" ca="1" si="29"/>
        <v>7.3792302474042559E-2</v>
      </c>
      <c r="C1915" s="48">
        <f t="array" aca="1" ref="C1915" ca="1">MAX(0,ROUND(Inputs!$B$10*Inputs!$B$11+NORMSINV(B1915)*SQRT(Inputs!$B$10*Inputs!$B$11),0))</f>
        <v>468</v>
      </c>
      <c r="D1915" s="49">
        <f ca="1">C1915*Inputs!$B$12</f>
        <v>56160000</v>
      </c>
    </row>
    <row r="1916" spans="1:4" ht="13.5" customHeight="1" x14ac:dyDescent="0.3">
      <c r="A1916" s="50">
        <v>1912</v>
      </c>
      <c r="B1916" s="51">
        <f t="shared" ca="1" si="29"/>
        <v>0.32033365202046871</v>
      </c>
      <c r="C1916" s="48">
        <f t="array" aca="1" ref="C1916" ca="1">MAX(0,ROUND(Inputs!$B$10*Inputs!$B$11+NORMSINV(B1916)*SQRT(Inputs!$B$10*Inputs!$B$11),0))</f>
        <v>490</v>
      </c>
      <c r="D1916" s="52">
        <f ca="1">C1916*Inputs!$B$12</f>
        <v>58800000</v>
      </c>
    </row>
    <row r="1917" spans="1:4" ht="13.5" customHeight="1" x14ac:dyDescent="0.3">
      <c r="A1917" s="46">
        <v>1913</v>
      </c>
      <c r="B1917" s="47">
        <f t="shared" ca="1" si="29"/>
        <v>0.12625962839117932</v>
      </c>
      <c r="C1917" s="48">
        <f t="array" aca="1" ref="C1917" ca="1">MAX(0,ROUND(Inputs!$B$10*Inputs!$B$11+NORMSINV(B1917)*SQRT(Inputs!$B$10*Inputs!$B$11),0))</f>
        <v>474</v>
      </c>
      <c r="D1917" s="49">
        <f ca="1">C1917*Inputs!$B$12</f>
        <v>56880000</v>
      </c>
    </row>
    <row r="1918" spans="1:4" ht="13.5" customHeight="1" x14ac:dyDescent="0.3">
      <c r="A1918" s="50">
        <v>1914</v>
      </c>
      <c r="B1918" s="51">
        <f t="shared" ca="1" si="29"/>
        <v>0.61743993811125508</v>
      </c>
      <c r="C1918" s="48">
        <f t="array" aca="1" ref="C1918" ca="1">MAX(0,ROUND(Inputs!$B$10*Inputs!$B$11+NORMSINV(B1918)*SQRT(Inputs!$B$10*Inputs!$B$11),0))</f>
        <v>507</v>
      </c>
      <c r="D1918" s="52">
        <f ca="1">C1918*Inputs!$B$12</f>
        <v>60840000</v>
      </c>
    </row>
    <row r="1919" spans="1:4" ht="13.5" customHeight="1" x14ac:dyDescent="0.3">
      <c r="A1919" s="46">
        <v>1915</v>
      </c>
      <c r="B1919" s="47">
        <f t="shared" ca="1" si="29"/>
        <v>0.7023550996942497</v>
      </c>
      <c r="C1919" s="48">
        <f t="array" aca="1" ref="C1919" ca="1">MAX(0,ROUND(Inputs!$B$10*Inputs!$B$11+NORMSINV(B1919)*SQRT(Inputs!$B$10*Inputs!$B$11),0))</f>
        <v>512</v>
      </c>
      <c r="D1919" s="49">
        <f ca="1">C1919*Inputs!$B$12</f>
        <v>61440000</v>
      </c>
    </row>
    <row r="1920" spans="1:4" ht="13.5" customHeight="1" x14ac:dyDescent="0.3">
      <c r="A1920" s="50">
        <v>1916</v>
      </c>
      <c r="B1920" s="51">
        <f t="shared" ca="1" si="29"/>
        <v>0.41141030788533739</v>
      </c>
      <c r="C1920" s="48">
        <f t="array" aca="1" ref="C1920" ca="1">MAX(0,ROUND(Inputs!$B$10*Inputs!$B$11+NORMSINV(B1920)*SQRT(Inputs!$B$10*Inputs!$B$11),0))</f>
        <v>495</v>
      </c>
      <c r="D1920" s="52">
        <f ca="1">C1920*Inputs!$B$12</f>
        <v>59400000</v>
      </c>
    </row>
    <row r="1921" spans="1:4" ht="13.5" customHeight="1" x14ac:dyDescent="0.3">
      <c r="A1921" s="46">
        <v>1917</v>
      </c>
      <c r="B1921" s="47">
        <f t="shared" ca="1" si="29"/>
        <v>0.82497032447168184</v>
      </c>
      <c r="C1921" s="48">
        <f t="array" aca="1" ref="C1921" ca="1">MAX(0,ROUND(Inputs!$B$10*Inputs!$B$11+NORMSINV(B1921)*SQRT(Inputs!$B$10*Inputs!$B$11),0))</f>
        <v>521</v>
      </c>
      <c r="D1921" s="49">
        <f ca="1">C1921*Inputs!$B$12</f>
        <v>62520000</v>
      </c>
    </row>
    <row r="1922" spans="1:4" ht="13.5" customHeight="1" x14ac:dyDescent="0.3">
      <c r="A1922" s="50">
        <v>1918</v>
      </c>
      <c r="B1922" s="51">
        <f t="shared" ca="1" si="29"/>
        <v>0.73553102416861316</v>
      </c>
      <c r="C1922" s="48">
        <f t="array" aca="1" ref="C1922" ca="1">MAX(0,ROUND(Inputs!$B$10*Inputs!$B$11+NORMSINV(B1922)*SQRT(Inputs!$B$10*Inputs!$B$11),0))</f>
        <v>514</v>
      </c>
      <c r="D1922" s="52">
        <f ca="1">C1922*Inputs!$B$12</f>
        <v>61680000</v>
      </c>
    </row>
    <row r="1923" spans="1:4" ht="13.5" customHeight="1" x14ac:dyDescent="0.3">
      <c r="A1923" s="46">
        <v>1919</v>
      </c>
      <c r="B1923" s="47">
        <f t="shared" ca="1" si="29"/>
        <v>0.8412680149744165</v>
      </c>
      <c r="C1923" s="48">
        <f t="array" aca="1" ref="C1923" ca="1">MAX(0,ROUND(Inputs!$B$10*Inputs!$B$11+NORMSINV(B1923)*SQRT(Inputs!$B$10*Inputs!$B$11),0))</f>
        <v>522</v>
      </c>
      <c r="D1923" s="49">
        <f ca="1">C1923*Inputs!$B$12</f>
        <v>62640000</v>
      </c>
    </row>
    <row r="1924" spans="1:4" ht="13.5" customHeight="1" x14ac:dyDescent="0.3">
      <c r="A1924" s="50">
        <v>1920</v>
      </c>
      <c r="B1924" s="51">
        <f t="shared" ca="1" si="29"/>
        <v>0.27812750861484969</v>
      </c>
      <c r="C1924" s="48">
        <f t="array" aca="1" ref="C1924" ca="1">MAX(0,ROUND(Inputs!$B$10*Inputs!$B$11+NORMSINV(B1924)*SQRT(Inputs!$B$10*Inputs!$B$11),0))</f>
        <v>487</v>
      </c>
      <c r="D1924" s="52">
        <f ca="1">C1924*Inputs!$B$12</f>
        <v>58440000</v>
      </c>
    </row>
    <row r="1925" spans="1:4" ht="13.5" customHeight="1" x14ac:dyDescent="0.3">
      <c r="A1925" s="46">
        <v>1921</v>
      </c>
      <c r="B1925" s="47">
        <f t="shared" ref="B1925:B1988" ca="1" si="30">RAND()</f>
        <v>0.42693389857904274</v>
      </c>
      <c r="C1925" s="48">
        <f t="array" aca="1" ref="C1925" ca="1">MAX(0,ROUND(Inputs!$B$10*Inputs!$B$11+NORMSINV(B1925)*SQRT(Inputs!$B$10*Inputs!$B$11),0))</f>
        <v>496</v>
      </c>
      <c r="D1925" s="49">
        <f ca="1">C1925*Inputs!$B$12</f>
        <v>59520000</v>
      </c>
    </row>
    <row r="1926" spans="1:4" ht="13.5" customHeight="1" x14ac:dyDescent="0.3">
      <c r="A1926" s="50">
        <v>1922</v>
      </c>
      <c r="B1926" s="51">
        <f t="shared" ca="1" si="30"/>
        <v>0.15309527305565962</v>
      </c>
      <c r="C1926" s="48">
        <f t="array" aca="1" ref="C1926" ca="1">MAX(0,ROUND(Inputs!$B$10*Inputs!$B$11+NORMSINV(B1926)*SQRT(Inputs!$B$10*Inputs!$B$11),0))</f>
        <v>477</v>
      </c>
      <c r="D1926" s="52">
        <f ca="1">C1926*Inputs!$B$12</f>
        <v>57240000</v>
      </c>
    </row>
    <row r="1927" spans="1:4" ht="13.5" customHeight="1" x14ac:dyDescent="0.3">
      <c r="A1927" s="46">
        <v>1923</v>
      </c>
      <c r="B1927" s="47">
        <f t="shared" ca="1" si="30"/>
        <v>2.4368010073344326E-2</v>
      </c>
      <c r="C1927" s="48">
        <f t="array" aca="1" ref="C1927" ca="1">MAX(0,ROUND(Inputs!$B$10*Inputs!$B$11+NORMSINV(B1927)*SQRT(Inputs!$B$10*Inputs!$B$11),0))</f>
        <v>456</v>
      </c>
      <c r="D1927" s="49">
        <f ca="1">C1927*Inputs!$B$12</f>
        <v>54720000</v>
      </c>
    </row>
    <row r="1928" spans="1:4" ht="13.5" customHeight="1" x14ac:dyDescent="0.3">
      <c r="A1928" s="50">
        <v>1924</v>
      </c>
      <c r="B1928" s="51">
        <f t="shared" ca="1" si="30"/>
        <v>2.0261564284538069E-2</v>
      </c>
      <c r="C1928" s="48">
        <f t="array" aca="1" ref="C1928" ca="1">MAX(0,ROUND(Inputs!$B$10*Inputs!$B$11+NORMSINV(B1928)*SQRT(Inputs!$B$10*Inputs!$B$11),0))</f>
        <v>454</v>
      </c>
      <c r="D1928" s="52">
        <f ca="1">C1928*Inputs!$B$12</f>
        <v>54480000</v>
      </c>
    </row>
    <row r="1929" spans="1:4" ht="13.5" customHeight="1" x14ac:dyDescent="0.3">
      <c r="A1929" s="46">
        <v>1925</v>
      </c>
      <c r="B1929" s="47">
        <f t="shared" ca="1" si="30"/>
        <v>0.60885210986846772</v>
      </c>
      <c r="C1929" s="48">
        <f t="array" aca="1" ref="C1929" ca="1">MAX(0,ROUND(Inputs!$B$10*Inputs!$B$11+NORMSINV(B1929)*SQRT(Inputs!$B$10*Inputs!$B$11),0))</f>
        <v>506</v>
      </c>
      <c r="D1929" s="49">
        <f ca="1">C1929*Inputs!$B$12</f>
        <v>60720000</v>
      </c>
    </row>
    <row r="1930" spans="1:4" ht="13.5" customHeight="1" x14ac:dyDescent="0.3">
      <c r="A1930" s="50">
        <v>1926</v>
      </c>
      <c r="B1930" s="51">
        <f t="shared" ca="1" si="30"/>
        <v>0.95517740787672467</v>
      </c>
      <c r="C1930" s="48">
        <f t="array" aca="1" ref="C1930" ca="1">MAX(0,ROUND(Inputs!$B$10*Inputs!$B$11+NORMSINV(B1930)*SQRT(Inputs!$B$10*Inputs!$B$11),0))</f>
        <v>538</v>
      </c>
      <c r="D1930" s="52">
        <f ca="1">C1930*Inputs!$B$12</f>
        <v>64560000</v>
      </c>
    </row>
    <row r="1931" spans="1:4" ht="13.5" customHeight="1" x14ac:dyDescent="0.3">
      <c r="A1931" s="46">
        <v>1927</v>
      </c>
      <c r="B1931" s="47">
        <f t="shared" ca="1" si="30"/>
        <v>0.48962339794888421</v>
      </c>
      <c r="C1931" s="48">
        <f t="array" aca="1" ref="C1931" ca="1">MAX(0,ROUND(Inputs!$B$10*Inputs!$B$11+NORMSINV(B1931)*SQRT(Inputs!$B$10*Inputs!$B$11),0))</f>
        <v>499</v>
      </c>
      <c r="D1931" s="49">
        <f ca="1">C1931*Inputs!$B$12</f>
        <v>59880000</v>
      </c>
    </row>
    <row r="1932" spans="1:4" ht="13.5" customHeight="1" x14ac:dyDescent="0.3">
      <c r="A1932" s="50">
        <v>1928</v>
      </c>
      <c r="B1932" s="51">
        <f t="shared" ca="1" si="30"/>
        <v>0.96649348290995174</v>
      </c>
      <c r="C1932" s="48">
        <f t="array" aca="1" ref="C1932" ca="1">MAX(0,ROUND(Inputs!$B$10*Inputs!$B$11+NORMSINV(B1932)*SQRT(Inputs!$B$10*Inputs!$B$11),0))</f>
        <v>541</v>
      </c>
      <c r="D1932" s="52">
        <f ca="1">C1932*Inputs!$B$12</f>
        <v>64920000</v>
      </c>
    </row>
    <row r="1933" spans="1:4" ht="13.5" customHeight="1" x14ac:dyDescent="0.3">
      <c r="A1933" s="46">
        <v>1929</v>
      </c>
      <c r="B1933" s="47">
        <f t="shared" ca="1" si="30"/>
        <v>0.86128335935298883</v>
      </c>
      <c r="C1933" s="48">
        <f t="array" aca="1" ref="C1933" ca="1">MAX(0,ROUND(Inputs!$B$10*Inputs!$B$11+NORMSINV(B1933)*SQRT(Inputs!$B$10*Inputs!$B$11),0))</f>
        <v>524</v>
      </c>
      <c r="D1933" s="49">
        <f ca="1">C1933*Inputs!$B$12</f>
        <v>62880000</v>
      </c>
    </row>
    <row r="1934" spans="1:4" ht="13.5" customHeight="1" x14ac:dyDescent="0.3">
      <c r="A1934" s="50">
        <v>1930</v>
      </c>
      <c r="B1934" s="51">
        <f t="shared" ca="1" si="30"/>
        <v>0.74237456430570381</v>
      </c>
      <c r="C1934" s="48">
        <f t="array" aca="1" ref="C1934" ca="1">MAX(0,ROUND(Inputs!$B$10*Inputs!$B$11+NORMSINV(B1934)*SQRT(Inputs!$B$10*Inputs!$B$11),0))</f>
        <v>515</v>
      </c>
      <c r="D1934" s="52">
        <f ca="1">C1934*Inputs!$B$12</f>
        <v>61800000</v>
      </c>
    </row>
    <row r="1935" spans="1:4" ht="13.5" customHeight="1" x14ac:dyDescent="0.3">
      <c r="A1935" s="46">
        <v>1931</v>
      </c>
      <c r="B1935" s="47">
        <f t="shared" ca="1" si="30"/>
        <v>0.70904724422200294</v>
      </c>
      <c r="C1935" s="48">
        <f t="array" aca="1" ref="C1935" ca="1">MAX(0,ROUND(Inputs!$B$10*Inputs!$B$11+NORMSINV(B1935)*SQRT(Inputs!$B$10*Inputs!$B$11),0))</f>
        <v>512</v>
      </c>
      <c r="D1935" s="49">
        <f ca="1">C1935*Inputs!$B$12</f>
        <v>61440000</v>
      </c>
    </row>
    <row r="1936" spans="1:4" ht="13.5" customHeight="1" x14ac:dyDescent="0.3">
      <c r="A1936" s="50">
        <v>1932</v>
      </c>
      <c r="B1936" s="51">
        <f t="shared" ca="1" si="30"/>
        <v>0.97071193450071891</v>
      </c>
      <c r="C1936" s="48">
        <f t="array" aca="1" ref="C1936" ca="1">MAX(0,ROUND(Inputs!$B$10*Inputs!$B$11+NORMSINV(B1936)*SQRT(Inputs!$B$10*Inputs!$B$11),0))</f>
        <v>542</v>
      </c>
      <c r="D1936" s="52">
        <f ca="1">C1936*Inputs!$B$12</f>
        <v>65040000</v>
      </c>
    </row>
    <row r="1937" spans="1:4" ht="13.5" customHeight="1" x14ac:dyDescent="0.3">
      <c r="A1937" s="46">
        <v>1933</v>
      </c>
      <c r="B1937" s="47">
        <f t="shared" ca="1" si="30"/>
        <v>0.95791535070857059</v>
      </c>
      <c r="C1937" s="48">
        <f t="array" aca="1" ref="C1937" ca="1">MAX(0,ROUND(Inputs!$B$10*Inputs!$B$11+NORMSINV(B1937)*SQRT(Inputs!$B$10*Inputs!$B$11),0))</f>
        <v>539</v>
      </c>
      <c r="D1937" s="49">
        <f ca="1">C1937*Inputs!$B$12</f>
        <v>64680000</v>
      </c>
    </row>
    <row r="1938" spans="1:4" ht="13.5" customHeight="1" x14ac:dyDescent="0.3">
      <c r="A1938" s="50">
        <v>1934</v>
      </c>
      <c r="B1938" s="51">
        <f t="shared" ca="1" si="30"/>
        <v>0.87747660785886161</v>
      </c>
      <c r="C1938" s="48">
        <f t="array" aca="1" ref="C1938" ca="1">MAX(0,ROUND(Inputs!$B$10*Inputs!$B$11+NORMSINV(B1938)*SQRT(Inputs!$B$10*Inputs!$B$11),0))</f>
        <v>526</v>
      </c>
      <c r="D1938" s="52">
        <f ca="1">C1938*Inputs!$B$12</f>
        <v>63120000</v>
      </c>
    </row>
    <row r="1939" spans="1:4" ht="13.5" customHeight="1" x14ac:dyDescent="0.3">
      <c r="A1939" s="46">
        <v>1935</v>
      </c>
      <c r="B1939" s="47">
        <f t="shared" ca="1" si="30"/>
        <v>0.64273033550190406</v>
      </c>
      <c r="C1939" s="48">
        <f t="array" aca="1" ref="C1939" ca="1">MAX(0,ROUND(Inputs!$B$10*Inputs!$B$11+NORMSINV(B1939)*SQRT(Inputs!$B$10*Inputs!$B$11),0))</f>
        <v>508</v>
      </c>
      <c r="D1939" s="49">
        <f ca="1">C1939*Inputs!$B$12</f>
        <v>60960000</v>
      </c>
    </row>
    <row r="1940" spans="1:4" ht="13.5" customHeight="1" x14ac:dyDescent="0.3">
      <c r="A1940" s="50">
        <v>1936</v>
      </c>
      <c r="B1940" s="51">
        <f t="shared" ca="1" si="30"/>
        <v>0.168297955189329</v>
      </c>
      <c r="C1940" s="48">
        <f t="array" aca="1" ref="C1940" ca="1">MAX(0,ROUND(Inputs!$B$10*Inputs!$B$11+NORMSINV(B1940)*SQRT(Inputs!$B$10*Inputs!$B$11),0))</f>
        <v>479</v>
      </c>
      <c r="D1940" s="52">
        <f ca="1">C1940*Inputs!$B$12</f>
        <v>57480000</v>
      </c>
    </row>
    <row r="1941" spans="1:4" ht="13.5" customHeight="1" x14ac:dyDescent="0.3">
      <c r="A1941" s="46">
        <v>1937</v>
      </c>
      <c r="B1941" s="47">
        <f t="shared" ca="1" si="30"/>
        <v>0.25101216276008131</v>
      </c>
      <c r="C1941" s="48">
        <f t="array" aca="1" ref="C1941" ca="1">MAX(0,ROUND(Inputs!$B$10*Inputs!$B$11+NORMSINV(B1941)*SQRT(Inputs!$B$10*Inputs!$B$11),0))</f>
        <v>485</v>
      </c>
      <c r="D1941" s="49">
        <f ca="1">C1941*Inputs!$B$12</f>
        <v>58200000</v>
      </c>
    </row>
    <row r="1942" spans="1:4" ht="13.5" customHeight="1" x14ac:dyDescent="0.3">
      <c r="A1942" s="50">
        <v>1938</v>
      </c>
      <c r="B1942" s="51">
        <f t="shared" ca="1" si="30"/>
        <v>0.25121109528932828</v>
      </c>
      <c r="C1942" s="48">
        <f t="array" aca="1" ref="C1942" ca="1">MAX(0,ROUND(Inputs!$B$10*Inputs!$B$11+NORMSINV(B1942)*SQRT(Inputs!$B$10*Inputs!$B$11),0))</f>
        <v>485</v>
      </c>
      <c r="D1942" s="52">
        <f ca="1">C1942*Inputs!$B$12</f>
        <v>58200000</v>
      </c>
    </row>
    <row r="1943" spans="1:4" ht="13.5" customHeight="1" x14ac:dyDescent="0.3">
      <c r="A1943" s="46">
        <v>1939</v>
      </c>
      <c r="B1943" s="47">
        <f t="shared" ca="1" si="30"/>
        <v>0.54257611549482743</v>
      </c>
      <c r="C1943" s="48">
        <f t="array" aca="1" ref="C1943" ca="1">MAX(0,ROUND(Inputs!$B$10*Inputs!$B$11+NORMSINV(B1943)*SQRT(Inputs!$B$10*Inputs!$B$11),0))</f>
        <v>502</v>
      </c>
      <c r="D1943" s="49">
        <f ca="1">C1943*Inputs!$B$12</f>
        <v>60240000</v>
      </c>
    </row>
    <row r="1944" spans="1:4" ht="13.5" customHeight="1" x14ac:dyDescent="0.3">
      <c r="A1944" s="50">
        <v>1940</v>
      </c>
      <c r="B1944" s="51">
        <f t="shared" ca="1" si="30"/>
        <v>0.50123685324554945</v>
      </c>
      <c r="C1944" s="48">
        <f t="array" aca="1" ref="C1944" ca="1">MAX(0,ROUND(Inputs!$B$10*Inputs!$B$11+NORMSINV(B1944)*SQRT(Inputs!$B$10*Inputs!$B$11),0))</f>
        <v>500</v>
      </c>
      <c r="D1944" s="52">
        <f ca="1">C1944*Inputs!$B$12</f>
        <v>60000000</v>
      </c>
    </row>
    <row r="1945" spans="1:4" ht="13.5" customHeight="1" x14ac:dyDescent="0.3">
      <c r="A1945" s="46">
        <v>1941</v>
      </c>
      <c r="B1945" s="47">
        <f t="shared" ca="1" si="30"/>
        <v>0.58004383980879148</v>
      </c>
      <c r="C1945" s="48">
        <f t="array" aca="1" ref="C1945" ca="1">MAX(0,ROUND(Inputs!$B$10*Inputs!$B$11+NORMSINV(B1945)*SQRT(Inputs!$B$10*Inputs!$B$11),0))</f>
        <v>505</v>
      </c>
      <c r="D1945" s="49">
        <f ca="1">C1945*Inputs!$B$12</f>
        <v>60600000</v>
      </c>
    </row>
    <row r="1946" spans="1:4" ht="13.5" customHeight="1" x14ac:dyDescent="0.3">
      <c r="A1946" s="50">
        <v>1942</v>
      </c>
      <c r="B1946" s="51">
        <f t="shared" ca="1" si="30"/>
        <v>0.17840626245887692</v>
      </c>
      <c r="C1946" s="48">
        <f t="array" aca="1" ref="C1946" ca="1">MAX(0,ROUND(Inputs!$B$10*Inputs!$B$11+NORMSINV(B1946)*SQRT(Inputs!$B$10*Inputs!$B$11),0))</f>
        <v>479</v>
      </c>
      <c r="D1946" s="52">
        <f ca="1">C1946*Inputs!$B$12</f>
        <v>57480000</v>
      </c>
    </row>
    <row r="1947" spans="1:4" ht="13.5" customHeight="1" x14ac:dyDescent="0.3">
      <c r="A1947" s="46">
        <v>1943</v>
      </c>
      <c r="B1947" s="47">
        <f t="shared" ca="1" si="30"/>
        <v>0.64156306841633659</v>
      </c>
      <c r="C1947" s="48">
        <f t="array" aca="1" ref="C1947" ca="1">MAX(0,ROUND(Inputs!$B$10*Inputs!$B$11+NORMSINV(B1947)*SQRT(Inputs!$B$10*Inputs!$B$11),0))</f>
        <v>508</v>
      </c>
      <c r="D1947" s="49">
        <f ca="1">C1947*Inputs!$B$12</f>
        <v>60960000</v>
      </c>
    </row>
    <row r="1948" spans="1:4" ht="13.5" customHeight="1" x14ac:dyDescent="0.3">
      <c r="A1948" s="50">
        <v>1944</v>
      </c>
      <c r="B1948" s="51">
        <f t="shared" ca="1" si="30"/>
        <v>0.20812075861378176</v>
      </c>
      <c r="C1948" s="48">
        <f t="array" aca="1" ref="C1948" ca="1">MAX(0,ROUND(Inputs!$B$10*Inputs!$B$11+NORMSINV(B1948)*SQRT(Inputs!$B$10*Inputs!$B$11),0))</f>
        <v>482</v>
      </c>
      <c r="D1948" s="52">
        <f ca="1">C1948*Inputs!$B$12</f>
        <v>57840000</v>
      </c>
    </row>
    <row r="1949" spans="1:4" ht="13.5" customHeight="1" x14ac:dyDescent="0.3">
      <c r="A1949" s="46">
        <v>1945</v>
      </c>
      <c r="B1949" s="47">
        <f t="shared" ca="1" si="30"/>
        <v>0.51333797006848692</v>
      </c>
      <c r="C1949" s="48">
        <f t="array" aca="1" ref="C1949" ca="1">MAX(0,ROUND(Inputs!$B$10*Inputs!$B$11+NORMSINV(B1949)*SQRT(Inputs!$B$10*Inputs!$B$11),0))</f>
        <v>501</v>
      </c>
      <c r="D1949" s="49">
        <f ca="1">C1949*Inputs!$B$12</f>
        <v>60120000</v>
      </c>
    </row>
    <row r="1950" spans="1:4" ht="13.5" customHeight="1" x14ac:dyDescent="0.3">
      <c r="A1950" s="50">
        <v>1946</v>
      </c>
      <c r="B1950" s="51">
        <f t="shared" ca="1" si="30"/>
        <v>0.77272414024055891</v>
      </c>
      <c r="C1950" s="48">
        <f t="array" aca="1" ref="C1950" ca="1">MAX(0,ROUND(Inputs!$B$10*Inputs!$B$11+NORMSINV(B1950)*SQRT(Inputs!$B$10*Inputs!$B$11),0))</f>
        <v>517</v>
      </c>
      <c r="D1950" s="52">
        <f ca="1">C1950*Inputs!$B$12</f>
        <v>62040000</v>
      </c>
    </row>
    <row r="1951" spans="1:4" ht="13.5" customHeight="1" x14ac:dyDescent="0.3">
      <c r="A1951" s="46">
        <v>1947</v>
      </c>
      <c r="B1951" s="47">
        <f t="shared" ca="1" si="30"/>
        <v>0.17787807540766254</v>
      </c>
      <c r="C1951" s="48">
        <f t="array" aca="1" ref="C1951" ca="1">MAX(0,ROUND(Inputs!$B$10*Inputs!$B$11+NORMSINV(B1951)*SQRT(Inputs!$B$10*Inputs!$B$11),0))</f>
        <v>479</v>
      </c>
      <c r="D1951" s="49">
        <f ca="1">C1951*Inputs!$B$12</f>
        <v>57480000</v>
      </c>
    </row>
    <row r="1952" spans="1:4" ht="13.5" customHeight="1" x14ac:dyDescent="0.3">
      <c r="A1952" s="50">
        <v>1948</v>
      </c>
      <c r="B1952" s="51">
        <f t="shared" ca="1" si="30"/>
        <v>0.32332015648678469</v>
      </c>
      <c r="C1952" s="48">
        <f t="array" aca="1" ref="C1952" ca="1">MAX(0,ROUND(Inputs!$B$10*Inputs!$B$11+NORMSINV(B1952)*SQRT(Inputs!$B$10*Inputs!$B$11),0))</f>
        <v>490</v>
      </c>
      <c r="D1952" s="52">
        <f ca="1">C1952*Inputs!$B$12</f>
        <v>58800000</v>
      </c>
    </row>
    <row r="1953" spans="1:4" ht="13.5" customHeight="1" x14ac:dyDescent="0.3">
      <c r="A1953" s="46">
        <v>1949</v>
      </c>
      <c r="B1953" s="47">
        <f t="shared" ca="1" si="30"/>
        <v>0.26973811420538774</v>
      </c>
      <c r="C1953" s="48">
        <f t="array" aca="1" ref="C1953" ca="1">MAX(0,ROUND(Inputs!$B$10*Inputs!$B$11+NORMSINV(B1953)*SQRT(Inputs!$B$10*Inputs!$B$11),0))</f>
        <v>486</v>
      </c>
      <c r="D1953" s="49">
        <f ca="1">C1953*Inputs!$B$12</f>
        <v>58320000</v>
      </c>
    </row>
    <row r="1954" spans="1:4" ht="13.5" customHeight="1" x14ac:dyDescent="0.3">
      <c r="A1954" s="50">
        <v>1950</v>
      </c>
      <c r="B1954" s="51">
        <f t="shared" ca="1" si="30"/>
        <v>0.52775230382952887</v>
      </c>
      <c r="C1954" s="48">
        <f t="array" aca="1" ref="C1954" ca="1">MAX(0,ROUND(Inputs!$B$10*Inputs!$B$11+NORMSINV(B1954)*SQRT(Inputs!$B$10*Inputs!$B$11),0))</f>
        <v>502</v>
      </c>
      <c r="D1954" s="52">
        <f ca="1">C1954*Inputs!$B$12</f>
        <v>60240000</v>
      </c>
    </row>
    <row r="1955" spans="1:4" ht="13.5" customHeight="1" x14ac:dyDescent="0.3">
      <c r="A1955" s="46">
        <v>1951</v>
      </c>
      <c r="B1955" s="47">
        <f t="shared" ca="1" si="30"/>
        <v>0.64700305497880262</v>
      </c>
      <c r="C1955" s="48">
        <f t="array" aca="1" ref="C1955" ca="1">MAX(0,ROUND(Inputs!$B$10*Inputs!$B$11+NORMSINV(B1955)*SQRT(Inputs!$B$10*Inputs!$B$11),0))</f>
        <v>508</v>
      </c>
      <c r="D1955" s="49">
        <f ca="1">C1955*Inputs!$B$12</f>
        <v>60960000</v>
      </c>
    </row>
    <row r="1956" spans="1:4" ht="13.5" customHeight="1" x14ac:dyDescent="0.3">
      <c r="A1956" s="50">
        <v>1952</v>
      </c>
      <c r="B1956" s="51">
        <f t="shared" ca="1" si="30"/>
        <v>0.10087020652742451</v>
      </c>
      <c r="C1956" s="48">
        <f t="array" aca="1" ref="C1956" ca="1">MAX(0,ROUND(Inputs!$B$10*Inputs!$B$11+NORMSINV(B1956)*SQRT(Inputs!$B$10*Inputs!$B$11),0))</f>
        <v>471</v>
      </c>
      <c r="D1956" s="52">
        <f ca="1">C1956*Inputs!$B$12</f>
        <v>56520000</v>
      </c>
    </row>
    <row r="1957" spans="1:4" ht="13.5" customHeight="1" x14ac:dyDescent="0.3">
      <c r="A1957" s="46">
        <v>1953</v>
      </c>
      <c r="B1957" s="47">
        <f t="shared" ca="1" si="30"/>
        <v>0.8898485655895727</v>
      </c>
      <c r="C1957" s="48">
        <f t="array" aca="1" ref="C1957" ca="1">MAX(0,ROUND(Inputs!$B$10*Inputs!$B$11+NORMSINV(B1957)*SQRT(Inputs!$B$10*Inputs!$B$11),0))</f>
        <v>527</v>
      </c>
      <c r="D1957" s="49">
        <f ca="1">C1957*Inputs!$B$12</f>
        <v>63240000</v>
      </c>
    </row>
    <row r="1958" spans="1:4" ht="13.5" customHeight="1" x14ac:dyDescent="0.3">
      <c r="A1958" s="50">
        <v>1954</v>
      </c>
      <c r="B1958" s="51">
        <f t="shared" ca="1" si="30"/>
        <v>0.40179827337746488</v>
      </c>
      <c r="C1958" s="48">
        <f t="array" aca="1" ref="C1958" ca="1">MAX(0,ROUND(Inputs!$B$10*Inputs!$B$11+NORMSINV(B1958)*SQRT(Inputs!$B$10*Inputs!$B$11),0))</f>
        <v>494</v>
      </c>
      <c r="D1958" s="52">
        <f ca="1">C1958*Inputs!$B$12</f>
        <v>59280000</v>
      </c>
    </row>
    <row r="1959" spans="1:4" ht="13.5" customHeight="1" x14ac:dyDescent="0.3">
      <c r="A1959" s="46">
        <v>1955</v>
      </c>
      <c r="B1959" s="47">
        <f t="shared" ca="1" si="30"/>
        <v>0.51412942306901122</v>
      </c>
      <c r="C1959" s="48">
        <f t="array" aca="1" ref="C1959" ca="1">MAX(0,ROUND(Inputs!$B$10*Inputs!$B$11+NORMSINV(B1959)*SQRT(Inputs!$B$10*Inputs!$B$11),0))</f>
        <v>501</v>
      </c>
      <c r="D1959" s="49">
        <f ca="1">C1959*Inputs!$B$12</f>
        <v>60120000</v>
      </c>
    </row>
    <row r="1960" spans="1:4" ht="13.5" customHeight="1" x14ac:dyDescent="0.3">
      <c r="A1960" s="50">
        <v>1956</v>
      </c>
      <c r="B1960" s="51">
        <f t="shared" ca="1" si="30"/>
        <v>0.39146274084720223</v>
      </c>
      <c r="C1960" s="48">
        <f t="array" aca="1" ref="C1960" ca="1">MAX(0,ROUND(Inputs!$B$10*Inputs!$B$11+NORMSINV(B1960)*SQRT(Inputs!$B$10*Inputs!$B$11),0))</f>
        <v>494</v>
      </c>
      <c r="D1960" s="52">
        <f ca="1">C1960*Inputs!$B$12</f>
        <v>59280000</v>
      </c>
    </row>
    <row r="1961" spans="1:4" ht="13.5" customHeight="1" x14ac:dyDescent="0.3">
      <c r="A1961" s="46">
        <v>1957</v>
      </c>
      <c r="B1961" s="47">
        <f t="shared" ca="1" si="30"/>
        <v>0.88834769982265538</v>
      </c>
      <c r="C1961" s="48">
        <f t="array" aca="1" ref="C1961" ca="1">MAX(0,ROUND(Inputs!$B$10*Inputs!$B$11+NORMSINV(B1961)*SQRT(Inputs!$B$10*Inputs!$B$11),0))</f>
        <v>527</v>
      </c>
      <c r="D1961" s="49">
        <f ca="1">C1961*Inputs!$B$12</f>
        <v>63240000</v>
      </c>
    </row>
    <row r="1962" spans="1:4" ht="13.5" customHeight="1" x14ac:dyDescent="0.3">
      <c r="A1962" s="50">
        <v>1958</v>
      </c>
      <c r="B1962" s="51">
        <f t="shared" ca="1" si="30"/>
        <v>0.34601492454493699</v>
      </c>
      <c r="C1962" s="48">
        <f t="array" aca="1" ref="C1962" ca="1">MAX(0,ROUND(Inputs!$B$10*Inputs!$B$11+NORMSINV(B1962)*SQRT(Inputs!$B$10*Inputs!$B$11),0))</f>
        <v>491</v>
      </c>
      <c r="D1962" s="52">
        <f ca="1">C1962*Inputs!$B$12</f>
        <v>58920000</v>
      </c>
    </row>
    <row r="1963" spans="1:4" ht="13.5" customHeight="1" x14ac:dyDescent="0.3">
      <c r="A1963" s="46">
        <v>1959</v>
      </c>
      <c r="B1963" s="47">
        <f t="shared" ca="1" si="30"/>
        <v>0.36248887413438791</v>
      </c>
      <c r="C1963" s="48">
        <f t="array" aca="1" ref="C1963" ca="1">MAX(0,ROUND(Inputs!$B$10*Inputs!$B$11+NORMSINV(B1963)*SQRT(Inputs!$B$10*Inputs!$B$11),0))</f>
        <v>492</v>
      </c>
      <c r="D1963" s="49">
        <f ca="1">C1963*Inputs!$B$12</f>
        <v>59040000</v>
      </c>
    </row>
    <row r="1964" spans="1:4" ht="13.5" customHeight="1" x14ac:dyDescent="0.3">
      <c r="A1964" s="50">
        <v>1960</v>
      </c>
      <c r="B1964" s="51">
        <f t="shared" ca="1" si="30"/>
        <v>0.57675169335202947</v>
      </c>
      <c r="C1964" s="48">
        <f t="array" aca="1" ref="C1964" ca="1">MAX(0,ROUND(Inputs!$B$10*Inputs!$B$11+NORMSINV(B1964)*SQRT(Inputs!$B$10*Inputs!$B$11),0))</f>
        <v>504</v>
      </c>
      <c r="D1964" s="52">
        <f ca="1">C1964*Inputs!$B$12</f>
        <v>60480000</v>
      </c>
    </row>
    <row r="1965" spans="1:4" ht="13.5" customHeight="1" x14ac:dyDescent="0.3">
      <c r="A1965" s="46">
        <v>1961</v>
      </c>
      <c r="B1965" s="47">
        <f t="shared" ca="1" si="30"/>
        <v>0.99725784947594331</v>
      </c>
      <c r="C1965" s="48">
        <f t="array" aca="1" ref="C1965" ca="1">MAX(0,ROUND(Inputs!$B$10*Inputs!$B$11+NORMSINV(B1965)*SQRT(Inputs!$B$10*Inputs!$B$11),0))</f>
        <v>562</v>
      </c>
      <c r="D1965" s="49">
        <f ca="1">C1965*Inputs!$B$12</f>
        <v>67440000</v>
      </c>
    </row>
    <row r="1966" spans="1:4" ht="13.5" customHeight="1" x14ac:dyDescent="0.3">
      <c r="A1966" s="50">
        <v>1962</v>
      </c>
      <c r="B1966" s="51">
        <f t="shared" ca="1" si="30"/>
        <v>0.57320833337674337</v>
      </c>
      <c r="C1966" s="48">
        <f t="array" aca="1" ref="C1966" ca="1">MAX(0,ROUND(Inputs!$B$10*Inputs!$B$11+NORMSINV(B1966)*SQRT(Inputs!$B$10*Inputs!$B$11),0))</f>
        <v>504</v>
      </c>
      <c r="D1966" s="52">
        <f ca="1">C1966*Inputs!$B$12</f>
        <v>60480000</v>
      </c>
    </row>
    <row r="1967" spans="1:4" ht="13.5" customHeight="1" x14ac:dyDescent="0.3">
      <c r="A1967" s="46">
        <v>1963</v>
      </c>
      <c r="B1967" s="47">
        <f t="shared" ca="1" si="30"/>
        <v>0.3652730662556658</v>
      </c>
      <c r="C1967" s="48">
        <f t="array" aca="1" ref="C1967" ca="1">MAX(0,ROUND(Inputs!$B$10*Inputs!$B$11+NORMSINV(B1967)*SQRT(Inputs!$B$10*Inputs!$B$11),0))</f>
        <v>492</v>
      </c>
      <c r="D1967" s="49">
        <f ca="1">C1967*Inputs!$B$12</f>
        <v>59040000</v>
      </c>
    </row>
    <row r="1968" spans="1:4" ht="13.5" customHeight="1" x14ac:dyDescent="0.3">
      <c r="A1968" s="50">
        <v>1964</v>
      </c>
      <c r="B1968" s="51">
        <f t="shared" ca="1" si="30"/>
        <v>0.69362724792774832</v>
      </c>
      <c r="C1968" s="48">
        <f t="array" aca="1" ref="C1968" ca="1">MAX(0,ROUND(Inputs!$B$10*Inputs!$B$11+NORMSINV(B1968)*SQRT(Inputs!$B$10*Inputs!$B$11),0))</f>
        <v>511</v>
      </c>
      <c r="D1968" s="52">
        <f ca="1">C1968*Inputs!$B$12</f>
        <v>61320000</v>
      </c>
    </row>
    <row r="1969" spans="1:4" ht="13.5" customHeight="1" x14ac:dyDescent="0.3">
      <c r="A1969" s="46">
        <v>1965</v>
      </c>
      <c r="B1969" s="47">
        <f t="shared" ca="1" si="30"/>
        <v>0.51276604147479798</v>
      </c>
      <c r="C1969" s="48">
        <f t="array" aca="1" ref="C1969" ca="1">MAX(0,ROUND(Inputs!$B$10*Inputs!$B$11+NORMSINV(B1969)*SQRT(Inputs!$B$10*Inputs!$B$11),0))</f>
        <v>501</v>
      </c>
      <c r="D1969" s="49">
        <f ca="1">C1969*Inputs!$B$12</f>
        <v>60120000</v>
      </c>
    </row>
    <row r="1970" spans="1:4" ht="13.5" customHeight="1" x14ac:dyDescent="0.3">
      <c r="A1970" s="50">
        <v>1966</v>
      </c>
      <c r="B1970" s="51">
        <f t="shared" ca="1" si="30"/>
        <v>0.19298777856285843</v>
      </c>
      <c r="C1970" s="48">
        <f t="array" aca="1" ref="C1970" ca="1">MAX(0,ROUND(Inputs!$B$10*Inputs!$B$11+NORMSINV(B1970)*SQRT(Inputs!$B$10*Inputs!$B$11),0))</f>
        <v>481</v>
      </c>
      <c r="D1970" s="52">
        <f ca="1">C1970*Inputs!$B$12</f>
        <v>57720000</v>
      </c>
    </row>
    <row r="1971" spans="1:4" ht="13.5" customHeight="1" x14ac:dyDescent="0.3">
      <c r="A1971" s="46">
        <v>1967</v>
      </c>
      <c r="B1971" s="47">
        <f t="shared" ca="1" si="30"/>
        <v>1.1062832509772802E-3</v>
      </c>
      <c r="C1971" s="48">
        <f t="array" aca="1" ref="C1971" ca="1">MAX(0,ROUND(Inputs!$B$10*Inputs!$B$11+NORMSINV(B1971)*SQRT(Inputs!$B$10*Inputs!$B$11),0))</f>
        <v>432</v>
      </c>
      <c r="D1971" s="49">
        <f ca="1">C1971*Inputs!$B$12</f>
        <v>51840000</v>
      </c>
    </row>
    <row r="1972" spans="1:4" ht="13.5" customHeight="1" x14ac:dyDescent="0.3">
      <c r="A1972" s="50">
        <v>1968</v>
      </c>
      <c r="B1972" s="51">
        <f t="shared" ca="1" si="30"/>
        <v>0.862143233753213</v>
      </c>
      <c r="C1972" s="48">
        <f t="array" aca="1" ref="C1972" ca="1">MAX(0,ROUND(Inputs!$B$10*Inputs!$B$11+NORMSINV(B1972)*SQRT(Inputs!$B$10*Inputs!$B$11),0))</f>
        <v>524</v>
      </c>
      <c r="D1972" s="52">
        <f ca="1">C1972*Inputs!$B$12</f>
        <v>62880000</v>
      </c>
    </row>
    <row r="1973" spans="1:4" ht="13.5" customHeight="1" x14ac:dyDescent="0.3">
      <c r="A1973" s="46">
        <v>1969</v>
      </c>
      <c r="B1973" s="47">
        <f t="shared" ca="1" si="30"/>
        <v>0.28953531163906088</v>
      </c>
      <c r="C1973" s="48">
        <f t="array" aca="1" ref="C1973" ca="1">MAX(0,ROUND(Inputs!$B$10*Inputs!$B$11+NORMSINV(B1973)*SQRT(Inputs!$B$10*Inputs!$B$11),0))</f>
        <v>488</v>
      </c>
      <c r="D1973" s="49">
        <f ca="1">C1973*Inputs!$B$12</f>
        <v>58560000</v>
      </c>
    </row>
    <row r="1974" spans="1:4" ht="13.5" customHeight="1" x14ac:dyDescent="0.3">
      <c r="A1974" s="50">
        <v>1970</v>
      </c>
      <c r="B1974" s="51">
        <f t="shared" ca="1" si="30"/>
        <v>0.21383011957766895</v>
      </c>
      <c r="C1974" s="48">
        <f t="array" aca="1" ref="C1974" ca="1">MAX(0,ROUND(Inputs!$B$10*Inputs!$B$11+NORMSINV(B1974)*SQRT(Inputs!$B$10*Inputs!$B$11),0))</f>
        <v>482</v>
      </c>
      <c r="D1974" s="52">
        <f ca="1">C1974*Inputs!$B$12</f>
        <v>57840000</v>
      </c>
    </row>
    <row r="1975" spans="1:4" ht="13.5" customHeight="1" x14ac:dyDescent="0.3">
      <c r="A1975" s="46">
        <v>1971</v>
      </c>
      <c r="B1975" s="47">
        <f t="shared" ca="1" si="30"/>
        <v>0.54342567965788857</v>
      </c>
      <c r="C1975" s="48">
        <f t="array" aca="1" ref="C1975" ca="1">MAX(0,ROUND(Inputs!$B$10*Inputs!$B$11+NORMSINV(B1975)*SQRT(Inputs!$B$10*Inputs!$B$11),0))</f>
        <v>502</v>
      </c>
      <c r="D1975" s="49">
        <f ca="1">C1975*Inputs!$B$12</f>
        <v>60240000</v>
      </c>
    </row>
    <row r="1976" spans="1:4" ht="13.5" customHeight="1" x14ac:dyDescent="0.3">
      <c r="A1976" s="50">
        <v>1972</v>
      </c>
      <c r="B1976" s="51">
        <f t="shared" ca="1" si="30"/>
        <v>0.10635201981908848</v>
      </c>
      <c r="C1976" s="48">
        <f t="array" aca="1" ref="C1976" ca="1">MAX(0,ROUND(Inputs!$B$10*Inputs!$B$11+NORMSINV(B1976)*SQRT(Inputs!$B$10*Inputs!$B$11),0))</f>
        <v>472</v>
      </c>
      <c r="D1976" s="52">
        <f ca="1">C1976*Inputs!$B$12</f>
        <v>56640000</v>
      </c>
    </row>
    <row r="1977" spans="1:4" ht="13.5" customHeight="1" x14ac:dyDescent="0.3">
      <c r="A1977" s="46">
        <v>1973</v>
      </c>
      <c r="B1977" s="47">
        <f t="shared" ca="1" si="30"/>
        <v>0.92964536004528386</v>
      </c>
      <c r="C1977" s="48">
        <f t="array" aca="1" ref="C1977" ca="1">MAX(0,ROUND(Inputs!$B$10*Inputs!$B$11+NORMSINV(B1977)*SQRT(Inputs!$B$10*Inputs!$B$11),0))</f>
        <v>533</v>
      </c>
      <c r="D1977" s="49">
        <f ca="1">C1977*Inputs!$B$12</f>
        <v>63960000</v>
      </c>
    </row>
    <row r="1978" spans="1:4" ht="13.5" customHeight="1" x14ac:dyDescent="0.3">
      <c r="A1978" s="50">
        <v>1974</v>
      </c>
      <c r="B1978" s="51">
        <f t="shared" ca="1" si="30"/>
        <v>0.24639079834775257</v>
      </c>
      <c r="C1978" s="48">
        <f t="array" aca="1" ref="C1978" ca="1">MAX(0,ROUND(Inputs!$B$10*Inputs!$B$11+NORMSINV(B1978)*SQRT(Inputs!$B$10*Inputs!$B$11),0))</f>
        <v>485</v>
      </c>
      <c r="D1978" s="52">
        <f ca="1">C1978*Inputs!$B$12</f>
        <v>58200000</v>
      </c>
    </row>
    <row r="1979" spans="1:4" ht="13.5" customHeight="1" x14ac:dyDescent="0.3">
      <c r="A1979" s="46">
        <v>1975</v>
      </c>
      <c r="B1979" s="47">
        <f t="shared" ca="1" si="30"/>
        <v>0.47143314205261821</v>
      </c>
      <c r="C1979" s="48">
        <f t="array" aca="1" ref="C1979" ca="1">MAX(0,ROUND(Inputs!$B$10*Inputs!$B$11+NORMSINV(B1979)*SQRT(Inputs!$B$10*Inputs!$B$11),0))</f>
        <v>498</v>
      </c>
      <c r="D1979" s="49">
        <f ca="1">C1979*Inputs!$B$12</f>
        <v>59760000</v>
      </c>
    </row>
    <row r="1980" spans="1:4" ht="13.5" customHeight="1" x14ac:dyDescent="0.3">
      <c r="A1980" s="50">
        <v>1976</v>
      </c>
      <c r="B1980" s="51">
        <f t="shared" ca="1" si="30"/>
        <v>0.40156713423132229</v>
      </c>
      <c r="C1980" s="48">
        <f t="array" aca="1" ref="C1980" ca="1">MAX(0,ROUND(Inputs!$B$10*Inputs!$B$11+NORMSINV(B1980)*SQRT(Inputs!$B$10*Inputs!$B$11),0))</f>
        <v>494</v>
      </c>
      <c r="D1980" s="52">
        <f ca="1">C1980*Inputs!$B$12</f>
        <v>59280000</v>
      </c>
    </row>
    <row r="1981" spans="1:4" ht="13.5" customHeight="1" x14ac:dyDescent="0.3">
      <c r="A1981" s="46">
        <v>1977</v>
      </c>
      <c r="B1981" s="47">
        <f t="shared" ca="1" si="30"/>
        <v>0.49707786019251599</v>
      </c>
      <c r="C1981" s="48">
        <f t="array" aca="1" ref="C1981" ca="1">MAX(0,ROUND(Inputs!$B$10*Inputs!$B$11+NORMSINV(B1981)*SQRT(Inputs!$B$10*Inputs!$B$11),0))</f>
        <v>500</v>
      </c>
      <c r="D1981" s="49">
        <f ca="1">C1981*Inputs!$B$12</f>
        <v>60000000</v>
      </c>
    </row>
    <row r="1982" spans="1:4" ht="13.5" customHeight="1" x14ac:dyDescent="0.3">
      <c r="A1982" s="50">
        <v>1978</v>
      </c>
      <c r="B1982" s="51">
        <f t="shared" ca="1" si="30"/>
        <v>0.60334101720054445</v>
      </c>
      <c r="C1982" s="48">
        <f t="array" aca="1" ref="C1982" ca="1">MAX(0,ROUND(Inputs!$B$10*Inputs!$B$11+NORMSINV(B1982)*SQRT(Inputs!$B$10*Inputs!$B$11),0))</f>
        <v>506</v>
      </c>
      <c r="D1982" s="52">
        <f ca="1">C1982*Inputs!$B$12</f>
        <v>60720000</v>
      </c>
    </row>
    <row r="1983" spans="1:4" ht="13.5" customHeight="1" x14ac:dyDescent="0.3">
      <c r="A1983" s="46">
        <v>1979</v>
      </c>
      <c r="B1983" s="47">
        <f t="shared" ca="1" si="30"/>
        <v>5.6003839104136977E-2</v>
      </c>
      <c r="C1983" s="48">
        <f t="array" aca="1" ref="C1983" ca="1">MAX(0,ROUND(Inputs!$B$10*Inputs!$B$11+NORMSINV(B1983)*SQRT(Inputs!$B$10*Inputs!$B$11),0))</f>
        <v>464</v>
      </c>
      <c r="D1983" s="49">
        <f ca="1">C1983*Inputs!$B$12</f>
        <v>55680000</v>
      </c>
    </row>
    <row r="1984" spans="1:4" ht="13.5" customHeight="1" x14ac:dyDescent="0.3">
      <c r="A1984" s="50">
        <v>1980</v>
      </c>
      <c r="B1984" s="51">
        <f t="shared" ca="1" si="30"/>
        <v>0.17572670501250287</v>
      </c>
      <c r="C1984" s="48">
        <f t="array" aca="1" ref="C1984" ca="1">MAX(0,ROUND(Inputs!$B$10*Inputs!$B$11+NORMSINV(B1984)*SQRT(Inputs!$B$10*Inputs!$B$11),0))</f>
        <v>479</v>
      </c>
      <c r="D1984" s="52">
        <f ca="1">C1984*Inputs!$B$12</f>
        <v>57480000</v>
      </c>
    </row>
    <row r="1985" spans="1:4" ht="13.5" customHeight="1" x14ac:dyDescent="0.3">
      <c r="A1985" s="46">
        <v>1981</v>
      </c>
      <c r="B1985" s="47">
        <f t="shared" ca="1" si="30"/>
        <v>0.37259059639143433</v>
      </c>
      <c r="C1985" s="48">
        <f t="array" aca="1" ref="C1985" ca="1">MAX(0,ROUND(Inputs!$B$10*Inputs!$B$11+NORMSINV(B1985)*SQRT(Inputs!$B$10*Inputs!$B$11),0))</f>
        <v>493</v>
      </c>
      <c r="D1985" s="49">
        <f ca="1">C1985*Inputs!$B$12</f>
        <v>59160000</v>
      </c>
    </row>
    <row r="1986" spans="1:4" ht="13.5" customHeight="1" x14ac:dyDescent="0.3">
      <c r="A1986" s="50">
        <v>1982</v>
      </c>
      <c r="B1986" s="51">
        <f t="shared" ca="1" si="30"/>
        <v>0.32654656761251832</v>
      </c>
      <c r="C1986" s="48">
        <f t="array" aca="1" ref="C1986" ca="1">MAX(0,ROUND(Inputs!$B$10*Inputs!$B$11+NORMSINV(B1986)*SQRT(Inputs!$B$10*Inputs!$B$11),0))</f>
        <v>490</v>
      </c>
      <c r="D1986" s="52">
        <f ca="1">C1986*Inputs!$B$12</f>
        <v>58800000</v>
      </c>
    </row>
    <row r="1987" spans="1:4" ht="13.5" customHeight="1" x14ac:dyDescent="0.3">
      <c r="A1987" s="46">
        <v>1983</v>
      </c>
      <c r="B1987" s="47">
        <f t="shared" ca="1" si="30"/>
        <v>0.36709789424575068</v>
      </c>
      <c r="C1987" s="48">
        <f t="array" aca="1" ref="C1987" ca="1">MAX(0,ROUND(Inputs!$B$10*Inputs!$B$11+NORMSINV(B1987)*SQRT(Inputs!$B$10*Inputs!$B$11),0))</f>
        <v>492</v>
      </c>
      <c r="D1987" s="49">
        <f ca="1">C1987*Inputs!$B$12</f>
        <v>59040000</v>
      </c>
    </row>
    <row r="1988" spans="1:4" ht="13.5" customHeight="1" x14ac:dyDescent="0.3">
      <c r="A1988" s="50">
        <v>1984</v>
      </c>
      <c r="B1988" s="51">
        <f t="shared" ca="1" si="30"/>
        <v>0.76044989485180137</v>
      </c>
      <c r="C1988" s="48">
        <f t="array" aca="1" ref="C1988" ca="1">MAX(0,ROUND(Inputs!$B$10*Inputs!$B$11+NORMSINV(B1988)*SQRT(Inputs!$B$10*Inputs!$B$11),0))</f>
        <v>516</v>
      </c>
      <c r="D1988" s="52">
        <f ca="1">C1988*Inputs!$B$12</f>
        <v>61920000</v>
      </c>
    </row>
    <row r="1989" spans="1:4" ht="13.5" customHeight="1" x14ac:dyDescent="0.3">
      <c r="A1989" s="46">
        <v>1985</v>
      </c>
      <c r="B1989" s="47">
        <f t="shared" ref="B1989:B2052" ca="1" si="31">RAND()</f>
        <v>0.97765038737415133</v>
      </c>
      <c r="C1989" s="48">
        <f t="array" aca="1" ref="C1989" ca="1">MAX(0,ROUND(Inputs!$B$10*Inputs!$B$11+NORMSINV(B1989)*SQRT(Inputs!$B$10*Inputs!$B$11),0))</f>
        <v>545</v>
      </c>
      <c r="D1989" s="49">
        <f ca="1">C1989*Inputs!$B$12</f>
        <v>65400000</v>
      </c>
    </row>
    <row r="1990" spans="1:4" ht="13.5" customHeight="1" x14ac:dyDescent="0.3">
      <c r="A1990" s="50">
        <v>1986</v>
      </c>
      <c r="B1990" s="51">
        <f t="shared" ca="1" si="31"/>
        <v>0.99806951665239729</v>
      </c>
      <c r="C1990" s="48">
        <f t="array" aca="1" ref="C1990" ca="1">MAX(0,ROUND(Inputs!$B$10*Inputs!$B$11+NORMSINV(B1990)*SQRT(Inputs!$B$10*Inputs!$B$11),0))</f>
        <v>565</v>
      </c>
      <c r="D1990" s="52">
        <f ca="1">C1990*Inputs!$B$12</f>
        <v>67800000</v>
      </c>
    </row>
    <row r="1991" spans="1:4" ht="13.5" customHeight="1" x14ac:dyDescent="0.3">
      <c r="A1991" s="46">
        <v>1987</v>
      </c>
      <c r="B1991" s="47">
        <f t="shared" ca="1" si="31"/>
        <v>0.31440448870506266</v>
      </c>
      <c r="C1991" s="48">
        <f t="array" aca="1" ref="C1991" ca="1">MAX(0,ROUND(Inputs!$B$10*Inputs!$B$11+NORMSINV(B1991)*SQRT(Inputs!$B$10*Inputs!$B$11),0))</f>
        <v>489</v>
      </c>
      <c r="D1991" s="49">
        <f ca="1">C1991*Inputs!$B$12</f>
        <v>58680000</v>
      </c>
    </row>
    <row r="1992" spans="1:4" ht="13.5" customHeight="1" x14ac:dyDescent="0.3">
      <c r="A1992" s="50">
        <v>1988</v>
      </c>
      <c r="B1992" s="51">
        <f t="shared" ca="1" si="31"/>
        <v>0.3077721212743183</v>
      </c>
      <c r="C1992" s="48">
        <f t="array" aca="1" ref="C1992" ca="1">MAX(0,ROUND(Inputs!$B$10*Inputs!$B$11+NORMSINV(B1992)*SQRT(Inputs!$B$10*Inputs!$B$11),0))</f>
        <v>489</v>
      </c>
      <c r="D1992" s="52">
        <f ca="1">C1992*Inputs!$B$12</f>
        <v>58680000</v>
      </c>
    </row>
    <row r="1993" spans="1:4" ht="13.5" customHeight="1" x14ac:dyDescent="0.3">
      <c r="A1993" s="46">
        <v>1989</v>
      </c>
      <c r="B1993" s="47">
        <f t="shared" ca="1" si="31"/>
        <v>0.73524234465087068</v>
      </c>
      <c r="C1993" s="48">
        <f t="array" aca="1" ref="C1993" ca="1">MAX(0,ROUND(Inputs!$B$10*Inputs!$B$11+NORMSINV(B1993)*SQRT(Inputs!$B$10*Inputs!$B$11),0))</f>
        <v>514</v>
      </c>
      <c r="D1993" s="49">
        <f ca="1">C1993*Inputs!$B$12</f>
        <v>61680000</v>
      </c>
    </row>
    <row r="1994" spans="1:4" ht="13.5" customHeight="1" x14ac:dyDescent="0.3">
      <c r="A1994" s="50">
        <v>1990</v>
      </c>
      <c r="B1994" s="51">
        <f t="shared" ca="1" si="31"/>
        <v>0.8520486164397264</v>
      </c>
      <c r="C1994" s="48">
        <f t="array" aca="1" ref="C1994" ca="1">MAX(0,ROUND(Inputs!$B$10*Inputs!$B$11+NORMSINV(B1994)*SQRT(Inputs!$B$10*Inputs!$B$11),0))</f>
        <v>523</v>
      </c>
      <c r="D1994" s="52">
        <f ca="1">C1994*Inputs!$B$12</f>
        <v>62760000</v>
      </c>
    </row>
    <row r="1995" spans="1:4" ht="13.5" customHeight="1" x14ac:dyDescent="0.3">
      <c r="A1995" s="46">
        <v>1991</v>
      </c>
      <c r="B1995" s="47">
        <f t="shared" ca="1" si="31"/>
        <v>0.1707160077118044</v>
      </c>
      <c r="C1995" s="48">
        <f t="array" aca="1" ref="C1995" ca="1">MAX(0,ROUND(Inputs!$B$10*Inputs!$B$11+NORMSINV(B1995)*SQRT(Inputs!$B$10*Inputs!$B$11),0))</f>
        <v>479</v>
      </c>
      <c r="D1995" s="49">
        <f ca="1">C1995*Inputs!$B$12</f>
        <v>57480000</v>
      </c>
    </row>
    <row r="1996" spans="1:4" ht="13.5" customHeight="1" x14ac:dyDescent="0.3">
      <c r="A1996" s="50">
        <v>1992</v>
      </c>
      <c r="B1996" s="51">
        <f t="shared" ca="1" si="31"/>
        <v>0.21374428216967867</v>
      </c>
      <c r="C1996" s="48">
        <f t="array" aca="1" ref="C1996" ca="1">MAX(0,ROUND(Inputs!$B$10*Inputs!$B$11+NORMSINV(B1996)*SQRT(Inputs!$B$10*Inputs!$B$11),0))</f>
        <v>482</v>
      </c>
      <c r="D1996" s="52">
        <f ca="1">C1996*Inputs!$B$12</f>
        <v>57840000</v>
      </c>
    </row>
    <row r="1997" spans="1:4" ht="13.5" customHeight="1" x14ac:dyDescent="0.3">
      <c r="A1997" s="46">
        <v>1993</v>
      </c>
      <c r="B1997" s="47">
        <f t="shared" ca="1" si="31"/>
        <v>0.61992395050749372</v>
      </c>
      <c r="C1997" s="48">
        <f t="array" aca="1" ref="C1997" ca="1">MAX(0,ROUND(Inputs!$B$10*Inputs!$B$11+NORMSINV(B1997)*SQRT(Inputs!$B$10*Inputs!$B$11),0))</f>
        <v>507</v>
      </c>
      <c r="D1997" s="49">
        <f ca="1">C1997*Inputs!$B$12</f>
        <v>60840000</v>
      </c>
    </row>
    <row r="1998" spans="1:4" ht="13.5" customHeight="1" x14ac:dyDescent="0.3">
      <c r="A1998" s="50">
        <v>1994</v>
      </c>
      <c r="B1998" s="51">
        <f t="shared" ca="1" si="31"/>
        <v>0.17461190811178706</v>
      </c>
      <c r="C1998" s="48">
        <f t="array" aca="1" ref="C1998" ca="1">MAX(0,ROUND(Inputs!$B$10*Inputs!$B$11+NORMSINV(B1998)*SQRT(Inputs!$B$10*Inputs!$B$11),0))</f>
        <v>479</v>
      </c>
      <c r="D1998" s="52">
        <f ca="1">C1998*Inputs!$B$12</f>
        <v>57480000</v>
      </c>
    </row>
    <row r="1999" spans="1:4" ht="13.5" customHeight="1" x14ac:dyDescent="0.3">
      <c r="A1999" s="46">
        <v>1995</v>
      </c>
      <c r="B1999" s="47">
        <f t="shared" ca="1" si="31"/>
        <v>0.36080281350550192</v>
      </c>
      <c r="C1999" s="48">
        <f t="array" aca="1" ref="C1999" ca="1">MAX(0,ROUND(Inputs!$B$10*Inputs!$B$11+NORMSINV(B1999)*SQRT(Inputs!$B$10*Inputs!$B$11),0))</f>
        <v>492</v>
      </c>
      <c r="D1999" s="49">
        <f ca="1">C1999*Inputs!$B$12</f>
        <v>59040000</v>
      </c>
    </row>
    <row r="2000" spans="1:4" ht="13.5" customHeight="1" x14ac:dyDescent="0.3">
      <c r="A2000" s="50">
        <v>1996</v>
      </c>
      <c r="B2000" s="51">
        <f t="shared" ca="1" si="31"/>
        <v>0.5186605371744224</v>
      </c>
      <c r="C2000" s="48">
        <f t="array" aca="1" ref="C2000" ca="1">MAX(0,ROUND(Inputs!$B$10*Inputs!$B$11+NORMSINV(B2000)*SQRT(Inputs!$B$10*Inputs!$B$11),0))</f>
        <v>501</v>
      </c>
      <c r="D2000" s="52">
        <f ca="1">C2000*Inputs!$B$12</f>
        <v>60120000</v>
      </c>
    </row>
    <row r="2001" spans="1:4" ht="13.5" customHeight="1" x14ac:dyDescent="0.3">
      <c r="A2001" s="46">
        <v>1997</v>
      </c>
      <c r="B2001" s="47">
        <f t="shared" ca="1" si="31"/>
        <v>7.6852265871264591E-2</v>
      </c>
      <c r="C2001" s="48">
        <f t="array" aca="1" ref="C2001" ca="1">MAX(0,ROUND(Inputs!$B$10*Inputs!$B$11+NORMSINV(B2001)*SQRT(Inputs!$B$10*Inputs!$B$11),0))</f>
        <v>468</v>
      </c>
      <c r="D2001" s="49">
        <f ca="1">C2001*Inputs!$B$12</f>
        <v>56160000</v>
      </c>
    </row>
    <row r="2002" spans="1:4" ht="13.5" customHeight="1" x14ac:dyDescent="0.3">
      <c r="A2002" s="50">
        <v>1998</v>
      </c>
      <c r="B2002" s="51">
        <f t="shared" ca="1" si="31"/>
        <v>0.69622655955275725</v>
      </c>
      <c r="C2002" s="48">
        <f t="array" aca="1" ref="C2002" ca="1">MAX(0,ROUND(Inputs!$B$10*Inputs!$B$11+NORMSINV(B2002)*SQRT(Inputs!$B$10*Inputs!$B$11),0))</f>
        <v>511</v>
      </c>
      <c r="D2002" s="52">
        <f ca="1">C2002*Inputs!$B$12</f>
        <v>61320000</v>
      </c>
    </row>
    <row r="2003" spans="1:4" ht="13.5" customHeight="1" x14ac:dyDescent="0.3">
      <c r="A2003" s="46">
        <v>1999</v>
      </c>
      <c r="B2003" s="47">
        <f t="shared" ca="1" si="31"/>
        <v>0.21563804571368272</v>
      </c>
      <c r="C2003" s="48">
        <f t="array" aca="1" ref="C2003" ca="1">MAX(0,ROUND(Inputs!$B$10*Inputs!$B$11+NORMSINV(B2003)*SQRT(Inputs!$B$10*Inputs!$B$11),0))</f>
        <v>482</v>
      </c>
      <c r="D2003" s="49">
        <f ca="1">C2003*Inputs!$B$12</f>
        <v>57840000</v>
      </c>
    </row>
    <row r="2004" spans="1:4" ht="13.5" customHeight="1" x14ac:dyDescent="0.3">
      <c r="A2004" s="50">
        <v>2000</v>
      </c>
      <c r="B2004" s="51">
        <f t="shared" ca="1" si="31"/>
        <v>0.19696012654039685</v>
      </c>
      <c r="C2004" s="48">
        <f t="array" aca="1" ref="C2004" ca="1">MAX(0,ROUND(Inputs!$B$10*Inputs!$B$11+NORMSINV(B2004)*SQRT(Inputs!$B$10*Inputs!$B$11),0))</f>
        <v>481</v>
      </c>
      <c r="D2004" s="52">
        <f ca="1">C2004*Inputs!$B$12</f>
        <v>57720000</v>
      </c>
    </row>
    <row r="2005" spans="1:4" ht="13.5" customHeight="1" x14ac:dyDescent="0.3">
      <c r="A2005" s="46">
        <v>2001</v>
      </c>
      <c r="B2005" s="47">
        <f t="shared" ca="1" si="31"/>
        <v>0.21308254569043972</v>
      </c>
      <c r="C2005" s="48">
        <f t="array" aca="1" ref="C2005" ca="1">MAX(0,ROUND(Inputs!$B$10*Inputs!$B$11+NORMSINV(B2005)*SQRT(Inputs!$B$10*Inputs!$B$11),0))</f>
        <v>482</v>
      </c>
      <c r="D2005" s="49">
        <f ca="1">C2005*Inputs!$B$12</f>
        <v>57840000</v>
      </c>
    </row>
    <row r="2006" spans="1:4" ht="13.5" customHeight="1" x14ac:dyDescent="0.3">
      <c r="A2006" s="50">
        <v>2002</v>
      </c>
      <c r="B2006" s="51">
        <f t="shared" ca="1" si="31"/>
        <v>0.78499920197343687</v>
      </c>
      <c r="C2006" s="48">
        <f t="array" aca="1" ref="C2006" ca="1">MAX(0,ROUND(Inputs!$B$10*Inputs!$B$11+NORMSINV(B2006)*SQRT(Inputs!$B$10*Inputs!$B$11),0))</f>
        <v>518</v>
      </c>
      <c r="D2006" s="52">
        <f ca="1">C2006*Inputs!$B$12</f>
        <v>62160000</v>
      </c>
    </row>
    <row r="2007" spans="1:4" ht="13.5" customHeight="1" x14ac:dyDescent="0.3">
      <c r="A2007" s="46">
        <v>2003</v>
      </c>
      <c r="B2007" s="47">
        <f t="shared" ca="1" si="31"/>
        <v>0.21936143700082211</v>
      </c>
      <c r="C2007" s="48">
        <f t="array" aca="1" ref="C2007" ca="1">MAX(0,ROUND(Inputs!$B$10*Inputs!$B$11+NORMSINV(B2007)*SQRT(Inputs!$B$10*Inputs!$B$11),0))</f>
        <v>483</v>
      </c>
      <c r="D2007" s="49">
        <f ca="1">C2007*Inputs!$B$12</f>
        <v>57960000</v>
      </c>
    </row>
    <row r="2008" spans="1:4" ht="13.5" customHeight="1" x14ac:dyDescent="0.3">
      <c r="A2008" s="50">
        <v>2004</v>
      </c>
      <c r="B2008" s="51">
        <f t="shared" ca="1" si="31"/>
        <v>0.65342095603680672</v>
      </c>
      <c r="C2008" s="48">
        <f t="array" aca="1" ref="C2008" ca="1">MAX(0,ROUND(Inputs!$B$10*Inputs!$B$11+NORMSINV(B2008)*SQRT(Inputs!$B$10*Inputs!$B$11),0))</f>
        <v>509</v>
      </c>
      <c r="D2008" s="52">
        <f ca="1">C2008*Inputs!$B$12</f>
        <v>61080000</v>
      </c>
    </row>
    <row r="2009" spans="1:4" ht="13.5" customHeight="1" x14ac:dyDescent="0.3">
      <c r="A2009" s="46">
        <v>2005</v>
      </c>
      <c r="B2009" s="47">
        <f t="shared" ca="1" si="31"/>
        <v>0.82259101979498528</v>
      </c>
      <c r="C2009" s="48">
        <f t="array" aca="1" ref="C2009" ca="1">MAX(0,ROUND(Inputs!$B$10*Inputs!$B$11+NORMSINV(B2009)*SQRT(Inputs!$B$10*Inputs!$B$11),0))</f>
        <v>521</v>
      </c>
      <c r="D2009" s="49">
        <f ca="1">C2009*Inputs!$B$12</f>
        <v>62520000</v>
      </c>
    </row>
    <row r="2010" spans="1:4" ht="13.5" customHeight="1" x14ac:dyDescent="0.3">
      <c r="A2010" s="50">
        <v>2006</v>
      </c>
      <c r="B2010" s="51">
        <f t="shared" ca="1" si="31"/>
        <v>0.93044105943036404</v>
      </c>
      <c r="C2010" s="48">
        <f t="array" aca="1" ref="C2010" ca="1">MAX(0,ROUND(Inputs!$B$10*Inputs!$B$11+NORMSINV(B2010)*SQRT(Inputs!$B$10*Inputs!$B$11),0))</f>
        <v>533</v>
      </c>
      <c r="D2010" s="52">
        <f ca="1">C2010*Inputs!$B$12</f>
        <v>63960000</v>
      </c>
    </row>
    <row r="2011" spans="1:4" ht="13.5" customHeight="1" x14ac:dyDescent="0.3">
      <c r="A2011" s="46">
        <v>2007</v>
      </c>
      <c r="B2011" s="47">
        <f t="shared" ca="1" si="31"/>
        <v>0.93987897419463839</v>
      </c>
      <c r="C2011" s="48">
        <f t="array" aca="1" ref="C2011" ca="1">MAX(0,ROUND(Inputs!$B$10*Inputs!$B$11+NORMSINV(B2011)*SQRT(Inputs!$B$10*Inputs!$B$11),0))</f>
        <v>535</v>
      </c>
      <c r="D2011" s="49">
        <f ca="1">C2011*Inputs!$B$12</f>
        <v>64200000</v>
      </c>
    </row>
    <row r="2012" spans="1:4" ht="13.5" customHeight="1" x14ac:dyDescent="0.3">
      <c r="A2012" s="50">
        <v>2008</v>
      </c>
      <c r="B2012" s="51">
        <f t="shared" ca="1" si="31"/>
        <v>0.27260396890012983</v>
      </c>
      <c r="C2012" s="48">
        <f t="array" aca="1" ref="C2012" ca="1">MAX(0,ROUND(Inputs!$B$10*Inputs!$B$11+NORMSINV(B2012)*SQRT(Inputs!$B$10*Inputs!$B$11),0))</f>
        <v>486</v>
      </c>
      <c r="D2012" s="52">
        <f ca="1">C2012*Inputs!$B$12</f>
        <v>58320000</v>
      </c>
    </row>
    <row r="2013" spans="1:4" ht="13.5" customHeight="1" x14ac:dyDescent="0.3">
      <c r="A2013" s="46">
        <v>2009</v>
      </c>
      <c r="B2013" s="47">
        <f t="shared" ca="1" si="31"/>
        <v>0.97532451836281109</v>
      </c>
      <c r="C2013" s="48">
        <f t="array" aca="1" ref="C2013" ca="1">MAX(0,ROUND(Inputs!$B$10*Inputs!$B$11+NORMSINV(B2013)*SQRT(Inputs!$B$10*Inputs!$B$11),0))</f>
        <v>544</v>
      </c>
      <c r="D2013" s="49">
        <f ca="1">C2013*Inputs!$B$12</f>
        <v>65280000</v>
      </c>
    </row>
    <row r="2014" spans="1:4" ht="13.5" customHeight="1" x14ac:dyDescent="0.3">
      <c r="A2014" s="50">
        <v>2010</v>
      </c>
      <c r="B2014" s="51">
        <f t="shared" ca="1" si="31"/>
        <v>0.69489127601027567</v>
      </c>
      <c r="C2014" s="48">
        <f t="array" aca="1" ref="C2014" ca="1">MAX(0,ROUND(Inputs!$B$10*Inputs!$B$11+NORMSINV(B2014)*SQRT(Inputs!$B$10*Inputs!$B$11),0))</f>
        <v>511</v>
      </c>
      <c r="D2014" s="52">
        <f ca="1">C2014*Inputs!$B$12</f>
        <v>61320000</v>
      </c>
    </row>
    <row r="2015" spans="1:4" ht="13.5" customHeight="1" x14ac:dyDescent="0.3">
      <c r="A2015" s="46">
        <v>2011</v>
      </c>
      <c r="B2015" s="47">
        <f t="shared" ca="1" si="31"/>
        <v>0.90850490592306399</v>
      </c>
      <c r="C2015" s="48">
        <f t="array" aca="1" ref="C2015" ca="1">MAX(0,ROUND(Inputs!$B$10*Inputs!$B$11+NORMSINV(B2015)*SQRT(Inputs!$B$10*Inputs!$B$11),0))</f>
        <v>530</v>
      </c>
      <c r="D2015" s="49">
        <f ca="1">C2015*Inputs!$B$12</f>
        <v>63600000</v>
      </c>
    </row>
    <row r="2016" spans="1:4" ht="13.5" customHeight="1" x14ac:dyDescent="0.3">
      <c r="A2016" s="50">
        <v>2012</v>
      </c>
      <c r="B2016" s="51">
        <f t="shared" ca="1" si="31"/>
        <v>0.75217067817182837</v>
      </c>
      <c r="C2016" s="48">
        <f t="array" aca="1" ref="C2016" ca="1">MAX(0,ROUND(Inputs!$B$10*Inputs!$B$11+NORMSINV(B2016)*SQRT(Inputs!$B$10*Inputs!$B$11),0))</f>
        <v>515</v>
      </c>
      <c r="D2016" s="52">
        <f ca="1">C2016*Inputs!$B$12</f>
        <v>61800000</v>
      </c>
    </row>
    <row r="2017" spans="1:4" ht="13.5" customHeight="1" x14ac:dyDescent="0.3">
      <c r="A2017" s="46">
        <v>2013</v>
      </c>
      <c r="B2017" s="47">
        <f t="shared" ca="1" si="31"/>
        <v>0.7443215320046388</v>
      </c>
      <c r="C2017" s="48">
        <f t="array" aca="1" ref="C2017" ca="1">MAX(0,ROUND(Inputs!$B$10*Inputs!$B$11+NORMSINV(B2017)*SQRT(Inputs!$B$10*Inputs!$B$11),0))</f>
        <v>515</v>
      </c>
      <c r="D2017" s="49">
        <f ca="1">C2017*Inputs!$B$12</f>
        <v>61800000</v>
      </c>
    </row>
    <row r="2018" spans="1:4" ht="13.5" customHeight="1" x14ac:dyDescent="0.3">
      <c r="A2018" s="50">
        <v>2014</v>
      </c>
      <c r="B2018" s="51">
        <f t="shared" ca="1" si="31"/>
        <v>0.53677945400628302</v>
      </c>
      <c r="C2018" s="48">
        <f t="array" aca="1" ref="C2018" ca="1">MAX(0,ROUND(Inputs!$B$10*Inputs!$B$11+NORMSINV(B2018)*SQRT(Inputs!$B$10*Inputs!$B$11),0))</f>
        <v>502</v>
      </c>
      <c r="D2018" s="52">
        <f ca="1">C2018*Inputs!$B$12</f>
        <v>60240000</v>
      </c>
    </row>
    <row r="2019" spans="1:4" ht="13.5" customHeight="1" x14ac:dyDescent="0.3">
      <c r="A2019" s="46">
        <v>2015</v>
      </c>
      <c r="B2019" s="47">
        <f t="shared" ca="1" si="31"/>
        <v>0.77036868493567712</v>
      </c>
      <c r="C2019" s="48">
        <f t="array" aca="1" ref="C2019" ca="1">MAX(0,ROUND(Inputs!$B$10*Inputs!$B$11+NORMSINV(B2019)*SQRT(Inputs!$B$10*Inputs!$B$11),0))</f>
        <v>517</v>
      </c>
      <c r="D2019" s="49">
        <f ca="1">C2019*Inputs!$B$12</f>
        <v>62040000</v>
      </c>
    </row>
    <row r="2020" spans="1:4" ht="13.5" customHeight="1" x14ac:dyDescent="0.3">
      <c r="A2020" s="50">
        <v>2016</v>
      </c>
      <c r="B2020" s="51">
        <f t="shared" ca="1" si="31"/>
        <v>0.67311501875609903</v>
      </c>
      <c r="C2020" s="48">
        <f t="array" aca="1" ref="C2020" ca="1">MAX(0,ROUND(Inputs!$B$10*Inputs!$B$11+NORMSINV(B2020)*SQRT(Inputs!$B$10*Inputs!$B$11),0))</f>
        <v>510</v>
      </c>
      <c r="D2020" s="52">
        <f ca="1">C2020*Inputs!$B$12</f>
        <v>61200000</v>
      </c>
    </row>
    <row r="2021" spans="1:4" ht="13.5" customHeight="1" x14ac:dyDescent="0.3">
      <c r="A2021" s="46">
        <v>2017</v>
      </c>
      <c r="B2021" s="47">
        <f t="shared" ca="1" si="31"/>
        <v>0.6925304140457974</v>
      </c>
      <c r="C2021" s="48">
        <f t="array" aca="1" ref="C2021" ca="1">MAX(0,ROUND(Inputs!$B$10*Inputs!$B$11+NORMSINV(B2021)*SQRT(Inputs!$B$10*Inputs!$B$11),0))</f>
        <v>511</v>
      </c>
      <c r="D2021" s="49">
        <f ca="1">C2021*Inputs!$B$12</f>
        <v>61320000</v>
      </c>
    </row>
    <row r="2022" spans="1:4" ht="13.5" customHeight="1" x14ac:dyDescent="0.3">
      <c r="A2022" s="50">
        <v>2018</v>
      </c>
      <c r="B2022" s="51">
        <f t="shared" ca="1" si="31"/>
        <v>0.45493948108624305</v>
      </c>
      <c r="C2022" s="48">
        <f t="array" aca="1" ref="C2022" ca="1">MAX(0,ROUND(Inputs!$B$10*Inputs!$B$11+NORMSINV(B2022)*SQRT(Inputs!$B$10*Inputs!$B$11),0))</f>
        <v>497</v>
      </c>
      <c r="D2022" s="52">
        <f ca="1">C2022*Inputs!$B$12</f>
        <v>59640000</v>
      </c>
    </row>
    <row r="2023" spans="1:4" ht="13.5" customHeight="1" x14ac:dyDescent="0.3">
      <c r="A2023" s="46">
        <v>2019</v>
      </c>
      <c r="B2023" s="47">
        <f t="shared" ca="1" si="31"/>
        <v>0.5349087159717264</v>
      </c>
      <c r="C2023" s="48">
        <f t="array" aca="1" ref="C2023" ca="1">MAX(0,ROUND(Inputs!$B$10*Inputs!$B$11+NORMSINV(B2023)*SQRT(Inputs!$B$10*Inputs!$B$11),0))</f>
        <v>502</v>
      </c>
      <c r="D2023" s="49">
        <f ca="1">C2023*Inputs!$B$12</f>
        <v>60240000</v>
      </c>
    </row>
    <row r="2024" spans="1:4" ht="13.5" customHeight="1" x14ac:dyDescent="0.3">
      <c r="A2024" s="50">
        <v>2020</v>
      </c>
      <c r="B2024" s="51">
        <f t="shared" ca="1" si="31"/>
        <v>0.69496040597066377</v>
      </c>
      <c r="C2024" s="48">
        <f t="array" aca="1" ref="C2024" ca="1">MAX(0,ROUND(Inputs!$B$10*Inputs!$B$11+NORMSINV(B2024)*SQRT(Inputs!$B$10*Inputs!$B$11),0))</f>
        <v>511</v>
      </c>
      <c r="D2024" s="52">
        <f ca="1">C2024*Inputs!$B$12</f>
        <v>61320000</v>
      </c>
    </row>
    <row r="2025" spans="1:4" ht="13.5" customHeight="1" x14ac:dyDescent="0.3">
      <c r="A2025" s="46">
        <v>2021</v>
      </c>
      <c r="B2025" s="47">
        <f t="shared" ca="1" si="31"/>
        <v>0.29827750925548879</v>
      </c>
      <c r="C2025" s="48">
        <f t="array" aca="1" ref="C2025" ca="1">MAX(0,ROUND(Inputs!$B$10*Inputs!$B$11+NORMSINV(B2025)*SQRT(Inputs!$B$10*Inputs!$B$11),0))</f>
        <v>488</v>
      </c>
      <c r="D2025" s="49">
        <f ca="1">C2025*Inputs!$B$12</f>
        <v>58560000</v>
      </c>
    </row>
    <row r="2026" spans="1:4" ht="13.5" customHeight="1" x14ac:dyDescent="0.3">
      <c r="A2026" s="50">
        <v>2022</v>
      </c>
      <c r="B2026" s="51">
        <f t="shared" ca="1" si="31"/>
        <v>0.6625319572394639</v>
      </c>
      <c r="C2026" s="48">
        <f t="array" aca="1" ref="C2026" ca="1">MAX(0,ROUND(Inputs!$B$10*Inputs!$B$11+NORMSINV(B2026)*SQRT(Inputs!$B$10*Inputs!$B$11),0))</f>
        <v>509</v>
      </c>
      <c r="D2026" s="52">
        <f ca="1">C2026*Inputs!$B$12</f>
        <v>61080000</v>
      </c>
    </row>
    <row r="2027" spans="1:4" ht="13.5" customHeight="1" x14ac:dyDescent="0.3">
      <c r="A2027" s="46">
        <v>2023</v>
      </c>
      <c r="B2027" s="47">
        <f t="shared" ca="1" si="31"/>
        <v>0.82976990903683856</v>
      </c>
      <c r="C2027" s="48">
        <f t="array" aca="1" ref="C2027" ca="1">MAX(0,ROUND(Inputs!$B$10*Inputs!$B$11+NORMSINV(B2027)*SQRT(Inputs!$B$10*Inputs!$B$11),0))</f>
        <v>521</v>
      </c>
      <c r="D2027" s="49">
        <f ca="1">C2027*Inputs!$B$12</f>
        <v>62520000</v>
      </c>
    </row>
    <row r="2028" spans="1:4" ht="13.5" customHeight="1" x14ac:dyDescent="0.3">
      <c r="A2028" s="50">
        <v>2024</v>
      </c>
      <c r="B2028" s="51">
        <f t="shared" ca="1" si="31"/>
        <v>0.54725041694308674</v>
      </c>
      <c r="C2028" s="48">
        <f t="array" aca="1" ref="C2028" ca="1">MAX(0,ROUND(Inputs!$B$10*Inputs!$B$11+NORMSINV(B2028)*SQRT(Inputs!$B$10*Inputs!$B$11),0))</f>
        <v>503</v>
      </c>
      <c r="D2028" s="52">
        <f ca="1">C2028*Inputs!$B$12</f>
        <v>60360000</v>
      </c>
    </row>
    <row r="2029" spans="1:4" ht="13.5" customHeight="1" x14ac:dyDescent="0.3">
      <c r="A2029" s="46">
        <v>2025</v>
      </c>
      <c r="B2029" s="47">
        <f t="shared" ca="1" si="31"/>
        <v>0.70876770962294577</v>
      </c>
      <c r="C2029" s="48">
        <f t="array" aca="1" ref="C2029" ca="1">MAX(0,ROUND(Inputs!$B$10*Inputs!$B$11+NORMSINV(B2029)*SQRT(Inputs!$B$10*Inputs!$B$11),0))</f>
        <v>512</v>
      </c>
      <c r="D2029" s="49">
        <f ca="1">C2029*Inputs!$B$12</f>
        <v>61440000</v>
      </c>
    </row>
    <row r="2030" spans="1:4" ht="13.5" customHeight="1" x14ac:dyDescent="0.3">
      <c r="A2030" s="50">
        <v>2026</v>
      </c>
      <c r="B2030" s="51">
        <f t="shared" ca="1" si="31"/>
        <v>0.30631056239413568</v>
      </c>
      <c r="C2030" s="48">
        <f t="array" aca="1" ref="C2030" ca="1">MAX(0,ROUND(Inputs!$B$10*Inputs!$B$11+NORMSINV(B2030)*SQRT(Inputs!$B$10*Inputs!$B$11),0))</f>
        <v>489</v>
      </c>
      <c r="D2030" s="52">
        <f ca="1">C2030*Inputs!$B$12</f>
        <v>58680000</v>
      </c>
    </row>
    <row r="2031" spans="1:4" ht="13.5" customHeight="1" x14ac:dyDescent="0.3">
      <c r="A2031" s="46">
        <v>2027</v>
      </c>
      <c r="B2031" s="47">
        <f t="shared" ca="1" si="31"/>
        <v>0.16991757861086654</v>
      </c>
      <c r="C2031" s="48">
        <f t="array" aca="1" ref="C2031" ca="1">MAX(0,ROUND(Inputs!$B$10*Inputs!$B$11+NORMSINV(B2031)*SQRT(Inputs!$B$10*Inputs!$B$11),0))</f>
        <v>479</v>
      </c>
      <c r="D2031" s="49">
        <f ca="1">C2031*Inputs!$B$12</f>
        <v>57480000</v>
      </c>
    </row>
    <row r="2032" spans="1:4" ht="13.5" customHeight="1" x14ac:dyDescent="0.3">
      <c r="A2032" s="50">
        <v>2028</v>
      </c>
      <c r="B2032" s="51">
        <f t="shared" ca="1" si="31"/>
        <v>0.8805566983145281</v>
      </c>
      <c r="C2032" s="48">
        <f t="array" aca="1" ref="C2032" ca="1">MAX(0,ROUND(Inputs!$B$10*Inputs!$B$11+NORMSINV(B2032)*SQRT(Inputs!$B$10*Inputs!$B$11),0))</f>
        <v>526</v>
      </c>
      <c r="D2032" s="52">
        <f ca="1">C2032*Inputs!$B$12</f>
        <v>63120000</v>
      </c>
    </row>
    <row r="2033" spans="1:4" ht="13.5" customHeight="1" x14ac:dyDescent="0.3">
      <c r="A2033" s="46">
        <v>2029</v>
      </c>
      <c r="B2033" s="47">
        <f t="shared" ca="1" si="31"/>
        <v>0.74576770859077657</v>
      </c>
      <c r="C2033" s="48">
        <f t="array" aca="1" ref="C2033" ca="1">MAX(0,ROUND(Inputs!$B$10*Inputs!$B$11+NORMSINV(B2033)*SQRT(Inputs!$B$10*Inputs!$B$11),0))</f>
        <v>515</v>
      </c>
      <c r="D2033" s="49">
        <f ca="1">C2033*Inputs!$B$12</f>
        <v>61800000</v>
      </c>
    </row>
    <row r="2034" spans="1:4" ht="13.5" customHeight="1" x14ac:dyDescent="0.3">
      <c r="A2034" s="50">
        <v>2030</v>
      </c>
      <c r="B2034" s="51">
        <f t="shared" ca="1" si="31"/>
        <v>0.45698035040836815</v>
      </c>
      <c r="C2034" s="48">
        <f t="array" aca="1" ref="C2034" ca="1">MAX(0,ROUND(Inputs!$B$10*Inputs!$B$11+NORMSINV(B2034)*SQRT(Inputs!$B$10*Inputs!$B$11),0))</f>
        <v>498</v>
      </c>
      <c r="D2034" s="52">
        <f ca="1">C2034*Inputs!$B$12</f>
        <v>59760000</v>
      </c>
    </row>
    <row r="2035" spans="1:4" ht="13.5" customHeight="1" x14ac:dyDescent="0.3">
      <c r="A2035" s="46">
        <v>2031</v>
      </c>
      <c r="B2035" s="47">
        <f t="shared" ca="1" si="31"/>
        <v>0.67131941802188888</v>
      </c>
      <c r="C2035" s="48">
        <f t="array" aca="1" ref="C2035" ca="1">MAX(0,ROUND(Inputs!$B$10*Inputs!$B$11+NORMSINV(B2035)*SQRT(Inputs!$B$10*Inputs!$B$11),0))</f>
        <v>510</v>
      </c>
      <c r="D2035" s="49">
        <f ca="1">C2035*Inputs!$B$12</f>
        <v>61200000</v>
      </c>
    </row>
    <row r="2036" spans="1:4" ht="13.5" customHeight="1" x14ac:dyDescent="0.3">
      <c r="A2036" s="50">
        <v>2032</v>
      </c>
      <c r="B2036" s="51">
        <f t="shared" ca="1" si="31"/>
        <v>0.67621442166013201</v>
      </c>
      <c r="C2036" s="48">
        <f t="array" aca="1" ref="C2036" ca="1">MAX(0,ROUND(Inputs!$B$10*Inputs!$B$11+NORMSINV(B2036)*SQRT(Inputs!$B$10*Inputs!$B$11),0))</f>
        <v>510</v>
      </c>
      <c r="D2036" s="52">
        <f ca="1">C2036*Inputs!$B$12</f>
        <v>61200000</v>
      </c>
    </row>
    <row r="2037" spans="1:4" ht="13.5" customHeight="1" x14ac:dyDescent="0.3">
      <c r="A2037" s="46">
        <v>2033</v>
      </c>
      <c r="B2037" s="47">
        <f t="shared" ca="1" si="31"/>
        <v>6.9087834009307958E-2</v>
      </c>
      <c r="C2037" s="48">
        <f t="array" aca="1" ref="C2037" ca="1">MAX(0,ROUND(Inputs!$B$10*Inputs!$B$11+NORMSINV(B2037)*SQRT(Inputs!$B$10*Inputs!$B$11),0))</f>
        <v>467</v>
      </c>
      <c r="D2037" s="49">
        <f ca="1">C2037*Inputs!$B$12</f>
        <v>56040000</v>
      </c>
    </row>
    <row r="2038" spans="1:4" ht="13.5" customHeight="1" x14ac:dyDescent="0.3">
      <c r="A2038" s="50">
        <v>2034</v>
      </c>
      <c r="B2038" s="51">
        <f t="shared" ca="1" si="31"/>
        <v>0.9031059645689119</v>
      </c>
      <c r="C2038" s="48">
        <f t="array" aca="1" ref="C2038" ca="1">MAX(0,ROUND(Inputs!$B$10*Inputs!$B$11+NORMSINV(B2038)*SQRT(Inputs!$B$10*Inputs!$B$11),0))</f>
        <v>529</v>
      </c>
      <c r="D2038" s="52">
        <f ca="1">C2038*Inputs!$B$12</f>
        <v>63480000</v>
      </c>
    </row>
    <row r="2039" spans="1:4" ht="13.5" customHeight="1" x14ac:dyDescent="0.3">
      <c r="A2039" s="46">
        <v>2035</v>
      </c>
      <c r="B2039" s="47">
        <f t="shared" ca="1" si="31"/>
        <v>0.95159168631419755</v>
      </c>
      <c r="C2039" s="48">
        <f t="array" aca="1" ref="C2039" ca="1">MAX(0,ROUND(Inputs!$B$10*Inputs!$B$11+NORMSINV(B2039)*SQRT(Inputs!$B$10*Inputs!$B$11),0))</f>
        <v>537</v>
      </c>
      <c r="D2039" s="49">
        <f ca="1">C2039*Inputs!$B$12</f>
        <v>64440000</v>
      </c>
    </row>
    <row r="2040" spans="1:4" ht="13.5" customHeight="1" x14ac:dyDescent="0.3">
      <c r="A2040" s="50">
        <v>2036</v>
      </c>
      <c r="B2040" s="51">
        <f t="shared" ca="1" si="31"/>
        <v>0.3894218666025745</v>
      </c>
      <c r="C2040" s="48">
        <f t="array" aca="1" ref="C2040" ca="1">MAX(0,ROUND(Inputs!$B$10*Inputs!$B$11+NORMSINV(B2040)*SQRT(Inputs!$B$10*Inputs!$B$11),0))</f>
        <v>494</v>
      </c>
      <c r="D2040" s="52">
        <f ca="1">C2040*Inputs!$B$12</f>
        <v>59280000</v>
      </c>
    </row>
    <row r="2041" spans="1:4" ht="13.5" customHeight="1" x14ac:dyDescent="0.3">
      <c r="A2041" s="46">
        <v>2037</v>
      </c>
      <c r="B2041" s="47">
        <f t="shared" ca="1" si="31"/>
        <v>9.4717505534802404E-2</v>
      </c>
      <c r="C2041" s="48">
        <f t="array" aca="1" ref="C2041" ca="1">MAX(0,ROUND(Inputs!$B$10*Inputs!$B$11+NORMSINV(B2041)*SQRT(Inputs!$B$10*Inputs!$B$11),0))</f>
        <v>471</v>
      </c>
      <c r="D2041" s="49">
        <f ca="1">C2041*Inputs!$B$12</f>
        <v>56520000</v>
      </c>
    </row>
    <row r="2042" spans="1:4" ht="13.5" customHeight="1" x14ac:dyDescent="0.3">
      <c r="A2042" s="50">
        <v>2038</v>
      </c>
      <c r="B2042" s="51">
        <f t="shared" ca="1" si="31"/>
        <v>0.70080109967132087</v>
      </c>
      <c r="C2042" s="48">
        <f t="array" aca="1" ref="C2042" ca="1">MAX(0,ROUND(Inputs!$B$10*Inputs!$B$11+NORMSINV(B2042)*SQRT(Inputs!$B$10*Inputs!$B$11),0))</f>
        <v>512</v>
      </c>
      <c r="D2042" s="52">
        <f ca="1">C2042*Inputs!$B$12</f>
        <v>61440000</v>
      </c>
    </row>
    <row r="2043" spans="1:4" ht="13.5" customHeight="1" x14ac:dyDescent="0.3">
      <c r="A2043" s="46">
        <v>2039</v>
      </c>
      <c r="B2043" s="47">
        <f t="shared" ca="1" si="31"/>
        <v>0.74575993007826236</v>
      </c>
      <c r="C2043" s="48">
        <f t="array" aca="1" ref="C2043" ca="1">MAX(0,ROUND(Inputs!$B$10*Inputs!$B$11+NORMSINV(B2043)*SQRT(Inputs!$B$10*Inputs!$B$11),0))</f>
        <v>515</v>
      </c>
      <c r="D2043" s="49">
        <f ca="1">C2043*Inputs!$B$12</f>
        <v>61800000</v>
      </c>
    </row>
    <row r="2044" spans="1:4" ht="13.5" customHeight="1" x14ac:dyDescent="0.3">
      <c r="A2044" s="50">
        <v>2040</v>
      </c>
      <c r="B2044" s="51">
        <f t="shared" ca="1" si="31"/>
        <v>0.68374406771583707</v>
      </c>
      <c r="C2044" s="48">
        <f t="array" aca="1" ref="C2044" ca="1">MAX(0,ROUND(Inputs!$B$10*Inputs!$B$11+NORMSINV(B2044)*SQRT(Inputs!$B$10*Inputs!$B$11),0))</f>
        <v>511</v>
      </c>
      <c r="D2044" s="52">
        <f ca="1">C2044*Inputs!$B$12</f>
        <v>61320000</v>
      </c>
    </row>
    <row r="2045" spans="1:4" ht="13.5" customHeight="1" x14ac:dyDescent="0.3">
      <c r="A2045" s="46">
        <v>2041</v>
      </c>
      <c r="B2045" s="47">
        <f t="shared" ca="1" si="31"/>
        <v>0.73627460730270056</v>
      </c>
      <c r="C2045" s="48">
        <f t="array" aca="1" ref="C2045" ca="1">MAX(0,ROUND(Inputs!$B$10*Inputs!$B$11+NORMSINV(B2045)*SQRT(Inputs!$B$10*Inputs!$B$11),0))</f>
        <v>514</v>
      </c>
      <c r="D2045" s="49">
        <f ca="1">C2045*Inputs!$B$12</f>
        <v>61680000</v>
      </c>
    </row>
    <row r="2046" spans="1:4" ht="13.5" customHeight="1" x14ac:dyDescent="0.3">
      <c r="A2046" s="50">
        <v>2042</v>
      </c>
      <c r="B2046" s="51">
        <f t="shared" ca="1" si="31"/>
        <v>0.71788460516814001</v>
      </c>
      <c r="C2046" s="48">
        <f t="array" aca="1" ref="C2046" ca="1">MAX(0,ROUND(Inputs!$B$10*Inputs!$B$11+NORMSINV(B2046)*SQRT(Inputs!$B$10*Inputs!$B$11),0))</f>
        <v>513</v>
      </c>
      <c r="D2046" s="52">
        <f ca="1">C2046*Inputs!$B$12</f>
        <v>61560000</v>
      </c>
    </row>
    <row r="2047" spans="1:4" ht="13.5" customHeight="1" x14ac:dyDescent="0.3">
      <c r="A2047" s="46">
        <v>2043</v>
      </c>
      <c r="B2047" s="47">
        <f t="shared" ca="1" si="31"/>
        <v>0.32023959919808964</v>
      </c>
      <c r="C2047" s="48">
        <f t="array" aca="1" ref="C2047" ca="1">MAX(0,ROUND(Inputs!$B$10*Inputs!$B$11+NORMSINV(B2047)*SQRT(Inputs!$B$10*Inputs!$B$11),0))</f>
        <v>490</v>
      </c>
      <c r="D2047" s="49">
        <f ca="1">C2047*Inputs!$B$12</f>
        <v>58800000</v>
      </c>
    </row>
    <row r="2048" spans="1:4" ht="13.5" customHeight="1" x14ac:dyDescent="0.3">
      <c r="A2048" s="50">
        <v>2044</v>
      </c>
      <c r="B2048" s="51">
        <f t="shared" ca="1" si="31"/>
        <v>0.951773716200496</v>
      </c>
      <c r="C2048" s="48">
        <f t="array" aca="1" ref="C2048" ca="1">MAX(0,ROUND(Inputs!$B$10*Inputs!$B$11+NORMSINV(B2048)*SQRT(Inputs!$B$10*Inputs!$B$11),0))</f>
        <v>537</v>
      </c>
      <c r="D2048" s="52">
        <f ca="1">C2048*Inputs!$B$12</f>
        <v>64440000</v>
      </c>
    </row>
    <row r="2049" spans="1:4" ht="13.5" customHeight="1" x14ac:dyDescent="0.3">
      <c r="A2049" s="46">
        <v>2045</v>
      </c>
      <c r="B2049" s="47">
        <f t="shared" ca="1" si="31"/>
        <v>0.83511684106732798</v>
      </c>
      <c r="C2049" s="48">
        <f t="array" aca="1" ref="C2049" ca="1">MAX(0,ROUND(Inputs!$B$10*Inputs!$B$11+NORMSINV(B2049)*SQRT(Inputs!$B$10*Inputs!$B$11),0))</f>
        <v>522</v>
      </c>
      <c r="D2049" s="49">
        <f ca="1">C2049*Inputs!$B$12</f>
        <v>62640000</v>
      </c>
    </row>
    <row r="2050" spans="1:4" ht="13.5" customHeight="1" x14ac:dyDescent="0.3">
      <c r="A2050" s="50">
        <v>2046</v>
      </c>
      <c r="B2050" s="51">
        <f t="shared" ca="1" si="31"/>
        <v>0.47587360937214018</v>
      </c>
      <c r="C2050" s="48">
        <f t="array" aca="1" ref="C2050" ca="1">MAX(0,ROUND(Inputs!$B$10*Inputs!$B$11+NORMSINV(B2050)*SQRT(Inputs!$B$10*Inputs!$B$11),0))</f>
        <v>499</v>
      </c>
      <c r="D2050" s="52">
        <f ca="1">C2050*Inputs!$B$12</f>
        <v>59880000</v>
      </c>
    </row>
    <row r="2051" spans="1:4" ht="13.5" customHeight="1" x14ac:dyDescent="0.3">
      <c r="A2051" s="46">
        <v>2047</v>
      </c>
      <c r="B2051" s="47">
        <f t="shared" ca="1" si="31"/>
        <v>0.37429558828956155</v>
      </c>
      <c r="C2051" s="48">
        <f t="array" aca="1" ref="C2051" ca="1">MAX(0,ROUND(Inputs!$B$10*Inputs!$B$11+NORMSINV(B2051)*SQRT(Inputs!$B$10*Inputs!$B$11),0))</f>
        <v>493</v>
      </c>
      <c r="D2051" s="49">
        <f ca="1">C2051*Inputs!$B$12</f>
        <v>59160000</v>
      </c>
    </row>
    <row r="2052" spans="1:4" ht="13.5" customHeight="1" x14ac:dyDescent="0.3">
      <c r="A2052" s="50">
        <v>2048</v>
      </c>
      <c r="B2052" s="51">
        <f t="shared" ca="1" si="31"/>
        <v>0.35406545368434894</v>
      </c>
      <c r="C2052" s="48">
        <f t="array" aca="1" ref="C2052" ca="1">MAX(0,ROUND(Inputs!$B$10*Inputs!$B$11+NORMSINV(B2052)*SQRT(Inputs!$B$10*Inputs!$B$11),0))</f>
        <v>492</v>
      </c>
      <c r="D2052" s="52">
        <f ca="1">C2052*Inputs!$B$12</f>
        <v>59040000</v>
      </c>
    </row>
    <row r="2053" spans="1:4" ht="13.5" customHeight="1" x14ac:dyDescent="0.3">
      <c r="A2053" s="46">
        <v>2049</v>
      </c>
      <c r="B2053" s="47">
        <f t="shared" ref="B2053:B2116" ca="1" si="32">RAND()</f>
        <v>0.66531925197944508</v>
      </c>
      <c r="C2053" s="48">
        <f t="array" aca="1" ref="C2053" ca="1">MAX(0,ROUND(Inputs!$B$10*Inputs!$B$11+NORMSINV(B2053)*SQRT(Inputs!$B$10*Inputs!$B$11),0))</f>
        <v>510</v>
      </c>
      <c r="D2053" s="49">
        <f ca="1">C2053*Inputs!$B$12</f>
        <v>61200000</v>
      </c>
    </row>
    <row r="2054" spans="1:4" ht="13.5" customHeight="1" x14ac:dyDescent="0.3">
      <c r="A2054" s="50">
        <v>2050</v>
      </c>
      <c r="B2054" s="51">
        <f t="shared" ca="1" si="32"/>
        <v>0.119690445113527</v>
      </c>
      <c r="C2054" s="48">
        <f t="array" aca="1" ref="C2054" ca="1">MAX(0,ROUND(Inputs!$B$10*Inputs!$B$11+NORMSINV(B2054)*SQRT(Inputs!$B$10*Inputs!$B$11),0))</f>
        <v>474</v>
      </c>
      <c r="D2054" s="52">
        <f ca="1">C2054*Inputs!$B$12</f>
        <v>56880000</v>
      </c>
    </row>
    <row r="2055" spans="1:4" ht="13.5" customHeight="1" x14ac:dyDescent="0.3">
      <c r="A2055" s="46">
        <v>2051</v>
      </c>
      <c r="B2055" s="47">
        <f t="shared" ca="1" si="32"/>
        <v>0.62312401865228584</v>
      </c>
      <c r="C2055" s="48">
        <f t="array" aca="1" ref="C2055" ca="1">MAX(0,ROUND(Inputs!$B$10*Inputs!$B$11+NORMSINV(B2055)*SQRT(Inputs!$B$10*Inputs!$B$11),0))</f>
        <v>507</v>
      </c>
      <c r="D2055" s="49">
        <f ca="1">C2055*Inputs!$B$12</f>
        <v>60840000</v>
      </c>
    </row>
    <row r="2056" spans="1:4" ht="13.5" customHeight="1" x14ac:dyDescent="0.3">
      <c r="A2056" s="50">
        <v>2052</v>
      </c>
      <c r="B2056" s="51">
        <f t="shared" ca="1" si="32"/>
        <v>4.9407795354450723E-2</v>
      </c>
      <c r="C2056" s="48">
        <f t="array" aca="1" ref="C2056" ca="1">MAX(0,ROUND(Inputs!$B$10*Inputs!$B$11+NORMSINV(B2056)*SQRT(Inputs!$B$10*Inputs!$B$11),0))</f>
        <v>463</v>
      </c>
      <c r="D2056" s="52">
        <f ca="1">C2056*Inputs!$B$12</f>
        <v>55560000</v>
      </c>
    </row>
    <row r="2057" spans="1:4" ht="13.5" customHeight="1" x14ac:dyDescent="0.3">
      <c r="A2057" s="46">
        <v>2053</v>
      </c>
      <c r="B2057" s="47">
        <f t="shared" ca="1" si="32"/>
        <v>0.77712663689487804</v>
      </c>
      <c r="C2057" s="48">
        <f t="array" aca="1" ref="C2057" ca="1">MAX(0,ROUND(Inputs!$B$10*Inputs!$B$11+NORMSINV(B2057)*SQRT(Inputs!$B$10*Inputs!$B$11),0))</f>
        <v>517</v>
      </c>
      <c r="D2057" s="49">
        <f ca="1">C2057*Inputs!$B$12</f>
        <v>62040000</v>
      </c>
    </row>
    <row r="2058" spans="1:4" ht="13.5" customHeight="1" x14ac:dyDescent="0.3">
      <c r="A2058" s="50">
        <v>2054</v>
      </c>
      <c r="B2058" s="51">
        <f t="shared" ca="1" si="32"/>
        <v>0.87747661151264567</v>
      </c>
      <c r="C2058" s="48">
        <f t="array" aca="1" ref="C2058" ca="1">MAX(0,ROUND(Inputs!$B$10*Inputs!$B$11+NORMSINV(B2058)*SQRT(Inputs!$B$10*Inputs!$B$11),0))</f>
        <v>526</v>
      </c>
      <c r="D2058" s="52">
        <f ca="1">C2058*Inputs!$B$12</f>
        <v>63120000</v>
      </c>
    </row>
    <row r="2059" spans="1:4" ht="13.5" customHeight="1" x14ac:dyDescent="0.3">
      <c r="A2059" s="46">
        <v>2055</v>
      </c>
      <c r="B2059" s="47">
        <f t="shared" ca="1" si="32"/>
        <v>0.85776910693961173</v>
      </c>
      <c r="C2059" s="48">
        <f t="array" aca="1" ref="C2059" ca="1">MAX(0,ROUND(Inputs!$B$10*Inputs!$B$11+NORMSINV(B2059)*SQRT(Inputs!$B$10*Inputs!$B$11),0))</f>
        <v>524</v>
      </c>
      <c r="D2059" s="49">
        <f ca="1">C2059*Inputs!$B$12</f>
        <v>62880000</v>
      </c>
    </row>
    <row r="2060" spans="1:4" ht="13.5" customHeight="1" x14ac:dyDescent="0.3">
      <c r="A2060" s="50">
        <v>2056</v>
      </c>
      <c r="B2060" s="51">
        <f t="shared" ca="1" si="32"/>
        <v>0.68352650635976342</v>
      </c>
      <c r="C2060" s="48">
        <f t="array" aca="1" ref="C2060" ca="1">MAX(0,ROUND(Inputs!$B$10*Inputs!$B$11+NORMSINV(B2060)*SQRT(Inputs!$B$10*Inputs!$B$11),0))</f>
        <v>511</v>
      </c>
      <c r="D2060" s="52">
        <f ca="1">C2060*Inputs!$B$12</f>
        <v>61320000</v>
      </c>
    </row>
    <row r="2061" spans="1:4" ht="13.5" customHeight="1" x14ac:dyDescent="0.3">
      <c r="A2061" s="46">
        <v>2057</v>
      </c>
      <c r="B2061" s="47">
        <f t="shared" ca="1" si="32"/>
        <v>0.58727305752696657</v>
      </c>
      <c r="C2061" s="48">
        <f t="array" aca="1" ref="C2061" ca="1">MAX(0,ROUND(Inputs!$B$10*Inputs!$B$11+NORMSINV(B2061)*SQRT(Inputs!$B$10*Inputs!$B$11),0))</f>
        <v>505</v>
      </c>
      <c r="D2061" s="49">
        <f ca="1">C2061*Inputs!$B$12</f>
        <v>60600000</v>
      </c>
    </row>
    <row r="2062" spans="1:4" ht="13.5" customHeight="1" x14ac:dyDescent="0.3">
      <c r="A2062" s="50">
        <v>2058</v>
      </c>
      <c r="B2062" s="51">
        <f t="shared" ca="1" si="32"/>
        <v>0.59629430887004742</v>
      </c>
      <c r="C2062" s="48">
        <f t="array" aca="1" ref="C2062" ca="1">MAX(0,ROUND(Inputs!$B$10*Inputs!$B$11+NORMSINV(B2062)*SQRT(Inputs!$B$10*Inputs!$B$11),0))</f>
        <v>505</v>
      </c>
      <c r="D2062" s="52">
        <f ca="1">C2062*Inputs!$B$12</f>
        <v>60600000</v>
      </c>
    </row>
    <row r="2063" spans="1:4" ht="13.5" customHeight="1" x14ac:dyDescent="0.3">
      <c r="A2063" s="46">
        <v>2059</v>
      </c>
      <c r="B2063" s="47">
        <f t="shared" ca="1" si="32"/>
        <v>0.82185295488580035</v>
      </c>
      <c r="C2063" s="48">
        <f t="array" aca="1" ref="C2063" ca="1">MAX(0,ROUND(Inputs!$B$10*Inputs!$B$11+NORMSINV(B2063)*SQRT(Inputs!$B$10*Inputs!$B$11),0))</f>
        <v>521</v>
      </c>
      <c r="D2063" s="49">
        <f ca="1">C2063*Inputs!$B$12</f>
        <v>62520000</v>
      </c>
    </row>
    <row r="2064" spans="1:4" ht="13.5" customHeight="1" x14ac:dyDescent="0.3">
      <c r="A2064" s="50">
        <v>2060</v>
      </c>
      <c r="B2064" s="51">
        <f t="shared" ca="1" si="32"/>
        <v>1.9270269146435592E-2</v>
      </c>
      <c r="C2064" s="48">
        <f t="array" aca="1" ref="C2064" ca="1">MAX(0,ROUND(Inputs!$B$10*Inputs!$B$11+NORMSINV(B2064)*SQRT(Inputs!$B$10*Inputs!$B$11),0))</f>
        <v>454</v>
      </c>
      <c r="D2064" s="52">
        <f ca="1">C2064*Inputs!$B$12</f>
        <v>54480000</v>
      </c>
    </row>
    <row r="2065" spans="1:4" ht="13.5" customHeight="1" x14ac:dyDescent="0.3">
      <c r="A2065" s="46">
        <v>2061</v>
      </c>
      <c r="B2065" s="47">
        <f t="shared" ca="1" si="32"/>
        <v>0.59502494735519607</v>
      </c>
      <c r="C2065" s="48">
        <f t="array" aca="1" ref="C2065" ca="1">MAX(0,ROUND(Inputs!$B$10*Inputs!$B$11+NORMSINV(B2065)*SQRT(Inputs!$B$10*Inputs!$B$11),0))</f>
        <v>505</v>
      </c>
      <c r="D2065" s="49">
        <f ca="1">C2065*Inputs!$B$12</f>
        <v>60600000</v>
      </c>
    </row>
    <row r="2066" spans="1:4" ht="13.5" customHeight="1" x14ac:dyDescent="0.3">
      <c r="A2066" s="50">
        <v>2062</v>
      </c>
      <c r="B2066" s="51">
        <f t="shared" ca="1" si="32"/>
        <v>0.54564679472458488</v>
      </c>
      <c r="C2066" s="48">
        <f t="array" aca="1" ref="C2066" ca="1">MAX(0,ROUND(Inputs!$B$10*Inputs!$B$11+NORMSINV(B2066)*SQRT(Inputs!$B$10*Inputs!$B$11),0))</f>
        <v>503</v>
      </c>
      <c r="D2066" s="52">
        <f ca="1">C2066*Inputs!$B$12</f>
        <v>60360000</v>
      </c>
    </row>
    <row r="2067" spans="1:4" ht="13.5" customHeight="1" x14ac:dyDescent="0.3">
      <c r="A2067" s="46">
        <v>2063</v>
      </c>
      <c r="B2067" s="47">
        <f t="shared" ca="1" si="32"/>
        <v>0.77248852774078791</v>
      </c>
      <c r="C2067" s="48">
        <f t="array" aca="1" ref="C2067" ca="1">MAX(0,ROUND(Inputs!$B$10*Inputs!$B$11+NORMSINV(B2067)*SQRT(Inputs!$B$10*Inputs!$B$11),0))</f>
        <v>517</v>
      </c>
      <c r="D2067" s="49">
        <f ca="1">C2067*Inputs!$B$12</f>
        <v>62040000</v>
      </c>
    </row>
    <row r="2068" spans="1:4" ht="13.5" customHeight="1" x14ac:dyDescent="0.3">
      <c r="A2068" s="50">
        <v>2064</v>
      </c>
      <c r="B2068" s="51">
        <f t="shared" ca="1" si="32"/>
        <v>0.22737659218737527</v>
      </c>
      <c r="C2068" s="48">
        <f t="array" aca="1" ref="C2068" ca="1">MAX(0,ROUND(Inputs!$B$10*Inputs!$B$11+NORMSINV(B2068)*SQRT(Inputs!$B$10*Inputs!$B$11),0))</f>
        <v>483</v>
      </c>
      <c r="D2068" s="52">
        <f ca="1">C2068*Inputs!$B$12</f>
        <v>57960000</v>
      </c>
    </row>
    <row r="2069" spans="1:4" ht="13.5" customHeight="1" x14ac:dyDescent="0.3">
      <c r="A2069" s="46">
        <v>2065</v>
      </c>
      <c r="B2069" s="47">
        <f t="shared" ca="1" si="32"/>
        <v>0.32848520458448838</v>
      </c>
      <c r="C2069" s="48">
        <f t="array" aca="1" ref="C2069" ca="1">MAX(0,ROUND(Inputs!$B$10*Inputs!$B$11+NORMSINV(B2069)*SQRT(Inputs!$B$10*Inputs!$B$11),0))</f>
        <v>490</v>
      </c>
      <c r="D2069" s="49">
        <f ca="1">C2069*Inputs!$B$12</f>
        <v>58800000</v>
      </c>
    </row>
    <row r="2070" spans="1:4" ht="13.5" customHeight="1" x14ac:dyDescent="0.3">
      <c r="A2070" s="50">
        <v>2066</v>
      </c>
      <c r="B2070" s="51">
        <f t="shared" ca="1" si="32"/>
        <v>0.75057799346681342</v>
      </c>
      <c r="C2070" s="48">
        <f t="array" aca="1" ref="C2070" ca="1">MAX(0,ROUND(Inputs!$B$10*Inputs!$B$11+NORMSINV(B2070)*SQRT(Inputs!$B$10*Inputs!$B$11),0))</f>
        <v>515</v>
      </c>
      <c r="D2070" s="52">
        <f ca="1">C2070*Inputs!$B$12</f>
        <v>61800000</v>
      </c>
    </row>
    <row r="2071" spans="1:4" ht="13.5" customHeight="1" x14ac:dyDescent="0.3">
      <c r="A2071" s="46">
        <v>2067</v>
      </c>
      <c r="B2071" s="47">
        <f t="shared" ca="1" si="32"/>
        <v>0.56342294843997842</v>
      </c>
      <c r="C2071" s="48">
        <f t="array" aca="1" ref="C2071" ca="1">MAX(0,ROUND(Inputs!$B$10*Inputs!$B$11+NORMSINV(B2071)*SQRT(Inputs!$B$10*Inputs!$B$11),0))</f>
        <v>504</v>
      </c>
      <c r="D2071" s="49">
        <f ca="1">C2071*Inputs!$B$12</f>
        <v>60480000</v>
      </c>
    </row>
    <row r="2072" spans="1:4" ht="13.5" customHeight="1" x14ac:dyDescent="0.3">
      <c r="A2072" s="50">
        <v>2068</v>
      </c>
      <c r="B2072" s="51">
        <f t="shared" ca="1" si="32"/>
        <v>0.49440960206740969</v>
      </c>
      <c r="C2072" s="48">
        <f t="array" aca="1" ref="C2072" ca="1">MAX(0,ROUND(Inputs!$B$10*Inputs!$B$11+NORMSINV(B2072)*SQRT(Inputs!$B$10*Inputs!$B$11),0))</f>
        <v>500</v>
      </c>
      <c r="D2072" s="52">
        <f ca="1">C2072*Inputs!$B$12</f>
        <v>60000000</v>
      </c>
    </row>
    <row r="2073" spans="1:4" ht="13.5" customHeight="1" x14ac:dyDescent="0.3">
      <c r="A2073" s="46">
        <v>2069</v>
      </c>
      <c r="B2073" s="47">
        <f t="shared" ca="1" si="32"/>
        <v>0.66276127516041106</v>
      </c>
      <c r="C2073" s="48">
        <f t="array" aca="1" ref="C2073" ca="1">MAX(0,ROUND(Inputs!$B$10*Inputs!$B$11+NORMSINV(B2073)*SQRT(Inputs!$B$10*Inputs!$B$11),0))</f>
        <v>509</v>
      </c>
      <c r="D2073" s="49">
        <f ca="1">C2073*Inputs!$B$12</f>
        <v>61080000</v>
      </c>
    </row>
    <row r="2074" spans="1:4" ht="13.5" customHeight="1" x14ac:dyDescent="0.3">
      <c r="A2074" s="50">
        <v>2070</v>
      </c>
      <c r="B2074" s="51">
        <f t="shared" ca="1" si="32"/>
        <v>0.73113283316562172</v>
      </c>
      <c r="C2074" s="48">
        <f t="array" aca="1" ref="C2074" ca="1">MAX(0,ROUND(Inputs!$B$10*Inputs!$B$11+NORMSINV(B2074)*SQRT(Inputs!$B$10*Inputs!$B$11),0))</f>
        <v>514</v>
      </c>
      <c r="D2074" s="52">
        <f ca="1">C2074*Inputs!$B$12</f>
        <v>61680000</v>
      </c>
    </row>
    <row r="2075" spans="1:4" ht="13.5" customHeight="1" x14ac:dyDescent="0.3">
      <c r="A2075" s="46">
        <v>2071</v>
      </c>
      <c r="B2075" s="47">
        <f t="shared" ca="1" si="32"/>
        <v>0.87901690455408354</v>
      </c>
      <c r="C2075" s="48">
        <f t="array" aca="1" ref="C2075" ca="1">MAX(0,ROUND(Inputs!$B$10*Inputs!$B$11+NORMSINV(B2075)*SQRT(Inputs!$B$10*Inputs!$B$11),0))</f>
        <v>526</v>
      </c>
      <c r="D2075" s="49">
        <f ca="1">C2075*Inputs!$B$12</f>
        <v>63120000</v>
      </c>
    </row>
    <row r="2076" spans="1:4" ht="13.5" customHeight="1" x14ac:dyDescent="0.3">
      <c r="A2076" s="50">
        <v>2072</v>
      </c>
      <c r="B2076" s="51">
        <f t="shared" ca="1" si="32"/>
        <v>0.3507813250849493</v>
      </c>
      <c r="C2076" s="48">
        <f t="array" aca="1" ref="C2076" ca="1">MAX(0,ROUND(Inputs!$B$10*Inputs!$B$11+NORMSINV(B2076)*SQRT(Inputs!$B$10*Inputs!$B$11),0))</f>
        <v>491</v>
      </c>
      <c r="D2076" s="52">
        <f ca="1">C2076*Inputs!$B$12</f>
        <v>58920000</v>
      </c>
    </row>
    <row r="2077" spans="1:4" ht="13.5" customHeight="1" x14ac:dyDescent="0.3">
      <c r="A2077" s="46">
        <v>2073</v>
      </c>
      <c r="B2077" s="47">
        <f t="shared" ca="1" si="32"/>
        <v>0.94510000539534866</v>
      </c>
      <c r="C2077" s="48">
        <f t="array" aca="1" ref="C2077" ca="1">MAX(0,ROUND(Inputs!$B$10*Inputs!$B$11+NORMSINV(B2077)*SQRT(Inputs!$B$10*Inputs!$B$11),0))</f>
        <v>536</v>
      </c>
      <c r="D2077" s="49">
        <f ca="1">C2077*Inputs!$B$12</f>
        <v>64320000</v>
      </c>
    </row>
    <row r="2078" spans="1:4" ht="13.5" customHeight="1" x14ac:dyDescent="0.3">
      <c r="A2078" s="50">
        <v>2074</v>
      </c>
      <c r="B2078" s="51">
        <f t="shared" ca="1" si="32"/>
        <v>0.24796788727999075</v>
      </c>
      <c r="C2078" s="48">
        <f t="array" aca="1" ref="C2078" ca="1">MAX(0,ROUND(Inputs!$B$10*Inputs!$B$11+NORMSINV(B2078)*SQRT(Inputs!$B$10*Inputs!$B$11),0))</f>
        <v>485</v>
      </c>
      <c r="D2078" s="52">
        <f ca="1">C2078*Inputs!$B$12</f>
        <v>58200000</v>
      </c>
    </row>
    <row r="2079" spans="1:4" ht="13.5" customHeight="1" x14ac:dyDescent="0.3">
      <c r="A2079" s="46">
        <v>2075</v>
      </c>
      <c r="B2079" s="47">
        <f t="shared" ca="1" si="32"/>
        <v>0.87335169729807482</v>
      </c>
      <c r="C2079" s="48">
        <f t="array" aca="1" ref="C2079" ca="1">MAX(0,ROUND(Inputs!$B$10*Inputs!$B$11+NORMSINV(B2079)*SQRT(Inputs!$B$10*Inputs!$B$11),0))</f>
        <v>526</v>
      </c>
      <c r="D2079" s="49">
        <f ca="1">C2079*Inputs!$B$12</f>
        <v>63120000</v>
      </c>
    </row>
    <row r="2080" spans="1:4" ht="13.5" customHeight="1" x14ac:dyDescent="0.3">
      <c r="A2080" s="50">
        <v>2076</v>
      </c>
      <c r="B2080" s="51">
        <f t="shared" ca="1" si="32"/>
        <v>0.76048859477400577</v>
      </c>
      <c r="C2080" s="48">
        <f t="array" aca="1" ref="C2080" ca="1">MAX(0,ROUND(Inputs!$B$10*Inputs!$B$11+NORMSINV(B2080)*SQRT(Inputs!$B$10*Inputs!$B$11),0))</f>
        <v>516</v>
      </c>
      <c r="D2080" s="52">
        <f ca="1">C2080*Inputs!$B$12</f>
        <v>61920000</v>
      </c>
    </row>
    <row r="2081" spans="1:4" ht="13.5" customHeight="1" x14ac:dyDescent="0.3">
      <c r="A2081" s="46">
        <v>2077</v>
      </c>
      <c r="B2081" s="47">
        <f t="shared" ca="1" si="32"/>
        <v>6.6826223217235303E-2</v>
      </c>
      <c r="C2081" s="48">
        <f t="array" aca="1" ref="C2081" ca="1">MAX(0,ROUND(Inputs!$B$10*Inputs!$B$11+NORMSINV(B2081)*SQRT(Inputs!$B$10*Inputs!$B$11),0))</f>
        <v>466</v>
      </c>
      <c r="D2081" s="49">
        <f ca="1">C2081*Inputs!$B$12</f>
        <v>55920000</v>
      </c>
    </row>
    <row r="2082" spans="1:4" ht="13.5" customHeight="1" x14ac:dyDescent="0.3">
      <c r="A2082" s="50">
        <v>2078</v>
      </c>
      <c r="B2082" s="51">
        <f t="shared" ca="1" si="32"/>
        <v>0.35411895158390272</v>
      </c>
      <c r="C2082" s="48">
        <f t="array" aca="1" ref="C2082" ca="1">MAX(0,ROUND(Inputs!$B$10*Inputs!$B$11+NORMSINV(B2082)*SQRT(Inputs!$B$10*Inputs!$B$11),0))</f>
        <v>492</v>
      </c>
      <c r="D2082" s="52">
        <f ca="1">C2082*Inputs!$B$12</f>
        <v>59040000</v>
      </c>
    </row>
    <row r="2083" spans="1:4" ht="13.5" customHeight="1" x14ac:dyDescent="0.3">
      <c r="A2083" s="46">
        <v>2079</v>
      </c>
      <c r="B2083" s="47">
        <f t="shared" ca="1" si="32"/>
        <v>0.73549680193819833</v>
      </c>
      <c r="C2083" s="48">
        <f t="array" aca="1" ref="C2083" ca="1">MAX(0,ROUND(Inputs!$B$10*Inputs!$B$11+NORMSINV(B2083)*SQRT(Inputs!$B$10*Inputs!$B$11),0))</f>
        <v>514</v>
      </c>
      <c r="D2083" s="49">
        <f ca="1">C2083*Inputs!$B$12</f>
        <v>61680000</v>
      </c>
    </row>
    <row r="2084" spans="1:4" ht="13.5" customHeight="1" x14ac:dyDescent="0.3">
      <c r="A2084" s="50">
        <v>2080</v>
      </c>
      <c r="B2084" s="51">
        <f t="shared" ca="1" si="32"/>
        <v>0.76846365588609511</v>
      </c>
      <c r="C2084" s="48">
        <f t="array" aca="1" ref="C2084" ca="1">MAX(0,ROUND(Inputs!$B$10*Inputs!$B$11+NORMSINV(B2084)*SQRT(Inputs!$B$10*Inputs!$B$11),0))</f>
        <v>516</v>
      </c>
      <c r="D2084" s="52">
        <f ca="1">C2084*Inputs!$B$12</f>
        <v>61920000</v>
      </c>
    </row>
    <row r="2085" spans="1:4" ht="13.5" customHeight="1" x14ac:dyDescent="0.3">
      <c r="A2085" s="46">
        <v>2081</v>
      </c>
      <c r="B2085" s="47">
        <f t="shared" ca="1" si="32"/>
        <v>0.10337003673996814</v>
      </c>
      <c r="C2085" s="48">
        <f t="array" aca="1" ref="C2085" ca="1">MAX(0,ROUND(Inputs!$B$10*Inputs!$B$11+NORMSINV(B2085)*SQRT(Inputs!$B$10*Inputs!$B$11),0))</f>
        <v>472</v>
      </c>
      <c r="D2085" s="49">
        <f ca="1">C2085*Inputs!$B$12</f>
        <v>56640000</v>
      </c>
    </row>
    <row r="2086" spans="1:4" ht="13.5" customHeight="1" x14ac:dyDescent="0.3">
      <c r="A2086" s="50">
        <v>2082</v>
      </c>
      <c r="B2086" s="51">
        <f t="shared" ca="1" si="32"/>
        <v>6.1013145778300304E-3</v>
      </c>
      <c r="C2086" s="48">
        <f t="array" aca="1" ref="C2086" ca="1">MAX(0,ROUND(Inputs!$B$10*Inputs!$B$11+NORMSINV(B2086)*SQRT(Inputs!$B$10*Inputs!$B$11),0))</f>
        <v>444</v>
      </c>
      <c r="D2086" s="52">
        <f ca="1">C2086*Inputs!$B$12</f>
        <v>53280000</v>
      </c>
    </row>
    <row r="2087" spans="1:4" ht="13.5" customHeight="1" x14ac:dyDescent="0.3">
      <c r="A2087" s="46">
        <v>2083</v>
      </c>
      <c r="B2087" s="47">
        <f t="shared" ca="1" si="32"/>
        <v>0.28862105486145473</v>
      </c>
      <c r="C2087" s="48">
        <f t="array" aca="1" ref="C2087" ca="1">MAX(0,ROUND(Inputs!$B$10*Inputs!$B$11+NORMSINV(B2087)*SQRT(Inputs!$B$10*Inputs!$B$11),0))</f>
        <v>488</v>
      </c>
      <c r="D2087" s="49">
        <f ca="1">C2087*Inputs!$B$12</f>
        <v>58560000</v>
      </c>
    </row>
    <row r="2088" spans="1:4" ht="13.5" customHeight="1" x14ac:dyDescent="0.3">
      <c r="A2088" s="50">
        <v>2084</v>
      </c>
      <c r="B2088" s="51">
        <f t="shared" ca="1" si="32"/>
        <v>0.21173588831393675</v>
      </c>
      <c r="C2088" s="48">
        <f t="array" aca="1" ref="C2088" ca="1">MAX(0,ROUND(Inputs!$B$10*Inputs!$B$11+NORMSINV(B2088)*SQRT(Inputs!$B$10*Inputs!$B$11),0))</f>
        <v>482</v>
      </c>
      <c r="D2088" s="52">
        <f ca="1">C2088*Inputs!$B$12</f>
        <v>57840000</v>
      </c>
    </row>
    <row r="2089" spans="1:4" ht="13.5" customHeight="1" x14ac:dyDescent="0.3">
      <c r="A2089" s="46">
        <v>2085</v>
      </c>
      <c r="B2089" s="47">
        <f t="shared" ca="1" si="32"/>
        <v>0.34804659484705525</v>
      </c>
      <c r="C2089" s="48">
        <f t="array" aca="1" ref="C2089" ca="1">MAX(0,ROUND(Inputs!$B$10*Inputs!$B$11+NORMSINV(B2089)*SQRT(Inputs!$B$10*Inputs!$B$11),0))</f>
        <v>491</v>
      </c>
      <c r="D2089" s="49">
        <f ca="1">C2089*Inputs!$B$12</f>
        <v>58920000</v>
      </c>
    </row>
    <row r="2090" spans="1:4" ht="13.5" customHeight="1" x14ac:dyDescent="0.3">
      <c r="A2090" s="50">
        <v>2086</v>
      </c>
      <c r="B2090" s="51">
        <f t="shared" ca="1" si="32"/>
        <v>5.4951951546842293E-2</v>
      </c>
      <c r="C2090" s="48">
        <f t="array" aca="1" ref="C2090" ca="1">MAX(0,ROUND(Inputs!$B$10*Inputs!$B$11+NORMSINV(B2090)*SQRT(Inputs!$B$10*Inputs!$B$11),0))</f>
        <v>464</v>
      </c>
      <c r="D2090" s="52">
        <f ca="1">C2090*Inputs!$B$12</f>
        <v>55680000</v>
      </c>
    </row>
    <row r="2091" spans="1:4" ht="13.5" customHeight="1" x14ac:dyDescent="0.3">
      <c r="A2091" s="46">
        <v>2087</v>
      </c>
      <c r="B2091" s="47">
        <f t="shared" ca="1" si="32"/>
        <v>0.45030877991339924</v>
      </c>
      <c r="C2091" s="48">
        <f t="array" aca="1" ref="C2091" ca="1">MAX(0,ROUND(Inputs!$B$10*Inputs!$B$11+NORMSINV(B2091)*SQRT(Inputs!$B$10*Inputs!$B$11),0))</f>
        <v>497</v>
      </c>
      <c r="D2091" s="49">
        <f ca="1">C2091*Inputs!$B$12</f>
        <v>59640000</v>
      </c>
    </row>
    <row r="2092" spans="1:4" ht="13.5" customHeight="1" x14ac:dyDescent="0.3">
      <c r="A2092" s="50">
        <v>2088</v>
      </c>
      <c r="B2092" s="51">
        <f t="shared" ca="1" si="32"/>
        <v>0.45243139666770738</v>
      </c>
      <c r="C2092" s="48">
        <f t="array" aca="1" ref="C2092" ca="1">MAX(0,ROUND(Inputs!$B$10*Inputs!$B$11+NORMSINV(B2092)*SQRT(Inputs!$B$10*Inputs!$B$11),0))</f>
        <v>497</v>
      </c>
      <c r="D2092" s="52">
        <f ca="1">C2092*Inputs!$B$12</f>
        <v>59640000</v>
      </c>
    </row>
    <row r="2093" spans="1:4" ht="13.5" customHeight="1" x14ac:dyDescent="0.3">
      <c r="A2093" s="46">
        <v>2089</v>
      </c>
      <c r="B2093" s="47">
        <f t="shared" ca="1" si="32"/>
        <v>0.47344743291958968</v>
      </c>
      <c r="C2093" s="48">
        <f t="array" aca="1" ref="C2093" ca="1">MAX(0,ROUND(Inputs!$B$10*Inputs!$B$11+NORMSINV(B2093)*SQRT(Inputs!$B$10*Inputs!$B$11),0))</f>
        <v>499</v>
      </c>
      <c r="D2093" s="49">
        <f ca="1">C2093*Inputs!$B$12</f>
        <v>59880000</v>
      </c>
    </row>
    <row r="2094" spans="1:4" ht="13.5" customHeight="1" x14ac:dyDescent="0.3">
      <c r="A2094" s="50">
        <v>2090</v>
      </c>
      <c r="B2094" s="51">
        <f t="shared" ca="1" si="32"/>
        <v>0.90169137417371881</v>
      </c>
      <c r="C2094" s="48">
        <f t="array" aca="1" ref="C2094" ca="1">MAX(0,ROUND(Inputs!$B$10*Inputs!$B$11+NORMSINV(B2094)*SQRT(Inputs!$B$10*Inputs!$B$11),0))</f>
        <v>529</v>
      </c>
      <c r="D2094" s="52">
        <f ca="1">C2094*Inputs!$B$12</f>
        <v>63480000</v>
      </c>
    </row>
    <row r="2095" spans="1:4" ht="13.5" customHeight="1" x14ac:dyDescent="0.3">
      <c r="A2095" s="46">
        <v>2091</v>
      </c>
      <c r="B2095" s="47">
        <f t="shared" ca="1" si="32"/>
        <v>0.67198209573543477</v>
      </c>
      <c r="C2095" s="48">
        <f t="array" aca="1" ref="C2095" ca="1">MAX(0,ROUND(Inputs!$B$10*Inputs!$B$11+NORMSINV(B2095)*SQRT(Inputs!$B$10*Inputs!$B$11),0))</f>
        <v>510</v>
      </c>
      <c r="D2095" s="49">
        <f ca="1">C2095*Inputs!$B$12</f>
        <v>61200000</v>
      </c>
    </row>
    <row r="2096" spans="1:4" ht="13.5" customHeight="1" x14ac:dyDescent="0.3">
      <c r="A2096" s="50">
        <v>2092</v>
      </c>
      <c r="B2096" s="51">
        <f t="shared" ca="1" si="32"/>
        <v>0.39636791858772424</v>
      </c>
      <c r="C2096" s="48">
        <f t="array" aca="1" ref="C2096" ca="1">MAX(0,ROUND(Inputs!$B$10*Inputs!$B$11+NORMSINV(B2096)*SQRT(Inputs!$B$10*Inputs!$B$11),0))</f>
        <v>494</v>
      </c>
      <c r="D2096" s="52">
        <f ca="1">C2096*Inputs!$B$12</f>
        <v>59280000</v>
      </c>
    </row>
    <row r="2097" spans="1:4" ht="13.5" customHeight="1" x14ac:dyDescent="0.3">
      <c r="A2097" s="46">
        <v>2093</v>
      </c>
      <c r="B2097" s="47">
        <f t="shared" ca="1" si="32"/>
        <v>0.35108224555166867</v>
      </c>
      <c r="C2097" s="48">
        <f t="array" aca="1" ref="C2097" ca="1">MAX(0,ROUND(Inputs!$B$10*Inputs!$B$11+NORMSINV(B2097)*SQRT(Inputs!$B$10*Inputs!$B$11),0))</f>
        <v>491</v>
      </c>
      <c r="D2097" s="49">
        <f ca="1">C2097*Inputs!$B$12</f>
        <v>58920000</v>
      </c>
    </row>
    <row r="2098" spans="1:4" ht="13.5" customHeight="1" x14ac:dyDescent="0.3">
      <c r="A2098" s="50">
        <v>2094</v>
      </c>
      <c r="B2098" s="51">
        <f t="shared" ca="1" si="32"/>
        <v>0.8424152156224205</v>
      </c>
      <c r="C2098" s="48">
        <f t="array" aca="1" ref="C2098" ca="1">MAX(0,ROUND(Inputs!$B$10*Inputs!$B$11+NORMSINV(B2098)*SQRT(Inputs!$B$10*Inputs!$B$11),0))</f>
        <v>522</v>
      </c>
      <c r="D2098" s="52">
        <f ca="1">C2098*Inputs!$B$12</f>
        <v>62640000</v>
      </c>
    </row>
    <row r="2099" spans="1:4" ht="13.5" customHeight="1" x14ac:dyDescent="0.3">
      <c r="A2099" s="46">
        <v>2095</v>
      </c>
      <c r="B2099" s="47">
        <f t="shared" ca="1" si="32"/>
        <v>0.23219675448307642</v>
      </c>
      <c r="C2099" s="48">
        <f t="array" aca="1" ref="C2099" ca="1">MAX(0,ROUND(Inputs!$B$10*Inputs!$B$11+NORMSINV(B2099)*SQRT(Inputs!$B$10*Inputs!$B$11),0))</f>
        <v>484</v>
      </c>
      <c r="D2099" s="49">
        <f ca="1">C2099*Inputs!$B$12</f>
        <v>58080000</v>
      </c>
    </row>
    <row r="2100" spans="1:4" ht="13.5" customHeight="1" x14ac:dyDescent="0.3">
      <c r="A2100" s="50">
        <v>2096</v>
      </c>
      <c r="B2100" s="51">
        <f t="shared" ca="1" si="32"/>
        <v>0.65140617422247327</v>
      </c>
      <c r="C2100" s="48">
        <f t="array" aca="1" ref="C2100" ca="1">MAX(0,ROUND(Inputs!$B$10*Inputs!$B$11+NORMSINV(B2100)*SQRT(Inputs!$B$10*Inputs!$B$11),0))</f>
        <v>509</v>
      </c>
      <c r="D2100" s="52">
        <f ca="1">C2100*Inputs!$B$12</f>
        <v>61080000</v>
      </c>
    </row>
    <row r="2101" spans="1:4" ht="13.5" customHeight="1" x14ac:dyDescent="0.3">
      <c r="A2101" s="46">
        <v>2097</v>
      </c>
      <c r="B2101" s="47">
        <f t="shared" ca="1" si="32"/>
        <v>0.93621677578375617</v>
      </c>
      <c r="C2101" s="48">
        <f t="array" aca="1" ref="C2101" ca="1">MAX(0,ROUND(Inputs!$B$10*Inputs!$B$11+NORMSINV(B2101)*SQRT(Inputs!$B$10*Inputs!$B$11),0))</f>
        <v>534</v>
      </c>
      <c r="D2101" s="49">
        <f ca="1">C2101*Inputs!$B$12</f>
        <v>64080000</v>
      </c>
    </row>
    <row r="2102" spans="1:4" ht="13.5" customHeight="1" x14ac:dyDescent="0.3">
      <c r="A2102" s="50">
        <v>2098</v>
      </c>
      <c r="B2102" s="51">
        <f t="shared" ca="1" si="32"/>
        <v>0.57049337129664979</v>
      </c>
      <c r="C2102" s="48">
        <f t="array" aca="1" ref="C2102" ca="1">MAX(0,ROUND(Inputs!$B$10*Inputs!$B$11+NORMSINV(B2102)*SQRT(Inputs!$B$10*Inputs!$B$11),0))</f>
        <v>504</v>
      </c>
      <c r="D2102" s="52">
        <f ca="1">C2102*Inputs!$B$12</f>
        <v>60480000</v>
      </c>
    </row>
    <row r="2103" spans="1:4" ht="13.5" customHeight="1" x14ac:dyDescent="0.3">
      <c r="A2103" s="46">
        <v>2099</v>
      </c>
      <c r="B2103" s="47">
        <f t="shared" ca="1" si="32"/>
        <v>0.26045338492072856</v>
      </c>
      <c r="C2103" s="48">
        <f t="array" aca="1" ref="C2103" ca="1">MAX(0,ROUND(Inputs!$B$10*Inputs!$B$11+NORMSINV(B2103)*SQRT(Inputs!$B$10*Inputs!$B$11),0))</f>
        <v>486</v>
      </c>
      <c r="D2103" s="49">
        <f ca="1">C2103*Inputs!$B$12</f>
        <v>58320000</v>
      </c>
    </row>
    <row r="2104" spans="1:4" ht="13.5" customHeight="1" x14ac:dyDescent="0.3">
      <c r="A2104" s="50">
        <v>2100</v>
      </c>
      <c r="B2104" s="51">
        <f t="shared" ca="1" si="32"/>
        <v>2.2279621145647299E-2</v>
      </c>
      <c r="C2104" s="48">
        <f t="array" aca="1" ref="C2104" ca="1">MAX(0,ROUND(Inputs!$B$10*Inputs!$B$11+NORMSINV(B2104)*SQRT(Inputs!$B$10*Inputs!$B$11),0))</f>
        <v>455</v>
      </c>
      <c r="D2104" s="52">
        <f ca="1">C2104*Inputs!$B$12</f>
        <v>54600000</v>
      </c>
    </row>
    <row r="2105" spans="1:4" ht="13.5" customHeight="1" x14ac:dyDescent="0.3">
      <c r="A2105" s="46">
        <v>2101</v>
      </c>
      <c r="B2105" s="47">
        <f t="shared" ca="1" si="32"/>
        <v>0.69094083175677201</v>
      </c>
      <c r="C2105" s="48">
        <f t="array" aca="1" ref="C2105" ca="1">MAX(0,ROUND(Inputs!$B$10*Inputs!$B$11+NORMSINV(B2105)*SQRT(Inputs!$B$10*Inputs!$B$11),0))</f>
        <v>511</v>
      </c>
      <c r="D2105" s="49">
        <f ca="1">C2105*Inputs!$B$12</f>
        <v>61320000</v>
      </c>
    </row>
    <row r="2106" spans="1:4" ht="13.5" customHeight="1" x14ac:dyDescent="0.3">
      <c r="A2106" s="50">
        <v>2102</v>
      </c>
      <c r="B2106" s="51">
        <f t="shared" ca="1" si="32"/>
        <v>6.3445552358074586E-3</v>
      </c>
      <c r="C2106" s="48">
        <f t="array" aca="1" ref="C2106" ca="1">MAX(0,ROUND(Inputs!$B$10*Inputs!$B$11+NORMSINV(B2106)*SQRT(Inputs!$B$10*Inputs!$B$11),0))</f>
        <v>444</v>
      </c>
      <c r="D2106" s="52">
        <f ca="1">C2106*Inputs!$B$12</f>
        <v>53280000</v>
      </c>
    </row>
    <row r="2107" spans="1:4" ht="13.5" customHeight="1" x14ac:dyDescent="0.3">
      <c r="A2107" s="46">
        <v>2103</v>
      </c>
      <c r="B2107" s="47">
        <f t="shared" ca="1" si="32"/>
        <v>0.49440307020995111</v>
      </c>
      <c r="C2107" s="48">
        <f t="array" aca="1" ref="C2107" ca="1">MAX(0,ROUND(Inputs!$B$10*Inputs!$B$11+NORMSINV(B2107)*SQRT(Inputs!$B$10*Inputs!$B$11),0))</f>
        <v>500</v>
      </c>
      <c r="D2107" s="49">
        <f ca="1">C2107*Inputs!$B$12</f>
        <v>60000000</v>
      </c>
    </row>
    <row r="2108" spans="1:4" ht="13.5" customHeight="1" x14ac:dyDescent="0.3">
      <c r="A2108" s="50">
        <v>2104</v>
      </c>
      <c r="B2108" s="51">
        <f t="shared" ca="1" si="32"/>
        <v>8.8019915527596138E-2</v>
      </c>
      <c r="C2108" s="48">
        <f t="array" aca="1" ref="C2108" ca="1">MAX(0,ROUND(Inputs!$B$10*Inputs!$B$11+NORMSINV(B2108)*SQRT(Inputs!$B$10*Inputs!$B$11),0))</f>
        <v>470</v>
      </c>
      <c r="D2108" s="52">
        <f ca="1">C2108*Inputs!$B$12</f>
        <v>56400000</v>
      </c>
    </row>
    <row r="2109" spans="1:4" ht="13.5" customHeight="1" x14ac:dyDescent="0.3">
      <c r="A2109" s="46">
        <v>2105</v>
      </c>
      <c r="B2109" s="47">
        <f t="shared" ca="1" si="32"/>
        <v>0.24240354018231569</v>
      </c>
      <c r="C2109" s="48">
        <f t="array" aca="1" ref="C2109" ca="1">MAX(0,ROUND(Inputs!$B$10*Inputs!$B$11+NORMSINV(B2109)*SQRT(Inputs!$B$10*Inputs!$B$11),0))</f>
        <v>484</v>
      </c>
      <c r="D2109" s="49">
        <f ca="1">C2109*Inputs!$B$12</f>
        <v>58080000</v>
      </c>
    </row>
    <row r="2110" spans="1:4" ht="13.5" customHeight="1" x14ac:dyDescent="0.3">
      <c r="A2110" s="50">
        <v>2106</v>
      </c>
      <c r="B2110" s="51">
        <f t="shared" ca="1" si="32"/>
        <v>0.55267297256840231</v>
      </c>
      <c r="C2110" s="48">
        <f t="array" aca="1" ref="C2110" ca="1">MAX(0,ROUND(Inputs!$B$10*Inputs!$B$11+NORMSINV(B2110)*SQRT(Inputs!$B$10*Inputs!$B$11),0))</f>
        <v>503</v>
      </c>
      <c r="D2110" s="52">
        <f ca="1">C2110*Inputs!$B$12</f>
        <v>60360000</v>
      </c>
    </row>
    <row r="2111" spans="1:4" ht="13.5" customHeight="1" x14ac:dyDescent="0.3">
      <c r="A2111" s="46">
        <v>2107</v>
      </c>
      <c r="B2111" s="47">
        <f t="shared" ca="1" si="32"/>
        <v>0.22459622975174665</v>
      </c>
      <c r="C2111" s="48">
        <f t="array" aca="1" ref="C2111" ca="1">MAX(0,ROUND(Inputs!$B$10*Inputs!$B$11+NORMSINV(B2111)*SQRT(Inputs!$B$10*Inputs!$B$11),0))</f>
        <v>483</v>
      </c>
      <c r="D2111" s="49">
        <f ca="1">C2111*Inputs!$B$12</f>
        <v>57960000</v>
      </c>
    </row>
    <row r="2112" spans="1:4" ht="13.5" customHeight="1" x14ac:dyDescent="0.3">
      <c r="A2112" s="50">
        <v>2108</v>
      </c>
      <c r="B2112" s="51">
        <f t="shared" ca="1" si="32"/>
        <v>0.93863198046996532</v>
      </c>
      <c r="C2112" s="48">
        <f t="array" aca="1" ref="C2112" ca="1">MAX(0,ROUND(Inputs!$B$10*Inputs!$B$11+NORMSINV(B2112)*SQRT(Inputs!$B$10*Inputs!$B$11),0))</f>
        <v>535</v>
      </c>
      <c r="D2112" s="52">
        <f ca="1">C2112*Inputs!$B$12</f>
        <v>64200000</v>
      </c>
    </row>
    <row r="2113" spans="1:4" ht="13.5" customHeight="1" x14ac:dyDescent="0.3">
      <c r="A2113" s="46">
        <v>2109</v>
      </c>
      <c r="B2113" s="47">
        <f t="shared" ca="1" si="32"/>
        <v>0.33152289896574572</v>
      </c>
      <c r="C2113" s="48">
        <f t="array" aca="1" ref="C2113" ca="1">MAX(0,ROUND(Inputs!$B$10*Inputs!$B$11+NORMSINV(B2113)*SQRT(Inputs!$B$10*Inputs!$B$11),0))</f>
        <v>490</v>
      </c>
      <c r="D2113" s="49">
        <f ca="1">C2113*Inputs!$B$12</f>
        <v>58800000</v>
      </c>
    </row>
    <row r="2114" spans="1:4" ht="13.5" customHeight="1" x14ac:dyDescent="0.3">
      <c r="A2114" s="50">
        <v>2110</v>
      </c>
      <c r="B2114" s="51">
        <f t="shared" ca="1" si="32"/>
        <v>0.41346577458136224</v>
      </c>
      <c r="C2114" s="48">
        <f t="array" aca="1" ref="C2114" ca="1">MAX(0,ROUND(Inputs!$B$10*Inputs!$B$11+NORMSINV(B2114)*SQRT(Inputs!$B$10*Inputs!$B$11),0))</f>
        <v>495</v>
      </c>
      <c r="D2114" s="52">
        <f ca="1">C2114*Inputs!$B$12</f>
        <v>59400000</v>
      </c>
    </row>
    <row r="2115" spans="1:4" ht="13.5" customHeight="1" x14ac:dyDescent="0.3">
      <c r="A2115" s="46">
        <v>2111</v>
      </c>
      <c r="B2115" s="47">
        <f t="shared" ca="1" si="32"/>
        <v>0.55285762049478548</v>
      </c>
      <c r="C2115" s="48">
        <f t="array" aca="1" ref="C2115" ca="1">MAX(0,ROUND(Inputs!$B$10*Inputs!$B$11+NORMSINV(B2115)*SQRT(Inputs!$B$10*Inputs!$B$11),0))</f>
        <v>503</v>
      </c>
      <c r="D2115" s="49">
        <f ca="1">C2115*Inputs!$B$12</f>
        <v>60360000</v>
      </c>
    </row>
    <row r="2116" spans="1:4" ht="13.5" customHeight="1" x14ac:dyDescent="0.3">
      <c r="A2116" s="50">
        <v>2112</v>
      </c>
      <c r="B2116" s="51">
        <f t="shared" ca="1" si="32"/>
        <v>6.847751884282316E-2</v>
      </c>
      <c r="C2116" s="48">
        <f t="array" aca="1" ref="C2116" ca="1">MAX(0,ROUND(Inputs!$B$10*Inputs!$B$11+NORMSINV(B2116)*SQRT(Inputs!$B$10*Inputs!$B$11),0))</f>
        <v>467</v>
      </c>
      <c r="D2116" s="52">
        <f ca="1">C2116*Inputs!$B$12</f>
        <v>56040000</v>
      </c>
    </row>
    <row r="2117" spans="1:4" ht="13.5" customHeight="1" x14ac:dyDescent="0.3">
      <c r="A2117" s="46">
        <v>2113</v>
      </c>
      <c r="B2117" s="47">
        <f t="shared" ref="B2117:B2180" ca="1" si="33">RAND()</f>
        <v>2.0986968172984621E-2</v>
      </c>
      <c r="C2117" s="48">
        <f t="array" aca="1" ref="C2117" ca="1">MAX(0,ROUND(Inputs!$B$10*Inputs!$B$11+NORMSINV(B2117)*SQRT(Inputs!$B$10*Inputs!$B$11),0))</f>
        <v>455</v>
      </c>
      <c r="D2117" s="49">
        <f ca="1">C2117*Inputs!$B$12</f>
        <v>54600000</v>
      </c>
    </row>
    <row r="2118" spans="1:4" ht="13.5" customHeight="1" x14ac:dyDescent="0.3">
      <c r="A2118" s="50">
        <v>2114</v>
      </c>
      <c r="B2118" s="51">
        <f t="shared" ca="1" si="33"/>
        <v>0.89410491204194642</v>
      </c>
      <c r="C2118" s="48">
        <f t="array" aca="1" ref="C2118" ca="1">MAX(0,ROUND(Inputs!$B$10*Inputs!$B$11+NORMSINV(B2118)*SQRT(Inputs!$B$10*Inputs!$B$11),0))</f>
        <v>528</v>
      </c>
      <c r="D2118" s="52">
        <f ca="1">C2118*Inputs!$B$12</f>
        <v>63360000</v>
      </c>
    </row>
    <row r="2119" spans="1:4" ht="13.5" customHeight="1" x14ac:dyDescent="0.3">
      <c r="A2119" s="46">
        <v>2115</v>
      </c>
      <c r="B2119" s="47">
        <f t="shared" ca="1" si="33"/>
        <v>0.35489997802482676</v>
      </c>
      <c r="C2119" s="48">
        <f t="array" aca="1" ref="C2119" ca="1">MAX(0,ROUND(Inputs!$B$10*Inputs!$B$11+NORMSINV(B2119)*SQRT(Inputs!$B$10*Inputs!$B$11),0))</f>
        <v>492</v>
      </c>
      <c r="D2119" s="49">
        <f ca="1">C2119*Inputs!$B$12</f>
        <v>59040000</v>
      </c>
    </row>
    <row r="2120" spans="1:4" ht="13.5" customHeight="1" x14ac:dyDescent="0.3">
      <c r="A2120" s="50">
        <v>2116</v>
      </c>
      <c r="B2120" s="51">
        <f t="shared" ca="1" si="33"/>
        <v>0.10649319474997399</v>
      </c>
      <c r="C2120" s="48">
        <f t="array" aca="1" ref="C2120" ca="1">MAX(0,ROUND(Inputs!$B$10*Inputs!$B$11+NORMSINV(B2120)*SQRT(Inputs!$B$10*Inputs!$B$11),0))</f>
        <v>472</v>
      </c>
      <c r="D2120" s="52">
        <f ca="1">C2120*Inputs!$B$12</f>
        <v>56640000</v>
      </c>
    </row>
    <row r="2121" spans="1:4" ht="13.5" customHeight="1" x14ac:dyDescent="0.3">
      <c r="A2121" s="46">
        <v>2117</v>
      </c>
      <c r="B2121" s="47">
        <f t="shared" ca="1" si="33"/>
        <v>0.72279736956547935</v>
      </c>
      <c r="C2121" s="48">
        <f t="array" aca="1" ref="C2121" ca="1">MAX(0,ROUND(Inputs!$B$10*Inputs!$B$11+NORMSINV(B2121)*SQRT(Inputs!$B$10*Inputs!$B$11),0))</f>
        <v>513</v>
      </c>
      <c r="D2121" s="49">
        <f ca="1">C2121*Inputs!$B$12</f>
        <v>61560000</v>
      </c>
    </row>
    <row r="2122" spans="1:4" ht="13.5" customHeight="1" x14ac:dyDescent="0.3">
      <c r="A2122" s="50">
        <v>2118</v>
      </c>
      <c r="B2122" s="51">
        <f t="shared" ca="1" si="33"/>
        <v>0.44022171522355169</v>
      </c>
      <c r="C2122" s="48">
        <f t="array" aca="1" ref="C2122" ca="1">MAX(0,ROUND(Inputs!$B$10*Inputs!$B$11+NORMSINV(B2122)*SQRT(Inputs!$B$10*Inputs!$B$11),0))</f>
        <v>497</v>
      </c>
      <c r="D2122" s="52">
        <f ca="1">C2122*Inputs!$B$12</f>
        <v>59640000</v>
      </c>
    </row>
    <row r="2123" spans="1:4" ht="13.5" customHeight="1" x14ac:dyDescent="0.3">
      <c r="A2123" s="46">
        <v>2119</v>
      </c>
      <c r="B2123" s="47">
        <f t="shared" ca="1" si="33"/>
        <v>0.76998254870671134</v>
      </c>
      <c r="C2123" s="48">
        <f t="array" aca="1" ref="C2123" ca="1">MAX(0,ROUND(Inputs!$B$10*Inputs!$B$11+NORMSINV(B2123)*SQRT(Inputs!$B$10*Inputs!$B$11),0))</f>
        <v>517</v>
      </c>
      <c r="D2123" s="49">
        <f ca="1">C2123*Inputs!$B$12</f>
        <v>62040000</v>
      </c>
    </row>
    <row r="2124" spans="1:4" ht="13.5" customHeight="1" x14ac:dyDescent="0.3">
      <c r="A2124" s="50">
        <v>2120</v>
      </c>
      <c r="B2124" s="51">
        <f t="shared" ca="1" si="33"/>
        <v>0.1679762375039705</v>
      </c>
      <c r="C2124" s="48">
        <f t="array" aca="1" ref="C2124" ca="1">MAX(0,ROUND(Inputs!$B$10*Inputs!$B$11+NORMSINV(B2124)*SQRT(Inputs!$B$10*Inputs!$B$11),0))</f>
        <v>478</v>
      </c>
      <c r="D2124" s="52">
        <f ca="1">C2124*Inputs!$B$12</f>
        <v>57360000</v>
      </c>
    </row>
    <row r="2125" spans="1:4" ht="13.5" customHeight="1" x14ac:dyDescent="0.3">
      <c r="A2125" s="46">
        <v>2121</v>
      </c>
      <c r="B2125" s="47">
        <f t="shared" ca="1" si="33"/>
        <v>0.35917001522900982</v>
      </c>
      <c r="C2125" s="48">
        <f t="array" aca="1" ref="C2125" ca="1">MAX(0,ROUND(Inputs!$B$10*Inputs!$B$11+NORMSINV(B2125)*SQRT(Inputs!$B$10*Inputs!$B$11),0))</f>
        <v>492</v>
      </c>
      <c r="D2125" s="49">
        <f ca="1">C2125*Inputs!$B$12</f>
        <v>59040000</v>
      </c>
    </row>
    <row r="2126" spans="1:4" ht="13.5" customHeight="1" x14ac:dyDescent="0.3">
      <c r="A2126" s="50">
        <v>2122</v>
      </c>
      <c r="B2126" s="51">
        <f t="shared" ca="1" si="33"/>
        <v>0.41834645489942257</v>
      </c>
      <c r="C2126" s="48">
        <f t="array" aca="1" ref="C2126" ca="1">MAX(0,ROUND(Inputs!$B$10*Inputs!$B$11+NORMSINV(B2126)*SQRT(Inputs!$B$10*Inputs!$B$11),0))</f>
        <v>495</v>
      </c>
      <c r="D2126" s="52">
        <f ca="1">C2126*Inputs!$B$12</f>
        <v>59400000</v>
      </c>
    </row>
    <row r="2127" spans="1:4" ht="13.5" customHeight="1" x14ac:dyDescent="0.3">
      <c r="A2127" s="46">
        <v>2123</v>
      </c>
      <c r="B2127" s="47">
        <f t="shared" ca="1" si="33"/>
        <v>0.50323160279398094</v>
      </c>
      <c r="C2127" s="48">
        <f t="array" aca="1" ref="C2127" ca="1">MAX(0,ROUND(Inputs!$B$10*Inputs!$B$11+NORMSINV(B2127)*SQRT(Inputs!$B$10*Inputs!$B$11),0))</f>
        <v>500</v>
      </c>
      <c r="D2127" s="49">
        <f ca="1">C2127*Inputs!$B$12</f>
        <v>60000000</v>
      </c>
    </row>
    <row r="2128" spans="1:4" ht="13.5" customHeight="1" x14ac:dyDescent="0.3">
      <c r="A2128" s="50">
        <v>2124</v>
      </c>
      <c r="B2128" s="51">
        <f t="shared" ca="1" si="33"/>
        <v>6.4027444327130478E-2</v>
      </c>
      <c r="C2128" s="48">
        <f t="array" aca="1" ref="C2128" ca="1">MAX(0,ROUND(Inputs!$B$10*Inputs!$B$11+NORMSINV(B2128)*SQRT(Inputs!$B$10*Inputs!$B$11),0))</f>
        <v>466</v>
      </c>
      <c r="D2128" s="52">
        <f ca="1">C2128*Inputs!$B$12</f>
        <v>55920000</v>
      </c>
    </row>
    <row r="2129" spans="1:4" ht="13.5" customHeight="1" x14ac:dyDescent="0.3">
      <c r="A2129" s="46">
        <v>2125</v>
      </c>
      <c r="B2129" s="47">
        <f t="shared" ca="1" si="33"/>
        <v>5.9605770651267598E-2</v>
      </c>
      <c r="C2129" s="48">
        <f t="array" aca="1" ref="C2129" ca="1">MAX(0,ROUND(Inputs!$B$10*Inputs!$B$11+NORMSINV(B2129)*SQRT(Inputs!$B$10*Inputs!$B$11),0))</f>
        <v>465</v>
      </c>
      <c r="D2129" s="49">
        <f ca="1">C2129*Inputs!$B$12</f>
        <v>55800000</v>
      </c>
    </row>
    <row r="2130" spans="1:4" ht="13.5" customHeight="1" x14ac:dyDescent="0.3">
      <c r="A2130" s="50">
        <v>2126</v>
      </c>
      <c r="B2130" s="51">
        <f t="shared" ca="1" si="33"/>
        <v>0.35326104442793305</v>
      </c>
      <c r="C2130" s="48">
        <f t="array" aca="1" ref="C2130" ca="1">MAX(0,ROUND(Inputs!$B$10*Inputs!$B$11+NORMSINV(B2130)*SQRT(Inputs!$B$10*Inputs!$B$11),0))</f>
        <v>492</v>
      </c>
      <c r="D2130" s="52">
        <f ca="1">C2130*Inputs!$B$12</f>
        <v>59040000</v>
      </c>
    </row>
    <row r="2131" spans="1:4" ht="13.5" customHeight="1" x14ac:dyDescent="0.3">
      <c r="A2131" s="46">
        <v>2127</v>
      </c>
      <c r="B2131" s="47">
        <f t="shared" ca="1" si="33"/>
        <v>1.8674858054960275E-2</v>
      </c>
      <c r="C2131" s="48">
        <f t="array" aca="1" ref="C2131" ca="1">MAX(0,ROUND(Inputs!$B$10*Inputs!$B$11+NORMSINV(B2131)*SQRT(Inputs!$B$10*Inputs!$B$11),0))</f>
        <v>453</v>
      </c>
      <c r="D2131" s="49">
        <f ca="1">C2131*Inputs!$B$12</f>
        <v>54360000</v>
      </c>
    </row>
    <row r="2132" spans="1:4" ht="13.5" customHeight="1" x14ac:dyDescent="0.3">
      <c r="A2132" s="50">
        <v>2128</v>
      </c>
      <c r="B2132" s="51">
        <f t="shared" ca="1" si="33"/>
        <v>0.58531069558939885</v>
      </c>
      <c r="C2132" s="48">
        <f t="array" aca="1" ref="C2132" ca="1">MAX(0,ROUND(Inputs!$B$10*Inputs!$B$11+NORMSINV(B2132)*SQRT(Inputs!$B$10*Inputs!$B$11),0))</f>
        <v>505</v>
      </c>
      <c r="D2132" s="52">
        <f ca="1">C2132*Inputs!$B$12</f>
        <v>60600000</v>
      </c>
    </row>
    <row r="2133" spans="1:4" ht="13.5" customHeight="1" x14ac:dyDescent="0.3">
      <c r="A2133" s="46">
        <v>2129</v>
      </c>
      <c r="B2133" s="47">
        <f t="shared" ca="1" si="33"/>
        <v>0.37864447119311651</v>
      </c>
      <c r="C2133" s="48">
        <f t="array" aca="1" ref="C2133" ca="1">MAX(0,ROUND(Inputs!$B$10*Inputs!$B$11+NORMSINV(B2133)*SQRT(Inputs!$B$10*Inputs!$B$11),0))</f>
        <v>493</v>
      </c>
      <c r="D2133" s="49">
        <f ca="1">C2133*Inputs!$B$12</f>
        <v>59160000</v>
      </c>
    </row>
    <row r="2134" spans="1:4" ht="13.5" customHeight="1" x14ac:dyDescent="0.3">
      <c r="A2134" s="50">
        <v>2130</v>
      </c>
      <c r="B2134" s="51">
        <f t="shared" ca="1" si="33"/>
        <v>0.79499395386518512</v>
      </c>
      <c r="C2134" s="48">
        <f t="array" aca="1" ref="C2134" ca="1">MAX(0,ROUND(Inputs!$B$10*Inputs!$B$11+NORMSINV(B2134)*SQRT(Inputs!$B$10*Inputs!$B$11),0))</f>
        <v>518</v>
      </c>
      <c r="D2134" s="52">
        <f ca="1">C2134*Inputs!$B$12</f>
        <v>62160000</v>
      </c>
    </row>
    <row r="2135" spans="1:4" ht="13.5" customHeight="1" x14ac:dyDescent="0.3">
      <c r="A2135" s="46">
        <v>2131</v>
      </c>
      <c r="B2135" s="47">
        <f t="shared" ca="1" si="33"/>
        <v>0.47364502357468441</v>
      </c>
      <c r="C2135" s="48">
        <f t="array" aca="1" ref="C2135" ca="1">MAX(0,ROUND(Inputs!$B$10*Inputs!$B$11+NORMSINV(B2135)*SQRT(Inputs!$B$10*Inputs!$B$11),0))</f>
        <v>499</v>
      </c>
      <c r="D2135" s="49">
        <f ca="1">C2135*Inputs!$B$12</f>
        <v>59880000</v>
      </c>
    </row>
    <row r="2136" spans="1:4" ht="13.5" customHeight="1" x14ac:dyDescent="0.3">
      <c r="A2136" s="50">
        <v>2132</v>
      </c>
      <c r="B2136" s="51">
        <f t="shared" ca="1" si="33"/>
        <v>0.63518311778641001</v>
      </c>
      <c r="C2136" s="48">
        <f t="array" aca="1" ref="C2136" ca="1">MAX(0,ROUND(Inputs!$B$10*Inputs!$B$11+NORMSINV(B2136)*SQRT(Inputs!$B$10*Inputs!$B$11),0))</f>
        <v>508</v>
      </c>
      <c r="D2136" s="52">
        <f ca="1">C2136*Inputs!$B$12</f>
        <v>60960000</v>
      </c>
    </row>
    <row r="2137" spans="1:4" ht="13.5" customHeight="1" x14ac:dyDescent="0.3">
      <c r="A2137" s="46">
        <v>2133</v>
      </c>
      <c r="B2137" s="47">
        <f t="shared" ca="1" si="33"/>
        <v>0.75312354999278752</v>
      </c>
      <c r="C2137" s="48">
        <f t="array" aca="1" ref="C2137" ca="1">MAX(0,ROUND(Inputs!$B$10*Inputs!$B$11+NORMSINV(B2137)*SQRT(Inputs!$B$10*Inputs!$B$11),0))</f>
        <v>515</v>
      </c>
      <c r="D2137" s="49">
        <f ca="1">C2137*Inputs!$B$12</f>
        <v>61800000</v>
      </c>
    </row>
    <row r="2138" spans="1:4" ht="13.5" customHeight="1" x14ac:dyDescent="0.3">
      <c r="A2138" s="50">
        <v>2134</v>
      </c>
      <c r="B2138" s="51">
        <f t="shared" ca="1" si="33"/>
        <v>0.13219107973110933</v>
      </c>
      <c r="C2138" s="48">
        <f t="array" aca="1" ref="C2138" ca="1">MAX(0,ROUND(Inputs!$B$10*Inputs!$B$11+NORMSINV(B2138)*SQRT(Inputs!$B$10*Inputs!$B$11),0))</f>
        <v>475</v>
      </c>
      <c r="D2138" s="52">
        <f ca="1">C2138*Inputs!$B$12</f>
        <v>57000000</v>
      </c>
    </row>
    <row r="2139" spans="1:4" ht="13.5" customHeight="1" x14ac:dyDescent="0.3">
      <c r="A2139" s="46">
        <v>2135</v>
      </c>
      <c r="B2139" s="47">
        <f t="shared" ca="1" si="33"/>
        <v>0.70701987881488071</v>
      </c>
      <c r="C2139" s="48">
        <f t="array" aca="1" ref="C2139" ca="1">MAX(0,ROUND(Inputs!$B$10*Inputs!$B$11+NORMSINV(B2139)*SQRT(Inputs!$B$10*Inputs!$B$11),0))</f>
        <v>512</v>
      </c>
      <c r="D2139" s="49">
        <f ca="1">C2139*Inputs!$B$12</f>
        <v>61440000</v>
      </c>
    </row>
    <row r="2140" spans="1:4" ht="13.5" customHeight="1" x14ac:dyDescent="0.3">
      <c r="A2140" s="50">
        <v>2136</v>
      </c>
      <c r="B2140" s="51">
        <f t="shared" ca="1" si="33"/>
        <v>0.9641767768647368</v>
      </c>
      <c r="C2140" s="48">
        <f t="array" aca="1" ref="C2140" ca="1">MAX(0,ROUND(Inputs!$B$10*Inputs!$B$11+NORMSINV(B2140)*SQRT(Inputs!$B$10*Inputs!$B$11),0))</f>
        <v>540</v>
      </c>
      <c r="D2140" s="52">
        <f ca="1">C2140*Inputs!$B$12</f>
        <v>64800000</v>
      </c>
    </row>
    <row r="2141" spans="1:4" ht="13.5" customHeight="1" x14ac:dyDescent="0.3">
      <c r="A2141" s="46">
        <v>2137</v>
      </c>
      <c r="B2141" s="47">
        <f t="shared" ca="1" si="33"/>
        <v>0.56690378886917248</v>
      </c>
      <c r="C2141" s="48">
        <f t="array" aca="1" ref="C2141" ca="1">MAX(0,ROUND(Inputs!$B$10*Inputs!$B$11+NORMSINV(B2141)*SQRT(Inputs!$B$10*Inputs!$B$11),0))</f>
        <v>504</v>
      </c>
      <c r="D2141" s="49">
        <f ca="1">C2141*Inputs!$B$12</f>
        <v>60480000</v>
      </c>
    </row>
    <row r="2142" spans="1:4" ht="13.5" customHeight="1" x14ac:dyDescent="0.3">
      <c r="A2142" s="50">
        <v>2138</v>
      </c>
      <c r="B2142" s="51">
        <f t="shared" ca="1" si="33"/>
        <v>0.29747561739091077</v>
      </c>
      <c r="C2142" s="48">
        <f t="array" aca="1" ref="C2142" ca="1">MAX(0,ROUND(Inputs!$B$10*Inputs!$B$11+NORMSINV(B2142)*SQRT(Inputs!$B$10*Inputs!$B$11),0))</f>
        <v>488</v>
      </c>
      <c r="D2142" s="52">
        <f ca="1">C2142*Inputs!$B$12</f>
        <v>58560000</v>
      </c>
    </row>
    <row r="2143" spans="1:4" ht="13.5" customHeight="1" x14ac:dyDescent="0.3">
      <c r="A2143" s="46">
        <v>2139</v>
      </c>
      <c r="B2143" s="47">
        <f t="shared" ca="1" si="33"/>
        <v>0.1338718184794595</v>
      </c>
      <c r="C2143" s="48">
        <f t="array" aca="1" ref="C2143" ca="1">MAX(0,ROUND(Inputs!$B$10*Inputs!$B$11+NORMSINV(B2143)*SQRT(Inputs!$B$10*Inputs!$B$11),0))</f>
        <v>475</v>
      </c>
      <c r="D2143" s="49">
        <f ca="1">C2143*Inputs!$B$12</f>
        <v>57000000</v>
      </c>
    </row>
    <row r="2144" spans="1:4" ht="13.5" customHeight="1" x14ac:dyDescent="0.3">
      <c r="A2144" s="50">
        <v>2140</v>
      </c>
      <c r="B2144" s="51">
        <f t="shared" ca="1" si="33"/>
        <v>0.62319930798711942</v>
      </c>
      <c r="C2144" s="48">
        <f t="array" aca="1" ref="C2144" ca="1">MAX(0,ROUND(Inputs!$B$10*Inputs!$B$11+NORMSINV(B2144)*SQRT(Inputs!$B$10*Inputs!$B$11),0))</f>
        <v>507</v>
      </c>
      <c r="D2144" s="52">
        <f ca="1">C2144*Inputs!$B$12</f>
        <v>60840000</v>
      </c>
    </row>
    <row r="2145" spans="1:4" ht="13.5" customHeight="1" x14ac:dyDescent="0.3">
      <c r="A2145" s="46">
        <v>2141</v>
      </c>
      <c r="B2145" s="47">
        <f t="shared" ca="1" si="33"/>
        <v>0.20753540003964799</v>
      </c>
      <c r="C2145" s="48">
        <f t="array" aca="1" ref="C2145" ca="1">MAX(0,ROUND(Inputs!$B$10*Inputs!$B$11+NORMSINV(B2145)*SQRT(Inputs!$B$10*Inputs!$B$11),0))</f>
        <v>482</v>
      </c>
      <c r="D2145" s="49">
        <f ca="1">C2145*Inputs!$B$12</f>
        <v>57840000</v>
      </c>
    </row>
    <row r="2146" spans="1:4" ht="13.5" customHeight="1" x14ac:dyDescent="0.3">
      <c r="A2146" s="50">
        <v>2142</v>
      </c>
      <c r="B2146" s="51">
        <f t="shared" ca="1" si="33"/>
        <v>0.44465701075102448</v>
      </c>
      <c r="C2146" s="48">
        <f t="array" aca="1" ref="C2146" ca="1">MAX(0,ROUND(Inputs!$B$10*Inputs!$B$11+NORMSINV(B2146)*SQRT(Inputs!$B$10*Inputs!$B$11),0))</f>
        <v>497</v>
      </c>
      <c r="D2146" s="52">
        <f ca="1">C2146*Inputs!$B$12</f>
        <v>59640000</v>
      </c>
    </row>
    <row r="2147" spans="1:4" ht="13.5" customHeight="1" x14ac:dyDescent="0.3">
      <c r="A2147" s="46">
        <v>2143</v>
      </c>
      <c r="B2147" s="47">
        <f t="shared" ca="1" si="33"/>
        <v>0.94914543575278054</v>
      </c>
      <c r="C2147" s="48">
        <f t="array" aca="1" ref="C2147" ca="1">MAX(0,ROUND(Inputs!$B$10*Inputs!$B$11+NORMSINV(B2147)*SQRT(Inputs!$B$10*Inputs!$B$11),0))</f>
        <v>537</v>
      </c>
      <c r="D2147" s="49">
        <f ca="1">C2147*Inputs!$B$12</f>
        <v>64440000</v>
      </c>
    </row>
    <row r="2148" spans="1:4" ht="13.5" customHeight="1" x14ac:dyDescent="0.3">
      <c r="A2148" s="50">
        <v>2144</v>
      </c>
      <c r="B2148" s="51">
        <f t="shared" ca="1" si="33"/>
        <v>9.2434217988185186E-2</v>
      </c>
      <c r="C2148" s="48">
        <f t="array" aca="1" ref="C2148" ca="1">MAX(0,ROUND(Inputs!$B$10*Inputs!$B$11+NORMSINV(B2148)*SQRT(Inputs!$B$10*Inputs!$B$11),0))</f>
        <v>470</v>
      </c>
      <c r="D2148" s="52">
        <f ca="1">C2148*Inputs!$B$12</f>
        <v>56400000</v>
      </c>
    </row>
    <row r="2149" spans="1:4" ht="13.5" customHeight="1" x14ac:dyDescent="0.3">
      <c r="A2149" s="46">
        <v>2145</v>
      </c>
      <c r="B2149" s="47">
        <f t="shared" ca="1" si="33"/>
        <v>0.31401633162417353</v>
      </c>
      <c r="C2149" s="48">
        <f t="array" aca="1" ref="C2149" ca="1">MAX(0,ROUND(Inputs!$B$10*Inputs!$B$11+NORMSINV(B2149)*SQRT(Inputs!$B$10*Inputs!$B$11),0))</f>
        <v>489</v>
      </c>
      <c r="D2149" s="49">
        <f ca="1">C2149*Inputs!$B$12</f>
        <v>58680000</v>
      </c>
    </row>
    <row r="2150" spans="1:4" ht="13.5" customHeight="1" x14ac:dyDescent="0.3">
      <c r="A2150" s="50">
        <v>2146</v>
      </c>
      <c r="B2150" s="51">
        <f t="shared" ca="1" si="33"/>
        <v>0.13053521177879568</v>
      </c>
      <c r="C2150" s="48">
        <f t="array" aca="1" ref="C2150" ca="1">MAX(0,ROUND(Inputs!$B$10*Inputs!$B$11+NORMSINV(B2150)*SQRT(Inputs!$B$10*Inputs!$B$11),0))</f>
        <v>475</v>
      </c>
      <c r="D2150" s="52">
        <f ca="1">C2150*Inputs!$B$12</f>
        <v>57000000</v>
      </c>
    </row>
    <row r="2151" spans="1:4" ht="13.5" customHeight="1" x14ac:dyDescent="0.3">
      <c r="A2151" s="46">
        <v>2147</v>
      </c>
      <c r="B2151" s="47">
        <f t="shared" ca="1" si="33"/>
        <v>0.29456532365808896</v>
      </c>
      <c r="C2151" s="48">
        <f t="array" aca="1" ref="C2151" ca="1">MAX(0,ROUND(Inputs!$B$10*Inputs!$B$11+NORMSINV(B2151)*SQRT(Inputs!$B$10*Inputs!$B$11),0))</f>
        <v>488</v>
      </c>
      <c r="D2151" s="49">
        <f ca="1">C2151*Inputs!$B$12</f>
        <v>58560000</v>
      </c>
    </row>
    <row r="2152" spans="1:4" ht="13.5" customHeight="1" x14ac:dyDescent="0.3">
      <c r="A2152" s="50">
        <v>2148</v>
      </c>
      <c r="B2152" s="51">
        <f t="shared" ca="1" si="33"/>
        <v>0.83908787428677789</v>
      </c>
      <c r="C2152" s="48">
        <f t="array" aca="1" ref="C2152" ca="1">MAX(0,ROUND(Inputs!$B$10*Inputs!$B$11+NORMSINV(B2152)*SQRT(Inputs!$B$10*Inputs!$B$11),0))</f>
        <v>522</v>
      </c>
      <c r="D2152" s="52">
        <f ca="1">C2152*Inputs!$B$12</f>
        <v>62640000</v>
      </c>
    </row>
    <row r="2153" spans="1:4" ht="13.5" customHeight="1" x14ac:dyDescent="0.3">
      <c r="A2153" s="46">
        <v>2149</v>
      </c>
      <c r="B2153" s="47">
        <f t="shared" ca="1" si="33"/>
        <v>0.58996955444699228</v>
      </c>
      <c r="C2153" s="48">
        <f t="array" aca="1" ref="C2153" ca="1">MAX(0,ROUND(Inputs!$B$10*Inputs!$B$11+NORMSINV(B2153)*SQRT(Inputs!$B$10*Inputs!$B$11),0))</f>
        <v>505</v>
      </c>
      <c r="D2153" s="49">
        <f ca="1">C2153*Inputs!$B$12</f>
        <v>60600000</v>
      </c>
    </row>
    <row r="2154" spans="1:4" ht="13.5" customHeight="1" x14ac:dyDescent="0.3">
      <c r="A2154" s="50">
        <v>2150</v>
      </c>
      <c r="B2154" s="51">
        <f t="shared" ca="1" si="33"/>
        <v>7.3043220271133191E-2</v>
      </c>
      <c r="C2154" s="48">
        <f t="array" aca="1" ref="C2154" ca="1">MAX(0,ROUND(Inputs!$B$10*Inputs!$B$11+NORMSINV(B2154)*SQRT(Inputs!$B$10*Inputs!$B$11),0))</f>
        <v>467</v>
      </c>
      <c r="D2154" s="52">
        <f ca="1">C2154*Inputs!$B$12</f>
        <v>56040000</v>
      </c>
    </row>
    <row r="2155" spans="1:4" ht="13.5" customHeight="1" x14ac:dyDescent="0.3">
      <c r="A2155" s="46">
        <v>2151</v>
      </c>
      <c r="B2155" s="47">
        <f t="shared" ca="1" si="33"/>
        <v>0.46977403263110529</v>
      </c>
      <c r="C2155" s="48">
        <f t="array" aca="1" ref="C2155" ca="1">MAX(0,ROUND(Inputs!$B$10*Inputs!$B$11+NORMSINV(B2155)*SQRT(Inputs!$B$10*Inputs!$B$11),0))</f>
        <v>498</v>
      </c>
      <c r="D2155" s="49">
        <f ca="1">C2155*Inputs!$B$12</f>
        <v>59760000</v>
      </c>
    </row>
    <row r="2156" spans="1:4" ht="13.5" customHeight="1" x14ac:dyDescent="0.3">
      <c r="A2156" s="50">
        <v>2152</v>
      </c>
      <c r="B2156" s="51">
        <f t="shared" ca="1" si="33"/>
        <v>2.8533352325379679E-2</v>
      </c>
      <c r="C2156" s="48">
        <f t="array" aca="1" ref="C2156" ca="1">MAX(0,ROUND(Inputs!$B$10*Inputs!$B$11+NORMSINV(B2156)*SQRT(Inputs!$B$10*Inputs!$B$11),0))</f>
        <v>457</v>
      </c>
      <c r="D2156" s="52">
        <f ca="1">C2156*Inputs!$B$12</f>
        <v>54840000</v>
      </c>
    </row>
    <row r="2157" spans="1:4" ht="13.5" customHeight="1" x14ac:dyDescent="0.3">
      <c r="A2157" s="46">
        <v>2153</v>
      </c>
      <c r="B2157" s="47">
        <f t="shared" ca="1" si="33"/>
        <v>0.93939423060114513</v>
      </c>
      <c r="C2157" s="48">
        <f t="array" aca="1" ref="C2157" ca="1">MAX(0,ROUND(Inputs!$B$10*Inputs!$B$11+NORMSINV(B2157)*SQRT(Inputs!$B$10*Inputs!$B$11),0))</f>
        <v>535</v>
      </c>
      <c r="D2157" s="49">
        <f ca="1">C2157*Inputs!$B$12</f>
        <v>64200000</v>
      </c>
    </row>
    <row r="2158" spans="1:4" ht="13.5" customHeight="1" x14ac:dyDescent="0.3">
      <c r="A2158" s="50">
        <v>2154</v>
      </c>
      <c r="B2158" s="51">
        <f t="shared" ca="1" si="33"/>
        <v>0.27939510807215662</v>
      </c>
      <c r="C2158" s="48">
        <f t="array" aca="1" ref="C2158" ca="1">MAX(0,ROUND(Inputs!$B$10*Inputs!$B$11+NORMSINV(B2158)*SQRT(Inputs!$B$10*Inputs!$B$11),0))</f>
        <v>487</v>
      </c>
      <c r="D2158" s="52">
        <f ca="1">C2158*Inputs!$B$12</f>
        <v>58440000</v>
      </c>
    </row>
    <row r="2159" spans="1:4" ht="13.5" customHeight="1" x14ac:dyDescent="0.3">
      <c r="A2159" s="46">
        <v>2155</v>
      </c>
      <c r="B2159" s="47">
        <f t="shared" ca="1" si="33"/>
        <v>0.76184603032769405</v>
      </c>
      <c r="C2159" s="48">
        <f t="array" aca="1" ref="C2159" ca="1">MAX(0,ROUND(Inputs!$B$10*Inputs!$B$11+NORMSINV(B2159)*SQRT(Inputs!$B$10*Inputs!$B$11),0))</f>
        <v>516</v>
      </c>
      <c r="D2159" s="49">
        <f ca="1">C2159*Inputs!$B$12</f>
        <v>61920000</v>
      </c>
    </row>
    <row r="2160" spans="1:4" ht="13.5" customHeight="1" x14ac:dyDescent="0.3">
      <c r="A2160" s="50">
        <v>2156</v>
      </c>
      <c r="B2160" s="51">
        <f t="shared" ca="1" si="33"/>
        <v>0.82260510229173711</v>
      </c>
      <c r="C2160" s="48">
        <f t="array" aca="1" ref="C2160" ca="1">MAX(0,ROUND(Inputs!$B$10*Inputs!$B$11+NORMSINV(B2160)*SQRT(Inputs!$B$10*Inputs!$B$11),0))</f>
        <v>521</v>
      </c>
      <c r="D2160" s="52">
        <f ca="1">C2160*Inputs!$B$12</f>
        <v>62520000</v>
      </c>
    </row>
    <row r="2161" spans="1:4" ht="13.5" customHeight="1" x14ac:dyDescent="0.3">
      <c r="A2161" s="46">
        <v>2157</v>
      </c>
      <c r="B2161" s="47">
        <f t="shared" ca="1" si="33"/>
        <v>0.2034502796442238</v>
      </c>
      <c r="C2161" s="48">
        <f t="array" aca="1" ref="C2161" ca="1">MAX(0,ROUND(Inputs!$B$10*Inputs!$B$11+NORMSINV(B2161)*SQRT(Inputs!$B$10*Inputs!$B$11),0))</f>
        <v>481</v>
      </c>
      <c r="D2161" s="49">
        <f ca="1">C2161*Inputs!$B$12</f>
        <v>57720000</v>
      </c>
    </row>
    <row r="2162" spans="1:4" ht="13.5" customHeight="1" x14ac:dyDescent="0.3">
      <c r="A2162" s="50">
        <v>2158</v>
      </c>
      <c r="B2162" s="51">
        <f t="shared" ca="1" si="33"/>
        <v>0.37270694962749706</v>
      </c>
      <c r="C2162" s="48">
        <f t="array" aca="1" ref="C2162" ca="1">MAX(0,ROUND(Inputs!$B$10*Inputs!$B$11+NORMSINV(B2162)*SQRT(Inputs!$B$10*Inputs!$B$11),0))</f>
        <v>493</v>
      </c>
      <c r="D2162" s="52">
        <f ca="1">C2162*Inputs!$B$12</f>
        <v>59160000</v>
      </c>
    </row>
    <row r="2163" spans="1:4" ht="13.5" customHeight="1" x14ac:dyDescent="0.3">
      <c r="A2163" s="46">
        <v>2159</v>
      </c>
      <c r="B2163" s="47">
        <f t="shared" ca="1" si="33"/>
        <v>0.51572493499761896</v>
      </c>
      <c r="C2163" s="48">
        <f t="array" aca="1" ref="C2163" ca="1">MAX(0,ROUND(Inputs!$B$10*Inputs!$B$11+NORMSINV(B2163)*SQRT(Inputs!$B$10*Inputs!$B$11),0))</f>
        <v>501</v>
      </c>
      <c r="D2163" s="49">
        <f ca="1">C2163*Inputs!$B$12</f>
        <v>60120000</v>
      </c>
    </row>
    <row r="2164" spans="1:4" ht="13.5" customHeight="1" x14ac:dyDescent="0.3">
      <c r="A2164" s="50">
        <v>2160</v>
      </c>
      <c r="B2164" s="51">
        <f t="shared" ca="1" si="33"/>
        <v>1.1288751435990507E-3</v>
      </c>
      <c r="C2164" s="48">
        <f t="array" aca="1" ref="C2164" ca="1">MAX(0,ROUND(Inputs!$B$10*Inputs!$B$11+NORMSINV(B2164)*SQRT(Inputs!$B$10*Inputs!$B$11),0))</f>
        <v>432</v>
      </c>
      <c r="D2164" s="52">
        <f ca="1">C2164*Inputs!$B$12</f>
        <v>51840000</v>
      </c>
    </row>
    <row r="2165" spans="1:4" ht="13.5" customHeight="1" x14ac:dyDescent="0.3">
      <c r="A2165" s="46">
        <v>2161</v>
      </c>
      <c r="B2165" s="47">
        <f t="shared" ca="1" si="33"/>
        <v>0.55119139809324857</v>
      </c>
      <c r="C2165" s="48">
        <f t="array" aca="1" ref="C2165" ca="1">MAX(0,ROUND(Inputs!$B$10*Inputs!$B$11+NORMSINV(B2165)*SQRT(Inputs!$B$10*Inputs!$B$11),0))</f>
        <v>503</v>
      </c>
      <c r="D2165" s="49">
        <f ca="1">C2165*Inputs!$B$12</f>
        <v>60360000</v>
      </c>
    </row>
    <row r="2166" spans="1:4" ht="13.5" customHeight="1" x14ac:dyDescent="0.3">
      <c r="A2166" s="50">
        <v>2162</v>
      </c>
      <c r="B2166" s="51">
        <f t="shared" ca="1" si="33"/>
        <v>0.20963563052453438</v>
      </c>
      <c r="C2166" s="48">
        <f t="array" aca="1" ref="C2166" ca="1">MAX(0,ROUND(Inputs!$B$10*Inputs!$B$11+NORMSINV(B2166)*SQRT(Inputs!$B$10*Inputs!$B$11),0))</f>
        <v>482</v>
      </c>
      <c r="D2166" s="52">
        <f ca="1">C2166*Inputs!$B$12</f>
        <v>57840000</v>
      </c>
    </row>
    <row r="2167" spans="1:4" ht="13.5" customHeight="1" x14ac:dyDescent="0.3">
      <c r="A2167" s="46">
        <v>2163</v>
      </c>
      <c r="B2167" s="47">
        <f t="shared" ca="1" si="33"/>
        <v>0.98251782158237488</v>
      </c>
      <c r="C2167" s="48">
        <f t="array" aca="1" ref="C2167" ca="1">MAX(0,ROUND(Inputs!$B$10*Inputs!$B$11+NORMSINV(B2167)*SQRT(Inputs!$B$10*Inputs!$B$11),0))</f>
        <v>547</v>
      </c>
      <c r="D2167" s="49">
        <f ca="1">C2167*Inputs!$B$12</f>
        <v>65640000</v>
      </c>
    </row>
    <row r="2168" spans="1:4" ht="13.5" customHeight="1" x14ac:dyDescent="0.3">
      <c r="A2168" s="50">
        <v>2164</v>
      </c>
      <c r="B2168" s="51">
        <f t="shared" ca="1" si="33"/>
        <v>0.66943991163253902</v>
      </c>
      <c r="C2168" s="48">
        <f t="array" aca="1" ref="C2168" ca="1">MAX(0,ROUND(Inputs!$B$10*Inputs!$B$11+NORMSINV(B2168)*SQRT(Inputs!$B$10*Inputs!$B$11),0))</f>
        <v>510</v>
      </c>
      <c r="D2168" s="52">
        <f ca="1">C2168*Inputs!$B$12</f>
        <v>61200000</v>
      </c>
    </row>
    <row r="2169" spans="1:4" ht="13.5" customHeight="1" x14ac:dyDescent="0.3">
      <c r="A2169" s="46">
        <v>2165</v>
      </c>
      <c r="B2169" s="47">
        <f t="shared" ca="1" si="33"/>
        <v>0.68297397005472849</v>
      </c>
      <c r="C2169" s="48">
        <f t="array" aca="1" ref="C2169" ca="1">MAX(0,ROUND(Inputs!$B$10*Inputs!$B$11+NORMSINV(B2169)*SQRT(Inputs!$B$10*Inputs!$B$11),0))</f>
        <v>511</v>
      </c>
      <c r="D2169" s="49">
        <f ca="1">C2169*Inputs!$B$12</f>
        <v>61320000</v>
      </c>
    </row>
    <row r="2170" spans="1:4" ht="13.5" customHeight="1" x14ac:dyDescent="0.3">
      <c r="A2170" s="50">
        <v>2166</v>
      </c>
      <c r="B2170" s="51">
        <f t="shared" ca="1" si="33"/>
        <v>0.16188700138163581</v>
      </c>
      <c r="C2170" s="48">
        <f t="array" aca="1" ref="C2170" ca="1">MAX(0,ROUND(Inputs!$B$10*Inputs!$B$11+NORMSINV(B2170)*SQRT(Inputs!$B$10*Inputs!$B$11),0))</f>
        <v>478</v>
      </c>
      <c r="D2170" s="52">
        <f ca="1">C2170*Inputs!$B$12</f>
        <v>57360000</v>
      </c>
    </row>
    <row r="2171" spans="1:4" ht="13.5" customHeight="1" x14ac:dyDescent="0.3">
      <c r="A2171" s="46">
        <v>2167</v>
      </c>
      <c r="B2171" s="47">
        <f t="shared" ca="1" si="33"/>
        <v>7.2351614470040793E-2</v>
      </c>
      <c r="C2171" s="48">
        <f t="array" aca="1" ref="C2171" ca="1">MAX(0,ROUND(Inputs!$B$10*Inputs!$B$11+NORMSINV(B2171)*SQRT(Inputs!$B$10*Inputs!$B$11),0))</f>
        <v>467</v>
      </c>
      <c r="D2171" s="49">
        <f ca="1">C2171*Inputs!$B$12</f>
        <v>56040000</v>
      </c>
    </row>
    <row r="2172" spans="1:4" ht="13.5" customHeight="1" x14ac:dyDescent="0.3">
      <c r="A2172" s="50">
        <v>2168</v>
      </c>
      <c r="B2172" s="51">
        <f t="shared" ca="1" si="33"/>
        <v>0.4433398265422881</v>
      </c>
      <c r="C2172" s="48">
        <f t="array" aca="1" ref="C2172" ca="1">MAX(0,ROUND(Inputs!$B$10*Inputs!$B$11+NORMSINV(B2172)*SQRT(Inputs!$B$10*Inputs!$B$11),0))</f>
        <v>497</v>
      </c>
      <c r="D2172" s="52">
        <f ca="1">C2172*Inputs!$B$12</f>
        <v>59640000</v>
      </c>
    </row>
    <row r="2173" spans="1:4" ht="13.5" customHeight="1" x14ac:dyDescent="0.3">
      <c r="A2173" s="46">
        <v>2169</v>
      </c>
      <c r="B2173" s="47">
        <f t="shared" ca="1" si="33"/>
        <v>0.97239929424209226</v>
      </c>
      <c r="C2173" s="48">
        <f t="array" aca="1" ref="C2173" ca="1">MAX(0,ROUND(Inputs!$B$10*Inputs!$B$11+NORMSINV(B2173)*SQRT(Inputs!$B$10*Inputs!$B$11),0))</f>
        <v>543</v>
      </c>
      <c r="D2173" s="49">
        <f ca="1">C2173*Inputs!$B$12</f>
        <v>65160000</v>
      </c>
    </row>
    <row r="2174" spans="1:4" ht="13.5" customHeight="1" x14ac:dyDescent="0.3">
      <c r="A2174" s="50">
        <v>2170</v>
      </c>
      <c r="B2174" s="51">
        <f t="shared" ca="1" si="33"/>
        <v>0.6600334371026545</v>
      </c>
      <c r="C2174" s="48">
        <f t="array" aca="1" ref="C2174" ca="1">MAX(0,ROUND(Inputs!$B$10*Inputs!$B$11+NORMSINV(B2174)*SQRT(Inputs!$B$10*Inputs!$B$11),0))</f>
        <v>509</v>
      </c>
      <c r="D2174" s="52">
        <f ca="1">C2174*Inputs!$B$12</f>
        <v>61080000</v>
      </c>
    </row>
    <row r="2175" spans="1:4" ht="13.5" customHeight="1" x14ac:dyDescent="0.3">
      <c r="A2175" s="46">
        <v>2171</v>
      </c>
      <c r="B2175" s="47">
        <f t="shared" ca="1" si="33"/>
        <v>0.57593919242858527</v>
      </c>
      <c r="C2175" s="48">
        <f t="array" aca="1" ref="C2175" ca="1">MAX(0,ROUND(Inputs!$B$10*Inputs!$B$11+NORMSINV(B2175)*SQRT(Inputs!$B$10*Inputs!$B$11),0))</f>
        <v>504</v>
      </c>
      <c r="D2175" s="49">
        <f ca="1">C2175*Inputs!$B$12</f>
        <v>60480000</v>
      </c>
    </row>
    <row r="2176" spans="1:4" ht="13.5" customHeight="1" x14ac:dyDescent="0.3">
      <c r="A2176" s="50">
        <v>2172</v>
      </c>
      <c r="B2176" s="51">
        <f t="shared" ca="1" si="33"/>
        <v>0.74470803370299776</v>
      </c>
      <c r="C2176" s="48">
        <f t="array" aca="1" ref="C2176" ca="1">MAX(0,ROUND(Inputs!$B$10*Inputs!$B$11+NORMSINV(B2176)*SQRT(Inputs!$B$10*Inputs!$B$11),0))</f>
        <v>515</v>
      </c>
      <c r="D2176" s="52">
        <f ca="1">C2176*Inputs!$B$12</f>
        <v>61800000</v>
      </c>
    </row>
    <row r="2177" spans="1:4" ht="13.5" customHeight="1" x14ac:dyDescent="0.3">
      <c r="A2177" s="46">
        <v>2173</v>
      </c>
      <c r="B2177" s="47">
        <f t="shared" ca="1" si="33"/>
        <v>0.85672058486556657</v>
      </c>
      <c r="C2177" s="48">
        <f t="array" aca="1" ref="C2177" ca="1">MAX(0,ROUND(Inputs!$B$10*Inputs!$B$11+NORMSINV(B2177)*SQRT(Inputs!$B$10*Inputs!$B$11),0))</f>
        <v>524</v>
      </c>
      <c r="D2177" s="49">
        <f ca="1">C2177*Inputs!$B$12</f>
        <v>62880000</v>
      </c>
    </row>
    <row r="2178" spans="1:4" ht="13.5" customHeight="1" x14ac:dyDescent="0.3">
      <c r="A2178" s="50">
        <v>2174</v>
      </c>
      <c r="B2178" s="51">
        <f t="shared" ca="1" si="33"/>
        <v>0.5603345057204081</v>
      </c>
      <c r="C2178" s="48">
        <f t="array" aca="1" ref="C2178" ca="1">MAX(0,ROUND(Inputs!$B$10*Inputs!$B$11+NORMSINV(B2178)*SQRT(Inputs!$B$10*Inputs!$B$11),0))</f>
        <v>503</v>
      </c>
      <c r="D2178" s="52">
        <f ca="1">C2178*Inputs!$B$12</f>
        <v>60360000</v>
      </c>
    </row>
    <row r="2179" spans="1:4" ht="13.5" customHeight="1" x14ac:dyDescent="0.3">
      <c r="A2179" s="46">
        <v>2175</v>
      </c>
      <c r="B2179" s="47">
        <f t="shared" ca="1" si="33"/>
        <v>0.57522024942194105</v>
      </c>
      <c r="C2179" s="48">
        <f t="array" aca="1" ref="C2179" ca="1">MAX(0,ROUND(Inputs!$B$10*Inputs!$B$11+NORMSINV(B2179)*SQRT(Inputs!$B$10*Inputs!$B$11),0))</f>
        <v>504</v>
      </c>
      <c r="D2179" s="49">
        <f ca="1">C2179*Inputs!$B$12</f>
        <v>60480000</v>
      </c>
    </row>
    <row r="2180" spans="1:4" ht="13.5" customHeight="1" x14ac:dyDescent="0.3">
      <c r="A2180" s="50">
        <v>2176</v>
      </c>
      <c r="B2180" s="51">
        <f t="shared" ca="1" si="33"/>
        <v>0.11855333337319429</v>
      </c>
      <c r="C2180" s="48">
        <f t="array" aca="1" ref="C2180" ca="1">MAX(0,ROUND(Inputs!$B$10*Inputs!$B$11+NORMSINV(B2180)*SQRT(Inputs!$B$10*Inputs!$B$11),0))</f>
        <v>474</v>
      </c>
      <c r="D2180" s="52">
        <f ca="1">C2180*Inputs!$B$12</f>
        <v>56880000</v>
      </c>
    </row>
    <row r="2181" spans="1:4" ht="13.5" customHeight="1" x14ac:dyDescent="0.3">
      <c r="A2181" s="46">
        <v>2177</v>
      </c>
      <c r="B2181" s="47">
        <f t="shared" ref="B2181:B2244" ca="1" si="34">RAND()</f>
        <v>0.96977549766141069</v>
      </c>
      <c r="C2181" s="48">
        <f t="array" aca="1" ref="C2181" ca="1">MAX(0,ROUND(Inputs!$B$10*Inputs!$B$11+NORMSINV(B2181)*SQRT(Inputs!$B$10*Inputs!$B$11),0))</f>
        <v>542</v>
      </c>
      <c r="D2181" s="49">
        <f ca="1">C2181*Inputs!$B$12</f>
        <v>65040000</v>
      </c>
    </row>
    <row r="2182" spans="1:4" ht="13.5" customHeight="1" x14ac:dyDescent="0.3">
      <c r="A2182" s="50">
        <v>2178</v>
      </c>
      <c r="B2182" s="51">
        <f t="shared" ca="1" si="34"/>
        <v>0.92619598515976942</v>
      </c>
      <c r="C2182" s="48">
        <f t="array" aca="1" ref="C2182" ca="1">MAX(0,ROUND(Inputs!$B$10*Inputs!$B$11+NORMSINV(B2182)*SQRT(Inputs!$B$10*Inputs!$B$11),0))</f>
        <v>532</v>
      </c>
      <c r="D2182" s="52">
        <f ca="1">C2182*Inputs!$B$12</f>
        <v>63840000</v>
      </c>
    </row>
    <row r="2183" spans="1:4" ht="13.5" customHeight="1" x14ac:dyDescent="0.3">
      <c r="A2183" s="46">
        <v>2179</v>
      </c>
      <c r="B2183" s="47">
        <f t="shared" ca="1" si="34"/>
        <v>0.71487597544030868</v>
      </c>
      <c r="C2183" s="48">
        <f t="array" aca="1" ref="C2183" ca="1">MAX(0,ROUND(Inputs!$B$10*Inputs!$B$11+NORMSINV(B2183)*SQRT(Inputs!$B$10*Inputs!$B$11),0))</f>
        <v>513</v>
      </c>
      <c r="D2183" s="49">
        <f ca="1">C2183*Inputs!$B$12</f>
        <v>61560000</v>
      </c>
    </row>
    <row r="2184" spans="1:4" ht="13.5" customHeight="1" x14ac:dyDescent="0.3">
      <c r="A2184" s="50">
        <v>2180</v>
      </c>
      <c r="B2184" s="51">
        <f t="shared" ca="1" si="34"/>
        <v>0.90302229130861711</v>
      </c>
      <c r="C2184" s="48">
        <f t="array" aca="1" ref="C2184" ca="1">MAX(0,ROUND(Inputs!$B$10*Inputs!$B$11+NORMSINV(B2184)*SQRT(Inputs!$B$10*Inputs!$B$11),0))</f>
        <v>529</v>
      </c>
      <c r="D2184" s="52">
        <f ca="1">C2184*Inputs!$B$12</f>
        <v>63480000</v>
      </c>
    </row>
    <row r="2185" spans="1:4" ht="13.5" customHeight="1" x14ac:dyDescent="0.3">
      <c r="A2185" s="46">
        <v>2181</v>
      </c>
      <c r="B2185" s="47">
        <f t="shared" ca="1" si="34"/>
        <v>0.23329475209211037</v>
      </c>
      <c r="C2185" s="48">
        <f t="array" aca="1" ref="C2185" ca="1">MAX(0,ROUND(Inputs!$B$10*Inputs!$B$11+NORMSINV(B2185)*SQRT(Inputs!$B$10*Inputs!$B$11),0))</f>
        <v>484</v>
      </c>
      <c r="D2185" s="49">
        <f ca="1">C2185*Inputs!$B$12</f>
        <v>58080000</v>
      </c>
    </row>
    <row r="2186" spans="1:4" ht="13.5" customHeight="1" x14ac:dyDescent="0.3">
      <c r="A2186" s="50">
        <v>2182</v>
      </c>
      <c r="B2186" s="51">
        <f t="shared" ca="1" si="34"/>
        <v>0.10366978104708802</v>
      </c>
      <c r="C2186" s="48">
        <f t="array" aca="1" ref="C2186" ca="1">MAX(0,ROUND(Inputs!$B$10*Inputs!$B$11+NORMSINV(B2186)*SQRT(Inputs!$B$10*Inputs!$B$11),0))</f>
        <v>472</v>
      </c>
      <c r="D2186" s="52">
        <f ca="1">C2186*Inputs!$B$12</f>
        <v>56640000</v>
      </c>
    </row>
    <row r="2187" spans="1:4" ht="13.5" customHeight="1" x14ac:dyDescent="0.3">
      <c r="A2187" s="46">
        <v>2183</v>
      </c>
      <c r="B2187" s="47">
        <f t="shared" ca="1" si="34"/>
        <v>0.56487360683822041</v>
      </c>
      <c r="C2187" s="48">
        <f t="array" aca="1" ref="C2187" ca="1">MAX(0,ROUND(Inputs!$B$10*Inputs!$B$11+NORMSINV(B2187)*SQRT(Inputs!$B$10*Inputs!$B$11),0))</f>
        <v>504</v>
      </c>
      <c r="D2187" s="49">
        <f ca="1">C2187*Inputs!$B$12</f>
        <v>60480000</v>
      </c>
    </row>
    <row r="2188" spans="1:4" ht="13.5" customHeight="1" x14ac:dyDescent="0.3">
      <c r="A2188" s="50">
        <v>2184</v>
      </c>
      <c r="B2188" s="51">
        <f t="shared" ca="1" si="34"/>
        <v>0.36213168081930669</v>
      </c>
      <c r="C2188" s="48">
        <f t="array" aca="1" ref="C2188" ca="1">MAX(0,ROUND(Inputs!$B$10*Inputs!$B$11+NORMSINV(B2188)*SQRT(Inputs!$B$10*Inputs!$B$11),0))</f>
        <v>492</v>
      </c>
      <c r="D2188" s="52">
        <f ca="1">C2188*Inputs!$B$12</f>
        <v>59040000</v>
      </c>
    </row>
    <row r="2189" spans="1:4" ht="13.5" customHeight="1" x14ac:dyDescent="0.3">
      <c r="A2189" s="46">
        <v>2185</v>
      </c>
      <c r="B2189" s="47">
        <f t="shared" ca="1" si="34"/>
        <v>0.9663806097847959</v>
      </c>
      <c r="C2189" s="48">
        <f t="array" aca="1" ref="C2189" ca="1">MAX(0,ROUND(Inputs!$B$10*Inputs!$B$11+NORMSINV(B2189)*SQRT(Inputs!$B$10*Inputs!$B$11),0))</f>
        <v>541</v>
      </c>
      <c r="D2189" s="49">
        <f ca="1">C2189*Inputs!$B$12</f>
        <v>64920000</v>
      </c>
    </row>
    <row r="2190" spans="1:4" ht="13.5" customHeight="1" x14ac:dyDescent="0.3">
      <c r="A2190" s="50">
        <v>2186</v>
      </c>
      <c r="B2190" s="51">
        <f t="shared" ca="1" si="34"/>
        <v>0.2224676673968905</v>
      </c>
      <c r="C2190" s="48">
        <f t="array" aca="1" ref="C2190" ca="1">MAX(0,ROUND(Inputs!$B$10*Inputs!$B$11+NORMSINV(B2190)*SQRT(Inputs!$B$10*Inputs!$B$11),0))</f>
        <v>483</v>
      </c>
      <c r="D2190" s="52">
        <f ca="1">C2190*Inputs!$B$12</f>
        <v>57960000</v>
      </c>
    </row>
    <row r="2191" spans="1:4" ht="13.5" customHeight="1" x14ac:dyDescent="0.3">
      <c r="A2191" s="46">
        <v>2187</v>
      </c>
      <c r="B2191" s="47">
        <f t="shared" ca="1" si="34"/>
        <v>0.99957114601720609</v>
      </c>
      <c r="C2191" s="48">
        <f t="array" aca="1" ref="C2191" ca="1">MAX(0,ROUND(Inputs!$B$10*Inputs!$B$11+NORMSINV(B2191)*SQRT(Inputs!$B$10*Inputs!$B$11),0))</f>
        <v>575</v>
      </c>
      <c r="D2191" s="49">
        <f ca="1">C2191*Inputs!$B$12</f>
        <v>69000000</v>
      </c>
    </row>
    <row r="2192" spans="1:4" ht="13.5" customHeight="1" x14ac:dyDescent="0.3">
      <c r="A2192" s="50">
        <v>2188</v>
      </c>
      <c r="B2192" s="51">
        <f t="shared" ca="1" si="34"/>
        <v>0.46144265890898351</v>
      </c>
      <c r="C2192" s="48">
        <f t="array" aca="1" ref="C2192" ca="1">MAX(0,ROUND(Inputs!$B$10*Inputs!$B$11+NORMSINV(B2192)*SQRT(Inputs!$B$10*Inputs!$B$11),0))</f>
        <v>498</v>
      </c>
      <c r="D2192" s="52">
        <f ca="1">C2192*Inputs!$B$12</f>
        <v>59760000</v>
      </c>
    </row>
    <row r="2193" spans="1:4" ht="13.5" customHeight="1" x14ac:dyDescent="0.3">
      <c r="A2193" s="46">
        <v>2189</v>
      </c>
      <c r="B2193" s="47">
        <f t="shared" ca="1" si="34"/>
        <v>0.55589891667602198</v>
      </c>
      <c r="C2193" s="48">
        <f t="array" aca="1" ref="C2193" ca="1">MAX(0,ROUND(Inputs!$B$10*Inputs!$B$11+NORMSINV(B2193)*SQRT(Inputs!$B$10*Inputs!$B$11),0))</f>
        <v>503</v>
      </c>
      <c r="D2193" s="49">
        <f ca="1">C2193*Inputs!$B$12</f>
        <v>60360000</v>
      </c>
    </row>
    <row r="2194" spans="1:4" ht="13.5" customHeight="1" x14ac:dyDescent="0.3">
      <c r="A2194" s="50">
        <v>2190</v>
      </c>
      <c r="B2194" s="51">
        <f t="shared" ca="1" si="34"/>
        <v>0.27764916899741399</v>
      </c>
      <c r="C2194" s="48">
        <f t="array" aca="1" ref="C2194" ca="1">MAX(0,ROUND(Inputs!$B$10*Inputs!$B$11+NORMSINV(B2194)*SQRT(Inputs!$B$10*Inputs!$B$11),0))</f>
        <v>487</v>
      </c>
      <c r="D2194" s="52">
        <f ca="1">C2194*Inputs!$B$12</f>
        <v>58440000</v>
      </c>
    </row>
    <row r="2195" spans="1:4" ht="13.5" customHeight="1" x14ac:dyDescent="0.3">
      <c r="A2195" s="46">
        <v>2191</v>
      </c>
      <c r="B2195" s="47">
        <f t="shared" ca="1" si="34"/>
        <v>0.25524211419856291</v>
      </c>
      <c r="C2195" s="48">
        <f t="array" aca="1" ref="C2195" ca="1">MAX(0,ROUND(Inputs!$B$10*Inputs!$B$11+NORMSINV(B2195)*SQRT(Inputs!$B$10*Inputs!$B$11),0))</f>
        <v>485</v>
      </c>
      <c r="D2195" s="49">
        <f ca="1">C2195*Inputs!$B$12</f>
        <v>58200000</v>
      </c>
    </row>
    <row r="2196" spans="1:4" ht="13.5" customHeight="1" x14ac:dyDescent="0.3">
      <c r="A2196" s="50">
        <v>2192</v>
      </c>
      <c r="B2196" s="51">
        <f t="shared" ca="1" si="34"/>
        <v>4.2924317100889398E-2</v>
      </c>
      <c r="C2196" s="48">
        <f t="array" aca="1" ref="C2196" ca="1">MAX(0,ROUND(Inputs!$B$10*Inputs!$B$11+NORMSINV(B2196)*SQRT(Inputs!$B$10*Inputs!$B$11),0))</f>
        <v>462</v>
      </c>
      <c r="D2196" s="52">
        <f ca="1">C2196*Inputs!$B$12</f>
        <v>55440000</v>
      </c>
    </row>
    <row r="2197" spans="1:4" ht="13.5" customHeight="1" x14ac:dyDescent="0.3">
      <c r="A2197" s="46">
        <v>2193</v>
      </c>
      <c r="B2197" s="47">
        <f t="shared" ca="1" si="34"/>
        <v>0.74300000791441023</v>
      </c>
      <c r="C2197" s="48">
        <f t="array" aca="1" ref="C2197" ca="1">MAX(0,ROUND(Inputs!$B$10*Inputs!$B$11+NORMSINV(B2197)*SQRT(Inputs!$B$10*Inputs!$B$11),0))</f>
        <v>515</v>
      </c>
      <c r="D2197" s="49">
        <f ca="1">C2197*Inputs!$B$12</f>
        <v>61800000</v>
      </c>
    </row>
    <row r="2198" spans="1:4" ht="13.5" customHeight="1" x14ac:dyDescent="0.3">
      <c r="A2198" s="50">
        <v>2194</v>
      </c>
      <c r="B2198" s="51">
        <f t="shared" ca="1" si="34"/>
        <v>0.16749922774905635</v>
      </c>
      <c r="C2198" s="48">
        <f t="array" aca="1" ref="C2198" ca="1">MAX(0,ROUND(Inputs!$B$10*Inputs!$B$11+NORMSINV(B2198)*SQRT(Inputs!$B$10*Inputs!$B$11),0))</f>
        <v>478</v>
      </c>
      <c r="D2198" s="52">
        <f ca="1">C2198*Inputs!$B$12</f>
        <v>57360000</v>
      </c>
    </row>
    <row r="2199" spans="1:4" ht="13.5" customHeight="1" x14ac:dyDescent="0.3">
      <c r="A2199" s="46">
        <v>2195</v>
      </c>
      <c r="B2199" s="47">
        <f t="shared" ca="1" si="34"/>
        <v>0.70797242632070212</v>
      </c>
      <c r="C2199" s="48">
        <f t="array" aca="1" ref="C2199" ca="1">MAX(0,ROUND(Inputs!$B$10*Inputs!$B$11+NORMSINV(B2199)*SQRT(Inputs!$B$10*Inputs!$B$11),0))</f>
        <v>512</v>
      </c>
      <c r="D2199" s="49">
        <f ca="1">C2199*Inputs!$B$12</f>
        <v>61440000</v>
      </c>
    </row>
    <row r="2200" spans="1:4" ht="13.5" customHeight="1" x14ac:dyDescent="0.3">
      <c r="A2200" s="50">
        <v>2196</v>
      </c>
      <c r="B2200" s="51">
        <f t="shared" ca="1" si="34"/>
        <v>0.79624182151995904</v>
      </c>
      <c r="C2200" s="48">
        <f t="array" aca="1" ref="C2200" ca="1">MAX(0,ROUND(Inputs!$B$10*Inputs!$B$11+NORMSINV(B2200)*SQRT(Inputs!$B$10*Inputs!$B$11),0))</f>
        <v>519</v>
      </c>
      <c r="D2200" s="52">
        <f ca="1">C2200*Inputs!$B$12</f>
        <v>62280000</v>
      </c>
    </row>
    <row r="2201" spans="1:4" ht="13.5" customHeight="1" x14ac:dyDescent="0.3">
      <c r="A2201" s="46">
        <v>2197</v>
      </c>
      <c r="B2201" s="47">
        <f t="shared" ca="1" si="34"/>
        <v>0.15818546410990897</v>
      </c>
      <c r="C2201" s="48">
        <f t="array" aca="1" ref="C2201" ca="1">MAX(0,ROUND(Inputs!$B$10*Inputs!$B$11+NORMSINV(B2201)*SQRT(Inputs!$B$10*Inputs!$B$11),0))</f>
        <v>478</v>
      </c>
      <c r="D2201" s="49">
        <f ca="1">C2201*Inputs!$B$12</f>
        <v>57360000</v>
      </c>
    </row>
    <row r="2202" spans="1:4" ht="13.5" customHeight="1" x14ac:dyDescent="0.3">
      <c r="A2202" s="50">
        <v>2198</v>
      </c>
      <c r="B2202" s="51">
        <f t="shared" ca="1" si="34"/>
        <v>0.89715920112571379</v>
      </c>
      <c r="C2202" s="48">
        <f t="array" aca="1" ref="C2202" ca="1">MAX(0,ROUND(Inputs!$B$10*Inputs!$B$11+NORMSINV(B2202)*SQRT(Inputs!$B$10*Inputs!$B$11),0))</f>
        <v>528</v>
      </c>
      <c r="D2202" s="52">
        <f ca="1">C2202*Inputs!$B$12</f>
        <v>63360000</v>
      </c>
    </row>
    <row r="2203" spans="1:4" ht="13.5" customHeight="1" x14ac:dyDescent="0.3">
      <c r="A2203" s="46">
        <v>2199</v>
      </c>
      <c r="B2203" s="47">
        <f t="shared" ca="1" si="34"/>
        <v>0.46602958280774309</v>
      </c>
      <c r="C2203" s="48">
        <f t="array" aca="1" ref="C2203" ca="1">MAX(0,ROUND(Inputs!$B$10*Inputs!$B$11+NORMSINV(B2203)*SQRT(Inputs!$B$10*Inputs!$B$11),0))</f>
        <v>498</v>
      </c>
      <c r="D2203" s="49">
        <f ca="1">C2203*Inputs!$B$12</f>
        <v>59760000</v>
      </c>
    </row>
    <row r="2204" spans="1:4" ht="13.5" customHeight="1" x14ac:dyDescent="0.3">
      <c r="A2204" s="50">
        <v>2200</v>
      </c>
      <c r="B2204" s="51">
        <f t="shared" ca="1" si="34"/>
        <v>0.4441060363842646</v>
      </c>
      <c r="C2204" s="48">
        <f t="array" aca="1" ref="C2204" ca="1">MAX(0,ROUND(Inputs!$B$10*Inputs!$B$11+NORMSINV(B2204)*SQRT(Inputs!$B$10*Inputs!$B$11),0))</f>
        <v>497</v>
      </c>
      <c r="D2204" s="52">
        <f ca="1">C2204*Inputs!$B$12</f>
        <v>59640000</v>
      </c>
    </row>
    <row r="2205" spans="1:4" ht="13.5" customHeight="1" x14ac:dyDescent="0.3">
      <c r="A2205" s="46">
        <v>2201</v>
      </c>
      <c r="B2205" s="47">
        <f t="shared" ca="1" si="34"/>
        <v>0.53486109507299406</v>
      </c>
      <c r="C2205" s="48">
        <f t="array" aca="1" ref="C2205" ca="1">MAX(0,ROUND(Inputs!$B$10*Inputs!$B$11+NORMSINV(B2205)*SQRT(Inputs!$B$10*Inputs!$B$11),0))</f>
        <v>502</v>
      </c>
      <c r="D2205" s="49">
        <f ca="1">C2205*Inputs!$B$12</f>
        <v>60240000</v>
      </c>
    </row>
    <row r="2206" spans="1:4" ht="13.5" customHeight="1" x14ac:dyDescent="0.3">
      <c r="A2206" s="50">
        <v>2202</v>
      </c>
      <c r="B2206" s="51">
        <f t="shared" ca="1" si="34"/>
        <v>0.35613420509931648</v>
      </c>
      <c r="C2206" s="48">
        <f t="array" aca="1" ref="C2206" ca="1">MAX(0,ROUND(Inputs!$B$10*Inputs!$B$11+NORMSINV(B2206)*SQRT(Inputs!$B$10*Inputs!$B$11),0))</f>
        <v>492</v>
      </c>
      <c r="D2206" s="52">
        <f ca="1">C2206*Inputs!$B$12</f>
        <v>59040000</v>
      </c>
    </row>
    <row r="2207" spans="1:4" ht="13.5" customHeight="1" x14ac:dyDescent="0.3">
      <c r="A2207" s="46">
        <v>2203</v>
      </c>
      <c r="B2207" s="47">
        <f t="shared" ca="1" si="34"/>
        <v>0.83118895516171842</v>
      </c>
      <c r="C2207" s="48">
        <f t="array" aca="1" ref="C2207" ca="1">MAX(0,ROUND(Inputs!$B$10*Inputs!$B$11+NORMSINV(B2207)*SQRT(Inputs!$B$10*Inputs!$B$11),0))</f>
        <v>521</v>
      </c>
      <c r="D2207" s="49">
        <f ca="1">C2207*Inputs!$B$12</f>
        <v>62520000</v>
      </c>
    </row>
    <row r="2208" spans="1:4" ht="13.5" customHeight="1" x14ac:dyDescent="0.3">
      <c r="A2208" s="50">
        <v>2204</v>
      </c>
      <c r="B2208" s="51">
        <f t="shared" ca="1" si="34"/>
        <v>3.7619262058852132E-2</v>
      </c>
      <c r="C2208" s="48">
        <f t="array" aca="1" ref="C2208" ca="1">MAX(0,ROUND(Inputs!$B$10*Inputs!$B$11+NORMSINV(B2208)*SQRT(Inputs!$B$10*Inputs!$B$11),0))</f>
        <v>460</v>
      </c>
      <c r="D2208" s="52">
        <f ca="1">C2208*Inputs!$B$12</f>
        <v>55200000</v>
      </c>
    </row>
    <row r="2209" spans="1:4" ht="13.5" customHeight="1" x14ac:dyDescent="0.3">
      <c r="A2209" s="46">
        <v>2205</v>
      </c>
      <c r="B2209" s="47">
        <f t="shared" ca="1" si="34"/>
        <v>0.66445432734516907</v>
      </c>
      <c r="C2209" s="48">
        <f t="array" aca="1" ref="C2209" ca="1">MAX(0,ROUND(Inputs!$B$10*Inputs!$B$11+NORMSINV(B2209)*SQRT(Inputs!$B$10*Inputs!$B$11),0))</f>
        <v>509</v>
      </c>
      <c r="D2209" s="49">
        <f ca="1">C2209*Inputs!$B$12</f>
        <v>61080000</v>
      </c>
    </row>
    <row r="2210" spans="1:4" ht="13.5" customHeight="1" x14ac:dyDescent="0.3">
      <c r="A2210" s="50">
        <v>2206</v>
      </c>
      <c r="B2210" s="51">
        <f t="shared" ca="1" si="34"/>
        <v>0.63509893121976035</v>
      </c>
      <c r="C2210" s="48">
        <f t="array" aca="1" ref="C2210" ca="1">MAX(0,ROUND(Inputs!$B$10*Inputs!$B$11+NORMSINV(B2210)*SQRT(Inputs!$B$10*Inputs!$B$11),0))</f>
        <v>508</v>
      </c>
      <c r="D2210" s="52">
        <f ca="1">C2210*Inputs!$B$12</f>
        <v>60960000</v>
      </c>
    </row>
    <row r="2211" spans="1:4" ht="13.5" customHeight="1" x14ac:dyDescent="0.3">
      <c r="A2211" s="46">
        <v>2207</v>
      </c>
      <c r="B2211" s="47">
        <f t="shared" ca="1" si="34"/>
        <v>0.42247317282719332</v>
      </c>
      <c r="C2211" s="48">
        <f t="array" aca="1" ref="C2211" ca="1">MAX(0,ROUND(Inputs!$B$10*Inputs!$B$11+NORMSINV(B2211)*SQRT(Inputs!$B$10*Inputs!$B$11),0))</f>
        <v>496</v>
      </c>
      <c r="D2211" s="49">
        <f ca="1">C2211*Inputs!$B$12</f>
        <v>59520000</v>
      </c>
    </row>
    <row r="2212" spans="1:4" ht="13.5" customHeight="1" x14ac:dyDescent="0.3">
      <c r="A2212" s="50">
        <v>2208</v>
      </c>
      <c r="B2212" s="51">
        <f t="shared" ca="1" si="34"/>
        <v>0.98188215042549076</v>
      </c>
      <c r="C2212" s="48">
        <f t="array" aca="1" ref="C2212" ca="1">MAX(0,ROUND(Inputs!$B$10*Inputs!$B$11+NORMSINV(B2212)*SQRT(Inputs!$B$10*Inputs!$B$11),0))</f>
        <v>547</v>
      </c>
      <c r="D2212" s="52">
        <f ca="1">C2212*Inputs!$B$12</f>
        <v>65640000</v>
      </c>
    </row>
    <row r="2213" spans="1:4" ht="13.5" customHeight="1" x14ac:dyDescent="0.3">
      <c r="A2213" s="46">
        <v>2209</v>
      </c>
      <c r="B2213" s="47">
        <f t="shared" ca="1" si="34"/>
        <v>0.9128686924510967</v>
      </c>
      <c r="C2213" s="48">
        <f t="array" aca="1" ref="C2213" ca="1">MAX(0,ROUND(Inputs!$B$10*Inputs!$B$11+NORMSINV(B2213)*SQRT(Inputs!$B$10*Inputs!$B$11),0))</f>
        <v>530</v>
      </c>
      <c r="D2213" s="49">
        <f ca="1">C2213*Inputs!$B$12</f>
        <v>63600000</v>
      </c>
    </row>
    <row r="2214" spans="1:4" ht="13.5" customHeight="1" x14ac:dyDescent="0.3">
      <c r="A2214" s="50">
        <v>2210</v>
      </c>
      <c r="B2214" s="51">
        <f t="shared" ca="1" si="34"/>
        <v>0.66499114016919525</v>
      </c>
      <c r="C2214" s="48">
        <f t="array" aca="1" ref="C2214" ca="1">MAX(0,ROUND(Inputs!$B$10*Inputs!$B$11+NORMSINV(B2214)*SQRT(Inputs!$B$10*Inputs!$B$11),0))</f>
        <v>510</v>
      </c>
      <c r="D2214" s="52">
        <f ca="1">C2214*Inputs!$B$12</f>
        <v>61200000</v>
      </c>
    </row>
    <row r="2215" spans="1:4" ht="13.5" customHeight="1" x14ac:dyDescent="0.3">
      <c r="A2215" s="46">
        <v>2211</v>
      </c>
      <c r="B2215" s="47">
        <f t="shared" ca="1" si="34"/>
        <v>0.22480990072977713</v>
      </c>
      <c r="C2215" s="48">
        <f t="array" aca="1" ref="C2215" ca="1">MAX(0,ROUND(Inputs!$B$10*Inputs!$B$11+NORMSINV(B2215)*SQRT(Inputs!$B$10*Inputs!$B$11),0))</f>
        <v>483</v>
      </c>
      <c r="D2215" s="49">
        <f ca="1">C2215*Inputs!$B$12</f>
        <v>57960000</v>
      </c>
    </row>
    <row r="2216" spans="1:4" ht="13.5" customHeight="1" x14ac:dyDescent="0.3">
      <c r="A2216" s="50">
        <v>2212</v>
      </c>
      <c r="B2216" s="51">
        <f t="shared" ca="1" si="34"/>
        <v>0.99640561382830883</v>
      </c>
      <c r="C2216" s="48">
        <f t="array" aca="1" ref="C2216" ca="1">MAX(0,ROUND(Inputs!$B$10*Inputs!$B$11+NORMSINV(B2216)*SQRT(Inputs!$B$10*Inputs!$B$11),0))</f>
        <v>560</v>
      </c>
      <c r="D2216" s="52">
        <f ca="1">C2216*Inputs!$B$12</f>
        <v>67200000</v>
      </c>
    </row>
    <row r="2217" spans="1:4" ht="13.5" customHeight="1" x14ac:dyDescent="0.3">
      <c r="A2217" s="46">
        <v>2213</v>
      </c>
      <c r="B2217" s="47">
        <f t="shared" ca="1" si="34"/>
        <v>0.4306847870373991</v>
      </c>
      <c r="C2217" s="48">
        <f t="array" aca="1" ref="C2217" ca="1">MAX(0,ROUND(Inputs!$B$10*Inputs!$B$11+NORMSINV(B2217)*SQRT(Inputs!$B$10*Inputs!$B$11),0))</f>
        <v>496</v>
      </c>
      <c r="D2217" s="49">
        <f ca="1">C2217*Inputs!$B$12</f>
        <v>59520000</v>
      </c>
    </row>
    <row r="2218" spans="1:4" ht="13.5" customHeight="1" x14ac:dyDescent="0.3">
      <c r="A2218" s="50">
        <v>2214</v>
      </c>
      <c r="B2218" s="51">
        <f t="shared" ca="1" si="34"/>
        <v>0.67058058181659252</v>
      </c>
      <c r="C2218" s="48">
        <f t="array" aca="1" ref="C2218" ca="1">MAX(0,ROUND(Inputs!$B$10*Inputs!$B$11+NORMSINV(B2218)*SQRT(Inputs!$B$10*Inputs!$B$11),0))</f>
        <v>510</v>
      </c>
      <c r="D2218" s="52">
        <f ca="1">C2218*Inputs!$B$12</f>
        <v>61200000</v>
      </c>
    </row>
    <row r="2219" spans="1:4" ht="13.5" customHeight="1" x14ac:dyDescent="0.3">
      <c r="A2219" s="46">
        <v>2215</v>
      </c>
      <c r="B2219" s="47">
        <f t="shared" ca="1" si="34"/>
        <v>0.74629849185008157</v>
      </c>
      <c r="C2219" s="48">
        <f t="array" aca="1" ref="C2219" ca="1">MAX(0,ROUND(Inputs!$B$10*Inputs!$B$11+NORMSINV(B2219)*SQRT(Inputs!$B$10*Inputs!$B$11),0))</f>
        <v>515</v>
      </c>
      <c r="D2219" s="49">
        <f ca="1">C2219*Inputs!$B$12</f>
        <v>61800000</v>
      </c>
    </row>
    <row r="2220" spans="1:4" ht="13.5" customHeight="1" x14ac:dyDescent="0.3">
      <c r="A2220" s="50">
        <v>2216</v>
      </c>
      <c r="B2220" s="51">
        <f t="shared" ca="1" si="34"/>
        <v>0.87018897837759301</v>
      </c>
      <c r="C2220" s="48">
        <f t="array" aca="1" ref="C2220" ca="1">MAX(0,ROUND(Inputs!$B$10*Inputs!$B$11+NORMSINV(B2220)*SQRT(Inputs!$B$10*Inputs!$B$11),0))</f>
        <v>525</v>
      </c>
      <c r="D2220" s="52">
        <f ca="1">C2220*Inputs!$B$12</f>
        <v>63000000</v>
      </c>
    </row>
    <row r="2221" spans="1:4" ht="13.5" customHeight="1" x14ac:dyDescent="0.3">
      <c r="A2221" s="46">
        <v>2217</v>
      </c>
      <c r="B2221" s="47">
        <f t="shared" ca="1" si="34"/>
        <v>0.89456884059446884</v>
      </c>
      <c r="C2221" s="48">
        <f t="array" aca="1" ref="C2221" ca="1">MAX(0,ROUND(Inputs!$B$10*Inputs!$B$11+NORMSINV(B2221)*SQRT(Inputs!$B$10*Inputs!$B$11),0))</f>
        <v>528</v>
      </c>
      <c r="D2221" s="49">
        <f ca="1">C2221*Inputs!$B$12</f>
        <v>63360000</v>
      </c>
    </row>
    <row r="2222" spans="1:4" ht="13.5" customHeight="1" x14ac:dyDescent="0.3">
      <c r="A2222" s="50">
        <v>2218</v>
      </c>
      <c r="B2222" s="51">
        <f t="shared" ca="1" si="34"/>
        <v>0.46731838650696178</v>
      </c>
      <c r="C2222" s="48">
        <f t="array" aca="1" ref="C2222" ca="1">MAX(0,ROUND(Inputs!$B$10*Inputs!$B$11+NORMSINV(B2222)*SQRT(Inputs!$B$10*Inputs!$B$11),0))</f>
        <v>498</v>
      </c>
      <c r="D2222" s="52">
        <f ca="1">C2222*Inputs!$B$12</f>
        <v>59760000</v>
      </c>
    </row>
    <row r="2223" spans="1:4" ht="13.5" customHeight="1" x14ac:dyDescent="0.3">
      <c r="A2223" s="46">
        <v>2219</v>
      </c>
      <c r="B2223" s="47">
        <f t="shared" ca="1" si="34"/>
        <v>0.69575853067290805</v>
      </c>
      <c r="C2223" s="48">
        <f t="array" aca="1" ref="C2223" ca="1">MAX(0,ROUND(Inputs!$B$10*Inputs!$B$11+NORMSINV(B2223)*SQRT(Inputs!$B$10*Inputs!$B$11),0))</f>
        <v>511</v>
      </c>
      <c r="D2223" s="49">
        <f ca="1">C2223*Inputs!$B$12</f>
        <v>61320000</v>
      </c>
    </row>
    <row r="2224" spans="1:4" ht="13.5" customHeight="1" x14ac:dyDescent="0.3">
      <c r="A2224" s="50">
        <v>2220</v>
      </c>
      <c r="B2224" s="51">
        <f t="shared" ca="1" si="34"/>
        <v>0.69317104902595394</v>
      </c>
      <c r="C2224" s="48">
        <f t="array" aca="1" ref="C2224" ca="1">MAX(0,ROUND(Inputs!$B$10*Inputs!$B$11+NORMSINV(B2224)*SQRT(Inputs!$B$10*Inputs!$B$11),0))</f>
        <v>511</v>
      </c>
      <c r="D2224" s="52">
        <f ca="1">C2224*Inputs!$B$12</f>
        <v>61320000</v>
      </c>
    </row>
    <row r="2225" spans="1:4" ht="13.5" customHeight="1" x14ac:dyDescent="0.3">
      <c r="A2225" s="46">
        <v>2221</v>
      </c>
      <c r="B2225" s="47">
        <f t="shared" ca="1" si="34"/>
        <v>0.40711294327467562</v>
      </c>
      <c r="C2225" s="48">
        <f t="array" aca="1" ref="C2225" ca="1">MAX(0,ROUND(Inputs!$B$10*Inputs!$B$11+NORMSINV(B2225)*SQRT(Inputs!$B$10*Inputs!$B$11),0))</f>
        <v>495</v>
      </c>
      <c r="D2225" s="49">
        <f ca="1">C2225*Inputs!$B$12</f>
        <v>59400000</v>
      </c>
    </row>
    <row r="2226" spans="1:4" ht="13.5" customHeight="1" x14ac:dyDescent="0.3">
      <c r="A2226" s="50">
        <v>2222</v>
      </c>
      <c r="B2226" s="51">
        <f t="shared" ca="1" si="34"/>
        <v>0.2301749204820035</v>
      </c>
      <c r="C2226" s="48">
        <f t="array" aca="1" ref="C2226" ca="1">MAX(0,ROUND(Inputs!$B$10*Inputs!$B$11+NORMSINV(B2226)*SQRT(Inputs!$B$10*Inputs!$B$11),0))</f>
        <v>483</v>
      </c>
      <c r="D2226" s="52">
        <f ca="1">C2226*Inputs!$B$12</f>
        <v>57960000</v>
      </c>
    </row>
    <row r="2227" spans="1:4" ht="13.5" customHeight="1" x14ac:dyDescent="0.3">
      <c r="A2227" s="46">
        <v>2223</v>
      </c>
      <c r="B2227" s="47">
        <f t="shared" ca="1" si="34"/>
        <v>0.68183062727915078</v>
      </c>
      <c r="C2227" s="48">
        <f t="array" aca="1" ref="C2227" ca="1">MAX(0,ROUND(Inputs!$B$10*Inputs!$B$11+NORMSINV(B2227)*SQRT(Inputs!$B$10*Inputs!$B$11),0))</f>
        <v>511</v>
      </c>
      <c r="D2227" s="49">
        <f ca="1">C2227*Inputs!$B$12</f>
        <v>61320000</v>
      </c>
    </row>
    <row r="2228" spans="1:4" ht="13.5" customHeight="1" x14ac:dyDescent="0.3">
      <c r="A2228" s="50">
        <v>2224</v>
      </c>
      <c r="B2228" s="51">
        <f t="shared" ca="1" si="34"/>
        <v>0.78587494728491492</v>
      </c>
      <c r="C2228" s="48">
        <f t="array" aca="1" ref="C2228" ca="1">MAX(0,ROUND(Inputs!$B$10*Inputs!$B$11+NORMSINV(B2228)*SQRT(Inputs!$B$10*Inputs!$B$11),0))</f>
        <v>518</v>
      </c>
      <c r="D2228" s="52">
        <f ca="1">C2228*Inputs!$B$12</f>
        <v>62160000</v>
      </c>
    </row>
    <row r="2229" spans="1:4" ht="13.5" customHeight="1" x14ac:dyDescent="0.3">
      <c r="A2229" s="46">
        <v>2225</v>
      </c>
      <c r="B2229" s="47">
        <f t="shared" ca="1" si="34"/>
        <v>1.394744898019018E-2</v>
      </c>
      <c r="C2229" s="48">
        <f t="array" aca="1" ref="C2229" ca="1">MAX(0,ROUND(Inputs!$B$10*Inputs!$B$11+NORMSINV(B2229)*SQRT(Inputs!$B$10*Inputs!$B$11),0))</f>
        <v>451</v>
      </c>
      <c r="D2229" s="49">
        <f ca="1">C2229*Inputs!$B$12</f>
        <v>54120000</v>
      </c>
    </row>
    <row r="2230" spans="1:4" ht="13.5" customHeight="1" x14ac:dyDescent="0.3">
      <c r="A2230" s="50">
        <v>2226</v>
      </c>
      <c r="B2230" s="51">
        <f t="shared" ca="1" si="34"/>
        <v>0.72120410341002905</v>
      </c>
      <c r="C2230" s="48">
        <f t="array" aca="1" ref="C2230" ca="1">MAX(0,ROUND(Inputs!$B$10*Inputs!$B$11+NORMSINV(B2230)*SQRT(Inputs!$B$10*Inputs!$B$11),0))</f>
        <v>513</v>
      </c>
      <c r="D2230" s="52">
        <f ca="1">C2230*Inputs!$B$12</f>
        <v>61560000</v>
      </c>
    </row>
    <row r="2231" spans="1:4" ht="13.5" customHeight="1" x14ac:dyDescent="0.3">
      <c r="A2231" s="46">
        <v>2227</v>
      </c>
      <c r="B2231" s="47">
        <f t="shared" ca="1" si="34"/>
        <v>0.90542602472536837</v>
      </c>
      <c r="C2231" s="48">
        <f t="array" aca="1" ref="C2231" ca="1">MAX(0,ROUND(Inputs!$B$10*Inputs!$B$11+NORMSINV(B2231)*SQRT(Inputs!$B$10*Inputs!$B$11),0))</f>
        <v>529</v>
      </c>
      <c r="D2231" s="49">
        <f ca="1">C2231*Inputs!$B$12</f>
        <v>63480000</v>
      </c>
    </row>
    <row r="2232" spans="1:4" ht="13.5" customHeight="1" x14ac:dyDescent="0.3">
      <c r="A2232" s="50">
        <v>2228</v>
      </c>
      <c r="B2232" s="51">
        <f t="shared" ca="1" si="34"/>
        <v>0.34339693082011757</v>
      </c>
      <c r="C2232" s="48">
        <f t="array" aca="1" ref="C2232" ca="1">MAX(0,ROUND(Inputs!$B$10*Inputs!$B$11+NORMSINV(B2232)*SQRT(Inputs!$B$10*Inputs!$B$11),0))</f>
        <v>491</v>
      </c>
      <c r="D2232" s="52">
        <f ca="1">C2232*Inputs!$B$12</f>
        <v>58920000</v>
      </c>
    </row>
    <row r="2233" spans="1:4" ht="13.5" customHeight="1" x14ac:dyDescent="0.3">
      <c r="A2233" s="46">
        <v>2229</v>
      </c>
      <c r="B2233" s="47">
        <f t="shared" ca="1" si="34"/>
        <v>0.28224906254283832</v>
      </c>
      <c r="C2233" s="48">
        <f t="array" aca="1" ref="C2233" ca="1">MAX(0,ROUND(Inputs!$B$10*Inputs!$B$11+NORMSINV(B2233)*SQRT(Inputs!$B$10*Inputs!$B$11),0))</f>
        <v>487</v>
      </c>
      <c r="D2233" s="49">
        <f ca="1">C2233*Inputs!$B$12</f>
        <v>58440000</v>
      </c>
    </row>
    <row r="2234" spans="1:4" ht="13.5" customHeight="1" x14ac:dyDescent="0.3">
      <c r="A2234" s="50">
        <v>2230</v>
      </c>
      <c r="B2234" s="51">
        <f t="shared" ca="1" si="34"/>
        <v>0.10727806363252923</v>
      </c>
      <c r="C2234" s="48">
        <f t="array" aca="1" ref="C2234" ca="1">MAX(0,ROUND(Inputs!$B$10*Inputs!$B$11+NORMSINV(B2234)*SQRT(Inputs!$B$10*Inputs!$B$11),0))</f>
        <v>472</v>
      </c>
      <c r="D2234" s="52">
        <f ca="1">C2234*Inputs!$B$12</f>
        <v>56640000</v>
      </c>
    </row>
    <row r="2235" spans="1:4" ht="13.5" customHeight="1" x14ac:dyDescent="0.3">
      <c r="A2235" s="46">
        <v>2231</v>
      </c>
      <c r="B2235" s="47">
        <f t="shared" ca="1" si="34"/>
        <v>0.93098739284478105</v>
      </c>
      <c r="C2235" s="48">
        <f t="array" aca="1" ref="C2235" ca="1">MAX(0,ROUND(Inputs!$B$10*Inputs!$B$11+NORMSINV(B2235)*SQRT(Inputs!$B$10*Inputs!$B$11),0))</f>
        <v>533</v>
      </c>
      <c r="D2235" s="49">
        <f ca="1">C2235*Inputs!$B$12</f>
        <v>63960000</v>
      </c>
    </row>
    <row r="2236" spans="1:4" ht="13.5" customHeight="1" x14ac:dyDescent="0.3">
      <c r="A2236" s="50">
        <v>2232</v>
      </c>
      <c r="B2236" s="51">
        <f t="shared" ca="1" si="34"/>
        <v>0.69006454488650748</v>
      </c>
      <c r="C2236" s="48">
        <f t="array" aca="1" ref="C2236" ca="1">MAX(0,ROUND(Inputs!$B$10*Inputs!$B$11+NORMSINV(B2236)*SQRT(Inputs!$B$10*Inputs!$B$11),0))</f>
        <v>511</v>
      </c>
      <c r="D2236" s="52">
        <f ca="1">C2236*Inputs!$B$12</f>
        <v>61320000</v>
      </c>
    </row>
    <row r="2237" spans="1:4" ht="13.5" customHeight="1" x14ac:dyDescent="0.3">
      <c r="A2237" s="46">
        <v>2233</v>
      </c>
      <c r="B2237" s="47">
        <f t="shared" ca="1" si="34"/>
        <v>0.53286804573234348</v>
      </c>
      <c r="C2237" s="48">
        <f t="array" aca="1" ref="C2237" ca="1">MAX(0,ROUND(Inputs!$B$10*Inputs!$B$11+NORMSINV(B2237)*SQRT(Inputs!$B$10*Inputs!$B$11),0))</f>
        <v>502</v>
      </c>
      <c r="D2237" s="49">
        <f ca="1">C2237*Inputs!$B$12</f>
        <v>60240000</v>
      </c>
    </row>
    <row r="2238" spans="1:4" ht="13.5" customHeight="1" x14ac:dyDescent="0.3">
      <c r="A2238" s="50">
        <v>2234</v>
      </c>
      <c r="B2238" s="51">
        <f t="shared" ca="1" si="34"/>
        <v>0.96977052055812474</v>
      </c>
      <c r="C2238" s="48">
        <f t="array" aca="1" ref="C2238" ca="1">MAX(0,ROUND(Inputs!$B$10*Inputs!$B$11+NORMSINV(B2238)*SQRT(Inputs!$B$10*Inputs!$B$11),0))</f>
        <v>542</v>
      </c>
      <c r="D2238" s="52">
        <f ca="1">C2238*Inputs!$B$12</f>
        <v>65040000</v>
      </c>
    </row>
    <row r="2239" spans="1:4" ht="13.5" customHeight="1" x14ac:dyDescent="0.3">
      <c r="A2239" s="46">
        <v>2235</v>
      </c>
      <c r="B2239" s="47">
        <f t="shared" ca="1" si="34"/>
        <v>0.46413551822741372</v>
      </c>
      <c r="C2239" s="48">
        <f t="array" aca="1" ref="C2239" ca="1">MAX(0,ROUND(Inputs!$B$10*Inputs!$B$11+NORMSINV(B2239)*SQRT(Inputs!$B$10*Inputs!$B$11),0))</f>
        <v>498</v>
      </c>
      <c r="D2239" s="49">
        <f ca="1">C2239*Inputs!$B$12</f>
        <v>59760000</v>
      </c>
    </row>
    <row r="2240" spans="1:4" ht="13.5" customHeight="1" x14ac:dyDescent="0.3">
      <c r="A2240" s="50">
        <v>2236</v>
      </c>
      <c r="B2240" s="51">
        <f t="shared" ca="1" si="34"/>
        <v>0.50490831143087833</v>
      </c>
      <c r="C2240" s="48">
        <f t="array" aca="1" ref="C2240" ca="1">MAX(0,ROUND(Inputs!$B$10*Inputs!$B$11+NORMSINV(B2240)*SQRT(Inputs!$B$10*Inputs!$B$11),0))</f>
        <v>500</v>
      </c>
      <c r="D2240" s="52">
        <f ca="1">C2240*Inputs!$B$12</f>
        <v>60000000</v>
      </c>
    </row>
    <row r="2241" spans="1:4" ht="13.5" customHeight="1" x14ac:dyDescent="0.3">
      <c r="A2241" s="46">
        <v>2237</v>
      </c>
      <c r="B2241" s="47">
        <f t="shared" ca="1" si="34"/>
        <v>0.94014499607728186</v>
      </c>
      <c r="C2241" s="48">
        <f t="array" aca="1" ref="C2241" ca="1">MAX(0,ROUND(Inputs!$B$10*Inputs!$B$11+NORMSINV(B2241)*SQRT(Inputs!$B$10*Inputs!$B$11),0))</f>
        <v>535</v>
      </c>
      <c r="D2241" s="49">
        <f ca="1">C2241*Inputs!$B$12</f>
        <v>64200000</v>
      </c>
    </row>
    <row r="2242" spans="1:4" ht="13.5" customHeight="1" x14ac:dyDescent="0.3">
      <c r="A2242" s="50">
        <v>2238</v>
      </c>
      <c r="B2242" s="51">
        <f t="shared" ca="1" si="34"/>
        <v>0.52753018966836263</v>
      </c>
      <c r="C2242" s="48">
        <f t="array" aca="1" ref="C2242" ca="1">MAX(0,ROUND(Inputs!$B$10*Inputs!$B$11+NORMSINV(B2242)*SQRT(Inputs!$B$10*Inputs!$B$11),0))</f>
        <v>502</v>
      </c>
      <c r="D2242" s="52">
        <f ca="1">C2242*Inputs!$B$12</f>
        <v>60240000</v>
      </c>
    </row>
    <row r="2243" spans="1:4" ht="13.5" customHeight="1" x14ac:dyDescent="0.3">
      <c r="A2243" s="46">
        <v>2239</v>
      </c>
      <c r="B2243" s="47">
        <f t="shared" ca="1" si="34"/>
        <v>0.7198607670658399</v>
      </c>
      <c r="C2243" s="48">
        <f t="array" aca="1" ref="C2243" ca="1">MAX(0,ROUND(Inputs!$B$10*Inputs!$B$11+NORMSINV(B2243)*SQRT(Inputs!$B$10*Inputs!$B$11),0))</f>
        <v>513</v>
      </c>
      <c r="D2243" s="49">
        <f ca="1">C2243*Inputs!$B$12</f>
        <v>61560000</v>
      </c>
    </row>
    <row r="2244" spans="1:4" ht="13.5" customHeight="1" x14ac:dyDescent="0.3">
      <c r="A2244" s="50">
        <v>2240</v>
      </c>
      <c r="B2244" s="51">
        <f t="shared" ca="1" si="34"/>
        <v>0.89296917854749169</v>
      </c>
      <c r="C2244" s="48">
        <f t="array" aca="1" ref="C2244" ca="1">MAX(0,ROUND(Inputs!$B$10*Inputs!$B$11+NORMSINV(B2244)*SQRT(Inputs!$B$10*Inputs!$B$11),0))</f>
        <v>528</v>
      </c>
      <c r="D2244" s="52">
        <f ca="1">C2244*Inputs!$B$12</f>
        <v>63360000</v>
      </c>
    </row>
    <row r="2245" spans="1:4" ht="13.5" customHeight="1" x14ac:dyDescent="0.3">
      <c r="A2245" s="46">
        <v>2241</v>
      </c>
      <c r="B2245" s="47">
        <f t="shared" ref="B2245:B2308" ca="1" si="35">RAND()</f>
        <v>0.42027156376908315</v>
      </c>
      <c r="C2245" s="48">
        <f t="array" aca="1" ref="C2245" ca="1">MAX(0,ROUND(Inputs!$B$10*Inputs!$B$11+NORMSINV(B2245)*SQRT(Inputs!$B$10*Inputs!$B$11),0))</f>
        <v>496</v>
      </c>
      <c r="D2245" s="49">
        <f ca="1">C2245*Inputs!$B$12</f>
        <v>59520000</v>
      </c>
    </row>
    <row r="2246" spans="1:4" ht="13.5" customHeight="1" x14ac:dyDescent="0.3">
      <c r="A2246" s="50">
        <v>2242</v>
      </c>
      <c r="B2246" s="51">
        <f t="shared" ca="1" si="35"/>
        <v>8.9684260648764669E-3</v>
      </c>
      <c r="C2246" s="48">
        <f t="array" aca="1" ref="C2246" ca="1">MAX(0,ROUND(Inputs!$B$10*Inputs!$B$11+NORMSINV(B2246)*SQRT(Inputs!$B$10*Inputs!$B$11),0))</f>
        <v>447</v>
      </c>
      <c r="D2246" s="52">
        <f ca="1">C2246*Inputs!$B$12</f>
        <v>53640000</v>
      </c>
    </row>
    <row r="2247" spans="1:4" ht="13.5" customHeight="1" x14ac:dyDescent="0.3">
      <c r="A2247" s="46">
        <v>2243</v>
      </c>
      <c r="B2247" s="47">
        <f t="shared" ca="1" si="35"/>
        <v>0.36180858796803828</v>
      </c>
      <c r="C2247" s="48">
        <f t="array" aca="1" ref="C2247" ca="1">MAX(0,ROUND(Inputs!$B$10*Inputs!$B$11+NORMSINV(B2247)*SQRT(Inputs!$B$10*Inputs!$B$11),0))</f>
        <v>492</v>
      </c>
      <c r="D2247" s="49">
        <f ca="1">C2247*Inputs!$B$12</f>
        <v>59040000</v>
      </c>
    </row>
    <row r="2248" spans="1:4" ht="13.5" customHeight="1" x14ac:dyDescent="0.3">
      <c r="A2248" s="50">
        <v>2244</v>
      </c>
      <c r="B2248" s="51">
        <f t="shared" ca="1" si="35"/>
        <v>0.76379922807032341</v>
      </c>
      <c r="C2248" s="48">
        <f t="array" aca="1" ref="C2248" ca="1">MAX(0,ROUND(Inputs!$B$10*Inputs!$B$11+NORMSINV(B2248)*SQRT(Inputs!$B$10*Inputs!$B$11),0))</f>
        <v>516</v>
      </c>
      <c r="D2248" s="52">
        <f ca="1">C2248*Inputs!$B$12</f>
        <v>61920000</v>
      </c>
    </row>
    <row r="2249" spans="1:4" ht="13.5" customHeight="1" x14ac:dyDescent="0.3">
      <c r="A2249" s="46">
        <v>2245</v>
      </c>
      <c r="B2249" s="47">
        <f t="shared" ca="1" si="35"/>
        <v>0.11395994488640637</v>
      </c>
      <c r="C2249" s="48">
        <f t="array" aca="1" ref="C2249" ca="1">MAX(0,ROUND(Inputs!$B$10*Inputs!$B$11+NORMSINV(B2249)*SQRT(Inputs!$B$10*Inputs!$B$11),0))</f>
        <v>473</v>
      </c>
      <c r="D2249" s="49">
        <f ca="1">C2249*Inputs!$B$12</f>
        <v>56760000</v>
      </c>
    </row>
    <row r="2250" spans="1:4" ht="13.5" customHeight="1" x14ac:dyDescent="0.3">
      <c r="A2250" s="50">
        <v>2246</v>
      </c>
      <c r="B2250" s="51">
        <f t="shared" ca="1" si="35"/>
        <v>0.34911113828409668</v>
      </c>
      <c r="C2250" s="48">
        <f t="array" aca="1" ref="C2250" ca="1">MAX(0,ROUND(Inputs!$B$10*Inputs!$B$11+NORMSINV(B2250)*SQRT(Inputs!$B$10*Inputs!$B$11),0))</f>
        <v>491</v>
      </c>
      <c r="D2250" s="52">
        <f ca="1">C2250*Inputs!$B$12</f>
        <v>58920000</v>
      </c>
    </row>
    <row r="2251" spans="1:4" ht="13.5" customHeight="1" x14ac:dyDescent="0.3">
      <c r="A2251" s="46">
        <v>2247</v>
      </c>
      <c r="B2251" s="47">
        <f t="shared" ca="1" si="35"/>
        <v>0.49524732917635594</v>
      </c>
      <c r="C2251" s="48">
        <f t="array" aca="1" ref="C2251" ca="1">MAX(0,ROUND(Inputs!$B$10*Inputs!$B$11+NORMSINV(B2251)*SQRT(Inputs!$B$10*Inputs!$B$11),0))</f>
        <v>500</v>
      </c>
      <c r="D2251" s="49">
        <f ca="1">C2251*Inputs!$B$12</f>
        <v>60000000</v>
      </c>
    </row>
    <row r="2252" spans="1:4" ht="13.5" customHeight="1" x14ac:dyDescent="0.3">
      <c r="A2252" s="50">
        <v>2248</v>
      </c>
      <c r="B2252" s="51">
        <f t="shared" ca="1" si="35"/>
        <v>0.51416045570664037</v>
      </c>
      <c r="C2252" s="48">
        <f t="array" aca="1" ref="C2252" ca="1">MAX(0,ROUND(Inputs!$B$10*Inputs!$B$11+NORMSINV(B2252)*SQRT(Inputs!$B$10*Inputs!$B$11),0))</f>
        <v>501</v>
      </c>
      <c r="D2252" s="52">
        <f ca="1">C2252*Inputs!$B$12</f>
        <v>60120000</v>
      </c>
    </row>
    <row r="2253" spans="1:4" ht="13.5" customHeight="1" x14ac:dyDescent="0.3">
      <c r="A2253" s="46">
        <v>2249</v>
      </c>
      <c r="B2253" s="47">
        <f t="shared" ca="1" si="35"/>
        <v>8.4198714826141829E-2</v>
      </c>
      <c r="C2253" s="48">
        <f t="array" aca="1" ref="C2253" ca="1">MAX(0,ROUND(Inputs!$B$10*Inputs!$B$11+NORMSINV(B2253)*SQRT(Inputs!$B$10*Inputs!$B$11),0))</f>
        <v>469</v>
      </c>
      <c r="D2253" s="49">
        <f ca="1">C2253*Inputs!$B$12</f>
        <v>56280000</v>
      </c>
    </row>
    <row r="2254" spans="1:4" ht="13.5" customHeight="1" x14ac:dyDescent="0.3">
      <c r="A2254" s="50">
        <v>2250</v>
      </c>
      <c r="B2254" s="51">
        <f t="shared" ca="1" si="35"/>
        <v>0.56047664404993192</v>
      </c>
      <c r="C2254" s="48">
        <f t="array" aca="1" ref="C2254" ca="1">MAX(0,ROUND(Inputs!$B$10*Inputs!$B$11+NORMSINV(B2254)*SQRT(Inputs!$B$10*Inputs!$B$11),0))</f>
        <v>503</v>
      </c>
      <c r="D2254" s="52">
        <f ca="1">C2254*Inputs!$B$12</f>
        <v>60360000</v>
      </c>
    </row>
    <row r="2255" spans="1:4" ht="13.5" customHeight="1" x14ac:dyDescent="0.3">
      <c r="A2255" s="46">
        <v>2251</v>
      </c>
      <c r="B2255" s="47">
        <f t="shared" ca="1" si="35"/>
        <v>0.11222649558894715</v>
      </c>
      <c r="C2255" s="48">
        <f t="array" aca="1" ref="C2255" ca="1">MAX(0,ROUND(Inputs!$B$10*Inputs!$B$11+NORMSINV(B2255)*SQRT(Inputs!$B$10*Inputs!$B$11),0))</f>
        <v>473</v>
      </c>
      <c r="D2255" s="49">
        <f ca="1">C2255*Inputs!$B$12</f>
        <v>56760000</v>
      </c>
    </row>
    <row r="2256" spans="1:4" ht="13.5" customHeight="1" x14ac:dyDescent="0.3">
      <c r="A2256" s="50">
        <v>2252</v>
      </c>
      <c r="B2256" s="51">
        <f t="shared" ca="1" si="35"/>
        <v>0.1637760406740274</v>
      </c>
      <c r="C2256" s="48">
        <f t="array" aca="1" ref="C2256" ca="1">MAX(0,ROUND(Inputs!$B$10*Inputs!$B$11+NORMSINV(B2256)*SQRT(Inputs!$B$10*Inputs!$B$11),0))</f>
        <v>478</v>
      </c>
      <c r="D2256" s="52">
        <f ca="1">C2256*Inputs!$B$12</f>
        <v>57360000</v>
      </c>
    </row>
    <row r="2257" spans="1:4" ht="13.5" customHeight="1" x14ac:dyDescent="0.3">
      <c r="A2257" s="46">
        <v>2253</v>
      </c>
      <c r="B2257" s="47">
        <f t="shared" ca="1" si="35"/>
        <v>0.33837782722137866</v>
      </c>
      <c r="C2257" s="48">
        <f t="array" aca="1" ref="C2257" ca="1">MAX(0,ROUND(Inputs!$B$10*Inputs!$B$11+NORMSINV(B2257)*SQRT(Inputs!$B$10*Inputs!$B$11),0))</f>
        <v>491</v>
      </c>
      <c r="D2257" s="49">
        <f ca="1">C2257*Inputs!$B$12</f>
        <v>58920000</v>
      </c>
    </row>
    <row r="2258" spans="1:4" ht="13.5" customHeight="1" x14ac:dyDescent="0.3">
      <c r="A2258" s="50">
        <v>2254</v>
      </c>
      <c r="B2258" s="51">
        <f t="shared" ca="1" si="35"/>
        <v>0.54954896430010736</v>
      </c>
      <c r="C2258" s="48">
        <f t="array" aca="1" ref="C2258" ca="1">MAX(0,ROUND(Inputs!$B$10*Inputs!$B$11+NORMSINV(B2258)*SQRT(Inputs!$B$10*Inputs!$B$11),0))</f>
        <v>503</v>
      </c>
      <c r="D2258" s="52">
        <f ca="1">C2258*Inputs!$B$12</f>
        <v>60360000</v>
      </c>
    </row>
    <row r="2259" spans="1:4" ht="13.5" customHeight="1" x14ac:dyDescent="0.3">
      <c r="A2259" s="46">
        <v>2255</v>
      </c>
      <c r="B2259" s="47">
        <f t="shared" ca="1" si="35"/>
        <v>0.42666314867843202</v>
      </c>
      <c r="C2259" s="48">
        <f t="array" aca="1" ref="C2259" ca="1">MAX(0,ROUND(Inputs!$B$10*Inputs!$B$11+NORMSINV(B2259)*SQRT(Inputs!$B$10*Inputs!$B$11),0))</f>
        <v>496</v>
      </c>
      <c r="D2259" s="49">
        <f ca="1">C2259*Inputs!$B$12</f>
        <v>59520000</v>
      </c>
    </row>
    <row r="2260" spans="1:4" ht="13.5" customHeight="1" x14ac:dyDescent="0.3">
      <c r="A2260" s="50">
        <v>2256</v>
      </c>
      <c r="B2260" s="51">
        <f t="shared" ca="1" si="35"/>
        <v>0.70552693208026684</v>
      </c>
      <c r="C2260" s="48">
        <f t="array" aca="1" ref="C2260" ca="1">MAX(0,ROUND(Inputs!$B$10*Inputs!$B$11+NORMSINV(B2260)*SQRT(Inputs!$B$10*Inputs!$B$11),0))</f>
        <v>512</v>
      </c>
      <c r="D2260" s="52">
        <f ca="1">C2260*Inputs!$B$12</f>
        <v>61440000</v>
      </c>
    </row>
    <row r="2261" spans="1:4" ht="13.5" customHeight="1" x14ac:dyDescent="0.3">
      <c r="A2261" s="46">
        <v>2257</v>
      </c>
      <c r="B2261" s="47">
        <f t="shared" ca="1" si="35"/>
        <v>0.14002911323429079</v>
      </c>
      <c r="C2261" s="48">
        <f t="array" aca="1" ref="C2261" ca="1">MAX(0,ROUND(Inputs!$B$10*Inputs!$B$11+NORMSINV(B2261)*SQRT(Inputs!$B$10*Inputs!$B$11),0))</f>
        <v>476</v>
      </c>
      <c r="D2261" s="49">
        <f ca="1">C2261*Inputs!$B$12</f>
        <v>57120000</v>
      </c>
    </row>
    <row r="2262" spans="1:4" ht="13.5" customHeight="1" x14ac:dyDescent="0.3">
      <c r="A2262" s="50">
        <v>2258</v>
      </c>
      <c r="B2262" s="51">
        <f t="shared" ca="1" si="35"/>
        <v>0.81298800920000902</v>
      </c>
      <c r="C2262" s="48">
        <f t="array" aca="1" ref="C2262" ca="1">MAX(0,ROUND(Inputs!$B$10*Inputs!$B$11+NORMSINV(B2262)*SQRT(Inputs!$B$10*Inputs!$B$11),0))</f>
        <v>520</v>
      </c>
      <c r="D2262" s="52">
        <f ca="1">C2262*Inputs!$B$12</f>
        <v>62400000</v>
      </c>
    </row>
    <row r="2263" spans="1:4" ht="13.5" customHeight="1" x14ac:dyDescent="0.3">
      <c r="A2263" s="46">
        <v>2259</v>
      </c>
      <c r="B2263" s="47">
        <f t="shared" ca="1" si="35"/>
        <v>0.69946593615077068</v>
      </c>
      <c r="C2263" s="48">
        <f t="array" aca="1" ref="C2263" ca="1">MAX(0,ROUND(Inputs!$B$10*Inputs!$B$11+NORMSINV(B2263)*SQRT(Inputs!$B$10*Inputs!$B$11),0))</f>
        <v>512</v>
      </c>
      <c r="D2263" s="49">
        <f ca="1">C2263*Inputs!$B$12</f>
        <v>61440000</v>
      </c>
    </row>
    <row r="2264" spans="1:4" ht="13.5" customHeight="1" x14ac:dyDescent="0.3">
      <c r="A2264" s="50">
        <v>2260</v>
      </c>
      <c r="B2264" s="51">
        <f t="shared" ca="1" si="35"/>
        <v>7.2664929243430709E-2</v>
      </c>
      <c r="C2264" s="48">
        <f t="array" aca="1" ref="C2264" ca="1">MAX(0,ROUND(Inputs!$B$10*Inputs!$B$11+NORMSINV(B2264)*SQRT(Inputs!$B$10*Inputs!$B$11),0))</f>
        <v>467</v>
      </c>
      <c r="D2264" s="52">
        <f ca="1">C2264*Inputs!$B$12</f>
        <v>56040000</v>
      </c>
    </row>
    <row r="2265" spans="1:4" ht="13.5" customHeight="1" x14ac:dyDescent="0.3">
      <c r="A2265" s="46">
        <v>2261</v>
      </c>
      <c r="B2265" s="47">
        <f t="shared" ca="1" si="35"/>
        <v>0.6538594582359365</v>
      </c>
      <c r="C2265" s="48">
        <f t="array" aca="1" ref="C2265" ca="1">MAX(0,ROUND(Inputs!$B$10*Inputs!$B$11+NORMSINV(B2265)*SQRT(Inputs!$B$10*Inputs!$B$11),0))</f>
        <v>509</v>
      </c>
      <c r="D2265" s="49">
        <f ca="1">C2265*Inputs!$B$12</f>
        <v>61080000</v>
      </c>
    </row>
    <row r="2266" spans="1:4" ht="13.5" customHeight="1" x14ac:dyDescent="0.3">
      <c r="A2266" s="50">
        <v>2262</v>
      </c>
      <c r="B2266" s="51">
        <f t="shared" ca="1" si="35"/>
        <v>0.8364506887762303</v>
      </c>
      <c r="C2266" s="48">
        <f t="array" aca="1" ref="C2266" ca="1">MAX(0,ROUND(Inputs!$B$10*Inputs!$B$11+NORMSINV(B2266)*SQRT(Inputs!$B$10*Inputs!$B$11),0))</f>
        <v>522</v>
      </c>
      <c r="D2266" s="52">
        <f ca="1">C2266*Inputs!$B$12</f>
        <v>62640000</v>
      </c>
    </row>
    <row r="2267" spans="1:4" ht="13.5" customHeight="1" x14ac:dyDescent="0.3">
      <c r="A2267" s="46">
        <v>2263</v>
      </c>
      <c r="B2267" s="47">
        <f t="shared" ca="1" si="35"/>
        <v>5.5960997035688909E-2</v>
      </c>
      <c r="C2267" s="48">
        <f t="array" aca="1" ref="C2267" ca="1">MAX(0,ROUND(Inputs!$B$10*Inputs!$B$11+NORMSINV(B2267)*SQRT(Inputs!$B$10*Inputs!$B$11),0))</f>
        <v>464</v>
      </c>
      <c r="D2267" s="49">
        <f ca="1">C2267*Inputs!$B$12</f>
        <v>55680000</v>
      </c>
    </row>
    <row r="2268" spans="1:4" ht="13.5" customHeight="1" x14ac:dyDescent="0.3">
      <c r="A2268" s="50">
        <v>2264</v>
      </c>
      <c r="B2268" s="51">
        <f t="shared" ca="1" si="35"/>
        <v>0.3302813001142898</v>
      </c>
      <c r="C2268" s="48">
        <f t="array" aca="1" ref="C2268" ca="1">MAX(0,ROUND(Inputs!$B$10*Inputs!$B$11+NORMSINV(B2268)*SQRT(Inputs!$B$10*Inputs!$B$11),0))</f>
        <v>490</v>
      </c>
      <c r="D2268" s="52">
        <f ca="1">C2268*Inputs!$B$12</f>
        <v>58800000</v>
      </c>
    </row>
    <row r="2269" spans="1:4" ht="13.5" customHeight="1" x14ac:dyDescent="0.3">
      <c r="A2269" s="46">
        <v>2265</v>
      </c>
      <c r="B2269" s="47">
        <f t="shared" ca="1" si="35"/>
        <v>2.6561979396747204E-2</v>
      </c>
      <c r="C2269" s="48">
        <f t="array" aca="1" ref="C2269" ca="1">MAX(0,ROUND(Inputs!$B$10*Inputs!$B$11+NORMSINV(B2269)*SQRT(Inputs!$B$10*Inputs!$B$11),0))</f>
        <v>457</v>
      </c>
      <c r="D2269" s="49">
        <f ca="1">C2269*Inputs!$B$12</f>
        <v>54840000</v>
      </c>
    </row>
    <row r="2270" spans="1:4" ht="13.5" customHeight="1" x14ac:dyDescent="0.3">
      <c r="A2270" s="50">
        <v>2266</v>
      </c>
      <c r="B2270" s="51">
        <f t="shared" ca="1" si="35"/>
        <v>0.71951659270746327</v>
      </c>
      <c r="C2270" s="48">
        <f t="array" aca="1" ref="C2270" ca="1">MAX(0,ROUND(Inputs!$B$10*Inputs!$B$11+NORMSINV(B2270)*SQRT(Inputs!$B$10*Inputs!$B$11),0))</f>
        <v>513</v>
      </c>
      <c r="D2270" s="52">
        <f ca="1">C2270*Inputs!$B$12</f>
        <v>61560000</v>
      </c>
    </row>
    <row r="2271" spans="1:4" ht="13.5" customHeight="1" x14ac:dyDescent="0.3">
      <c r="A2271" s="46">
        <v>2267</v>
      </c>
      <c r="B2271" s="47">
        <f t="shared" ca="1" si="35"/>
        <v>0.59323053637901335</v>
      </c>
      <c r="C2271" s="48">
        <f t="array" aca="1" ref="C2271" ca="1">MAX(0,ROUND(Inputs!$B$10*Inputs!$B$11+NORMSINV(B2271)*SQRT(Inputs!$B$10*Inputs!$B$11),0))</f>
        <v>505</v>
      </c>
      <c r="D2271" s="49">
        <f ca="1">C2271*Inputs!$B$12</f>
        <v>60600000</v>
      </c>
    </row>
    <row r="2272" spans="1:4" ht="13.5" customHeight="1" x14ac:dyDescent="0.3">
      <c r="A2272" s="50">
        <v>2268</v>
      </c>
      <c r="B2272" s="51">
        <f t="shared" ca="1" si="35"/>
        <v>0.33083582912105403</v>
      </c>
      <c r="C2272" s="48">
        <f t="array" aca="1" ref="C2272" ca="1">MAX(0,ROUND(Inputs!$B$10*Inputs!$B$11+NORMSINV(B2272)*SQRT(Inputs!$B$10*Inputs!$B$11),0))</f>
        <v>490</v>
      </c>
      <c r="D2272" s="52">
        <f ca="1">C2272*Inputs!$B$12</f>
        <v>58800000</v>
      </c>
    </row>
    <row r="2273" spans="1:4" ht="13.5" customHeight="1" x14ac:dyDescent="0.3">
      <c r="A2273" s="46">
        <v>2269</v>
      </c>
      <c r="B2273" s="47">
        <f t="shared" ca="1" si="35"/>
        <v>0.78287588210153547</v>
      </c>
      <c r="C2273" s="48">
        <f t="array" aca="1" ref="C2273" ca="1">MAX(0,ROUND(Inputs!$B$10*Inputs!$B$11+NORMSINV(B2273)*SQRT(Inputs!$B$10*Inputs!$B$11),0))</f>
        <v>517</v>
      </c>
      <c r="D2273" s="49">
        <f ca="1">C2273*Inputs!$B$12</f>
        <v>62040000</v>
      </c>
    </row>
    <row r="2274" spans="1:4" ht="13.5" customHeight="1" x14ac:dyDescent="0.3">
      <c r="A2274" s="50">
        <v>2270</v>
      </c>
      <c r="B2274" s="51">
        <f t="shared" ca="1" si="35"/>
        <v>0.75769065958899962</v>
      </c>
      <c r="C2274" s="48">
        <f t="array" aca="1" ref="C2274" ca="1">MAX(0,ROUND(Inputs!$B$10*Inputs!$B$11+NORMSINV(B2274)*SQRT(Inputs!$B$10*Inputs!$B$11),0))</f>
        <v>516</v>
      </c>
      <c r="D2274" s="52">
        <f ca="1">C2274*Inputs!$B$12</f>
        <v>61920000</v>
      </c>
    </row>
    <row r="2275" spans="1:4" ht="13.5" customHeight="1" x14ac:dyDescent="0.3">
      <c r="A2275" s="46">
        <v>2271</v>
      </c>
      <c r="B2275" s="47">
        <f t="shared" ca="1" si="35"/>
        <v>2.5498775309689914E-2</v>
      </c>
      <c r="C2275" s="48">
        <f t="array" aca="1" ref="C2275" ca="1">MAX(0,ROUND(Inputs!$B$10*Inputs!$B$11+NORMSINV(B2275)*SQRT(Inputs!$B$10*Inputs!$B$11),0))</f>
        <v>456</v>
      </c>
      <c r="D2275" s="49">
        <f ca="1">C2275*Inputs!$B$12</f>
        <v>54720000</v>
      </c>
    </row>
    <row r="2276" spans="1:4" ht="13.5" customHeight="1" x14ac:dyDescent="0.3">
      <c r="A2276" s="50">
        <v>2272</v>
      </c>
      <c r="B2276" s="51">
        <f t="shared" ca="1" si="35"/>
        <v>0.77331998549896563</v>
      </c>
      <c r="C2276" s="48">
        <f t="array" aca="1" ref="C2276" ca="1">MAX(0,ROUND(Inputs!$B$10*Inputs!$B$11+NORMSINV(B2276)*SQRT(Inputs!$B$10*Inputs!$B$11),0))</f>
        <v>517</v>
      </c>
      <c r="D2276" s="52">
        <f ca="1">C2276*Inputs!$B$12</f>
        <v>62040000</v>
      </c>
    </row>
    <row r="2277" spans="1:4" ht="13.5" customHeight="1" x14ac:dyDescent="0.3">
      <c r="A2277" s="46">
        <v>2273</v>
      </c>
      <c r="B2277" s="47">
        <f t="shared" ca="1" si="35"/>
        <v>0.30490753935124393</v>
      </c>
      <c r="C2277" s="48">
        <f t="array" aca="1" ref="C2277" ca="1">MAX(0,ROUND(Inputs!$B$10*Inputs!$B$11+NORMSINV(B2277)*SQRT(Inputs!$B$10*Inputs!$B$11),0))</f>
        <v>489</v>
      </c>
      <c r="D2277" s="49">
        <f ca="1">C2277*Inputs!$B$12</f>
        <v>58680000</v>
      </c>
    </row>
    <row r="2278" spans="1:4" ht="13.5" customHeight="1" x14ac:dyDescent="0.3">
      <c r="A2278" s="50">
        <v>2274</v>
      </c>
      <c r="B2278" s="51">
        <f t="shared" ca="1" si="35"/>
        <v>6.986636029028559E-2</v>
      </c>
      <c r="C2278" s="48">
        <f t="array" aca="1" ref="C2278" ca="1">MAX(0,ROUND(Inputs!$B$10*Inputs!$B$11+NORMSINV(B2278)*SQRT(Inputs!$B$10*Inputs!$B$11),0))</f>
        <v>467</v>
      </c>
      <c r="D2278" s="52">
        <f ca="1">C2278*Inputs!$B$12</f>
        <v>56040000</v>
      </c>
    </row>
    <row r="2279" spans="1:4" ht="13.5" customHeight="1" x14ac:dyDescent="0.3">
      <c r="A2279" s="46">
        <v>2275</v>
      </c>
      <c r="B2279" s="47">
        <f t="shared" ca="1" si="35"/>
        <v>0.80616674169191627</v>
      </c>
      <c r="C2279" s="48">
        <f t="array" aca="1" ref="C2279" ca="1">MAX(0,ROUND(Inputs!$B$10*Inputs!$B$11+NORMSINV(B2279)*SQRT(Inputs!$B$10*Inputs!$B$11),0))</f>
        <v>519</v>
      </c>
      <c r="D2279" s="49">
        <f ca="1">C2279*Inputs!$B$12</f>
        <v>62280000</v>
      </c>
    </row>
    <row r="2280" spans="1:4" ht="13.5" customHeight="1" x14ac:dyDescent="0.3">
      <c r="A2280" s="50">
        <v>2276</v>
      </c>
      <c r="B2280" s="51">
        <f t="shared" ca="1" si="35"/>
        <v>0.19657387192588605</v>
      </c>
      <c r="C2280" s="48">
        <f t="array" aca="1" ref="C2280" ca="1">MAX(0,ROUND(Inputs!$B$10*Inputs!$B$11+NORMSINV(B2280)*SQRT(Inputs!$B$10*Inputs!$B$11),0))</f>
        <v>481</v>
      </c>
      <c r="D2280" s="52">
        <f ca="1">C2280*Inputs!$B$12</f>
        <v>57720000</v>
      </c>
    </row>
    <row r="2281" spans="1:4" ht="13.5" customHeight="1" x14ac:dyDescent="0.3">
      <c r="A2281" s="46">
        <v>2277</v>
      </c>
      <c r="B2281" s="47">
        <f t="shared" ca="1" si="35"/>
        <v>0.33926115559791292</v>
      </c>
      <c r="C2281" s="48">
        <f t="array" aca="1" ref="C2281" ca="1">MAX(0,ROUND(Inputs!$B$10*Inputs!$B$11+NORMSINV(B2281)*SQRT(Inputs!$B$10*Inputs!$B$11),0))</f>
        <v>491</v>
      </c>
      <c r="D2281" s="49">
        <f ca="1">C2281*Inputs!$B$12</f>
        <v>58920000</v>
      </c>
    </row>
    <row r="2282" spans="1:4" ht="13.5" customHeight="1" x14ac:dyDescent="0.3">
      <c r="A2282" s="50">
        <v>2278</v>
      </c>
      <c r="B2282" s="51">
        <f t="shared" ca="1" si="35"/>
        <v>0.7462920936169215</v>
      </c>
      <c r="C2282" s="48">
        <f t="array" aca="1" ref="C2282" ca="1">MAX(0,ROUND(Inputs!$B$10*Inputs!$B$11+NORMSINV(B2282)*SQRT(Inputs!$B$10*Inputs!$B$11),0))</f>
        <v>515</v>
      </c>
      <c r="D2282" s="52">
        <f ca="1">C2282*Inputs!$B$12</f>
        <v>61800000</v>
      </c>
    </row>
    <row r="2283" spans="1:4" ht="13.5" customHeight="1" x14ac:dyDescent="0.3">
      <c r="A2283" s="46">
        <v>2279</v>
      </c>
      <c r="B2283" s="47">
        <f t="shared" ca="1" si="35"/>
        <v>0.85499948823802097</v>
      </c>
      <c r="C2283" s="48">
        <f t="array" aca="1" ref="C2283" ca="1">MAX(0,ROUND(Inputs!$B$10*Inputs!$B$11+NORMSINV(B2283)*SQRT(Inputs!$B$10*Inputs!$B$11),0))</f>
        <v>524</v>
      </c>
      <c r="D2283" s="49">
        <f ca="1">C2283*Inputs!$B$12</f>
        <v>62880000</v>
      </c>
    </row>
    <row r="2284" spans="1:4" ht="13.5" customHeight="1" x14ac:dyDescent="0.3">
      <c r="A2284" s="50">
        <v>2280</v>
      </c>
      <c r="B2284" s="51">
        <f t="shared" ca="1" si="35"/>
        <v>8.9938405388956921E-2</v>
      </c>
      <c r="C2284" s="48">
        <f t="array" aca="1" ref="C2284" ca="1">MAX(0,ROUND(Inputs!$B$10*Inputs!$B$11+NORMSINV(B2284)*SQRT(Inputs!$B$10*Inputs!$B$11),0))</f>
        <v>470</v>
      </c>
      <c r="D2284" s="52">
        <f ca="1">C2284*Inputs!$B$12</f>
        <v>56400000</v>
      </c>
    </row>
    <row r="2285" spans="1:4" ht="13.5" customHeight="1" x14ac:dyDescent="0.3">
      <c r="A2285" s="46">
        <v>2281</v>
      </c>
      <c r="B2285" s="47">
        <f t="shared" ca="1" si="35"/>
        <v>0.61070581075677355</v>
      </c>
      <c r="C2285" s="48">
        <f t="array" aca="1" ref="C2285" ca="1">MAX(0,ROUND(Inputs!$B$10*Inputs!$B$11+NORMSINV(B2285)*SQRT(Inputs!$B$10*Inputs!$B$11),0))</f>
        <v>506</v>
      </c>
      <c r="D2285" s="49">
        <f ca="1">C2285*Inputs!$B$12</f>
        <v>60720000</v>
      </c>
    </row>
    <row r="2286" spans="1:4" ht="13.5" customHeight="1" x14ac:dyDescent="0.3">
      <c r="A2286" s="50">
        <v>2282</v>
      </c>
      <c r="B2286" s="51">
        <f t="shared" ca="1" si="35"/>
        <v>0.74758594233727271</v>
      </c>
      <c r="C2286" s="48">
        <f t="array" aca="1" ref="C2286" ca="1">MAX(0,ROUND(Inputs!$B$10*Inputs!$B$11+NORMSINV(B2286)*SQRT(Inputs!$B$10*Inputs!$B$11),0))</f>
        <v>515</v>
      </c>
      <c r="D2286" s="52">
        <f ca="1">C2286*Inputs!$B$12</f>
        <v>61800000</v>
      </c>
    </row>
    <row r="2287" spans="1:4" ht="13.5" customHeight="1" x14ac:dyDescent="0.3">
      <c r="A2287" s="46">
        <v>2283</v>
      </c>
      <c r="B2287" s="47">
        <f t="shared" ca="1" si="35"/>
        <v>0.97730263042667687</v>
      </c>
      <c r="C2287" s="48">
        <f t="array" aca="1" ref="C2287" ca="1">MAX(0,ROUND(Inputs!$B$10*Inputs!$B$11+NORMSINV(B2287)*SQRT(Inputs!$B$10*Inputs!$B$11),0))</f>
        <v>545</v>
      </c>
      <c r="D2287" s="49">
        <f ca="1">C2287*Inputs!$B$12</f>
        <v>65400000</v>
      </c>
    </row>
    <row r="2288" spans="1:4" ht="13.5" customHeight="1" x14ac:dyDescent="0.3">
      <c r="A2288" s="50">
        <v>2284</v>
      </c>
      <c r="B2288" s="51">
        <f t="shared" ca="1" si="35"/>
        <v>0.8287136818548162</v>
      </c>
      <c r="C2288" s="48">
        <f t="array" aca="1" ref="C2288" ca="1">MAX(0,ROUND(Inputs!$B$10*Inputs!$B$11+NORMSINV(B2288)*SQRT(Inputs!$B$10*Inputs!$B$11),0))</f>
        <v>521</v>
      </c>
      <c r="D2288" s="52">
        <f ca="1">C2288*Inputs!$B$12</f>
        <v>62520000</v>
      </c>
    </row>
    <row r="2289" spans="1:4" ht="13.5" customHeight="1" x14ac:dyDescent="0.3">
      <c r="A2289" s="46">
        <v>2285</v>
      </c>
      <c r="B2289" s="47">
        <f t="shared" ca="1" si="35"/>
        <v>0.66722528548078541</v>
      </c>
      <c r="C2289" s="48">
        <f t="array" aca="1" ref="C2289" ca="1">MAX(0,ROUND(Inputs!$B$10*Inputs!$B$11+NORMSINV(B2289)*SQRT(Inputs!$B$10*Inputs!$B$11),0))</f>
        <v>510</v>
      </c>
      <c r="D2289" s="49">
        <f ca="1">C2289*Inputs!$B$12</f>
        <v>61200000</v>
      </c>
    </row>
    <row r="2290" spans="1:4" ht="13.5" customHeight="1" x14ac:dyDescent="0.3">
      <c r="A2290" s="50">
        <v>2286</v>
      </c>
      <c r="B2290" s="51">
        <f t="shared" ca="1" si="35"/>
        <v>0.14946581027658012</v>
      </c>
      <c r="C2290" s="48">
        <f t="array" aca="1" ref="C2290" ca="1">MAX(0,ROUND(Inputs!$B$10*Inputs!$B$11+NORMSINV(B2290)*SQRT(Inputs!$B$10*Inputs!$B$11),0))</f>
        <v>477</v>
      </c>
      <c r="D2290" s="52">
        <f ca="1">C2290*Inputs!$B$12</f>
        <v>57240000</v>
      </c>
    </row>
    <row r="2291" spans="1:4" ht="13.5" customHeight="1" x14ac:dyDescent="0.3">
      <c r="A2291" s="46">
        <v>2287</v>
      </c>
      <c r="B2291" s="47">
        <f t="shared" ca="1" si="35"/>
        <v>0.7280195394868727</v>
      </c>
      <c r="C2291" s="48">
        <f t="array" aca="1" ref="C2291" ca="1">MAX(0,ROUND(Inputs!$B$10*Inputs!$B$11+NORMSINV(B2291)*SQRT(Inputs!$B$10*Inputs!$B$11),0))</f>
        <v>514</v>
      </c>
      <c r="D2291" s="49">
        <f ca="1">C2291*Inputs!$B$12</f>
        <v>61680000</v>
      </c>
    </row>
    <row r="2292" spans="1:4" ht="13.5" customHeight="1" x14ac:dyDescent="0.3">
      <c r="A2292" s="50">
        <v>2288</v>
      </c>
      <c r="B2292" s="51">
        <f t="shared" ca="1" si="35"/>
        <v>4.5587936891732017E-2</v>
      </c>
      <c r="C2292" s="48">
        <f t="array" aca="1" ref="C2292" ca="1">MAX(0,ROUND(Inputs!$B$10*Inputs!$B$11+NORMSINV(B2292)*SQRT(Inputs!$B$10*Inputs!$B$11),0))</f>
        <v>462</v>
      </c>
      <c r="D2292" s="52">
        <f ca="1">C2292*Inputs!$B$12</f>
        <v>55440000</v>
      </c>
    </row>
    <row r="2293" spans="1:4" ht="13.5" customHeight="1" x14ac:dyDescent="0.3">
      <c r="A2293" s="46">
        <v>2289</v>
      </c>
      <c r="B2293" s="47">
        <f t="shared" ca="1" si="35"/>
        <v>0.92452751554402723</v>
      </c>
      <c r="C2293" s="48">
        <f t="array" aca="1" ref="C2293" ca="1">MAX(0,ROUND(Inputs!$B$10*Inputs!$B$11+NORMSINV(B2293)*SQRT(Inputs!$B$10*Inputs!$B$11),0))</f>
        <v>532</v>
      </c>
      <c r="D2293" s="49">
        <f ca="1">C2293*Inputs!$B$12</f>
        <v>63840000</v>
      </c>
    </row>
    <row r="2294" spans="1:4" ht="13.5" customHeight="1" x14ac:dyDescent="0.3">
      <c r="A2294" s="50">
        <v>2290</v>
      </c>
      <c r="B2294" s="51">
        <f t="shared" ca="1" si="35"/>
        <v>0.2467356322371872</v>
      </c>
      <c r="C2294" s="48">
        <f t="array" aca="1" ref="C2294" ca="1">MAX(0,ROUND(Inputs!$B$10*Inputs!$B$11+NORMSINV(B2294)*SQRT(Inputs!$B$10*Inputs!$B$11),0))</f>
        <v>485</v>
      </c>
      <c r="D2294" s="52">
        <f ca="1">C2294*Inputs!$B$12</f>
        <v>58200000</v>
      </c>
    </row>
    <row r="2295" spans="1:4" ht="13.5" customHeight="1" x14ac:dyDescent="0.3">
      <c r="A2295" s="46">
        <v>2291</v>
      </c>
      <c r="B2295" s="47">
        <f t="shared" ca="1" si="35"/>
        <v>0.51957859293739217</v>
      </c>
      <c r="C2295" s="48">
        <f t="array" aca="1" ref="C2295" ca="1">MAX(0,ROUND(Inputs!$B$10*Inputs!$B$11+NORMSINV(B2295)*SQRT(Inputs!$B$10*Inputs!$B$11),0))</f>
        <v>501</v>
      </c>
      <c r="D2295" s="49">
        <f ca="1">C2295*Inputs!$B$12</f>
        <v>60120000</v>
      </c>
    </row>
    <row r="2296" spans="1:4" ht="13.5" customHeight="1" x14ac:dyDescent="0.3">
      <c r="A2296" s="50">
        <v>2292</v>
      </c>
      <c r="B2296" s="51">
        <f t="shared" ca="1" si="35"/>
        <v>0.55755471432671522</v>
      </c>
      <c r="C2296" s="48">
        <f t="array" aca="1" ref="C2296" ca="1">MAX(0,ROUND(Inputs!$B$10*Inputs!$B$11+NORMSINV(B2296)*SQRT(Inputs!$B$10*Inputs!$B$11),0))</f>
        <v>503</v>
      </c>
      <c r="D2296" s="52">
        <f ca="1">C2296*Inputs!$B$12</f>
        <v>60360000</v>
      </c>
    </row>
    <row r="2297" spans="1:4" ht="13.5" customHeight="1" x14ac:dyDescent="0.3">
      <c r="A2297" s="46">
        <v>2293</v>
      </c>
      <c r="B2297" s="47">
        <f t="shared" ca="1" si="35"/>
        <v>0.74230823965801518</v>
      </c>
      <c r="C2297" s="48">
        <f t="array" aca="1" ref="C2297" ca="1">MAX(0,ROUND(Inputs!$B$10*Inputs!$B$11+NORMSINV(B2297)*SQRT(Inputs!$B$10*Inputs!$B$11),0))</f>
        <v>515</v>
      </c>
      <c r="D2297" s="49">
        <f ca="1">C2297*Inputs!$B$12</f>
        <v>61800000</v>
      </c>
    </row>
    <row r="2298" spans="1:4" ht="13.5" customHeight="1" x14ac:dyDescent="0.3">
      <c r="A2298" s="50">
        <v>2294</v>
      </c>
      <c r="B2298" s="51">
        <f t="shared" ca="1" si="35"/>
        <v>0.6981938101584273</v>
      </c>
      <c r="C2298" s="48">
        <f t="array" aca="1" ref="C2298" ca="1">MAX(0,ROUND(Inputs!$B$10*Inputs!$B$11+NORMSINV(B2298)*SQRT(Inputs!$B$10*Inputs!$B$11),0))</f>
        <v>512</v>
      </c>
      <c r="D2298" s="52">
        <f ca="1">C2298*Inputs!$B$12</f>
        <v>61440000</v>
      </c>
    </row>
    <row r="2299" spans="1:4" ht="13.5" customHeight="1" x14ac:dyDescent="0.3">
      <c r="A2299" s="46">
        <v>2295</v>
      </c>
      <c r="B2299" s="47">
        <f t="shared" ca="1" si="35"/>
        <v>0.58254213842538727</v>
      </c>
      <c r="C2299" s="48">
        <f t="array" aca="1" ref="C2299" ca="1">MAX(0,ROUND(Inputs!$B$10*Inputs!$B$11+NORMSINV(B2299)*SQRT(Inputs!$B$10*Inputs!$B$11),0))</f>
        <v>505</v>
      </c>
      <c r="D2299" s="49">
        <f ca="1">C2299*Inputs!$B$12</f>
        <v>60600000</v>
      </c>
    </row>
    <row r="2300" spans="1:4" ht="13.5" customHeight="1" x14ac:dyDescent="0.3">
      <c r="A2300" s="50">
        <v>2296</v>
      </c>
      <c r="B2300" s="51">
        <f t="shared" ca="1" si="35"/>
        <v>0.27087088745022947</v>
      </c>
      <c r="C2300" s="48">
        <f t="array" aca="1" ref="C2300" ca="1">MAX(0,ROUND(Inputs!$B$10*Inputs!$B$11+NORMSINV(B2300)*SQRT(Inputs!$B$10*Inputs!$B$11),0))</f>
        <v>486</v>
      </c>
      <c r="D2300" s="52">
        <f ca="1">C2300*Inputs!$B$12</f>
        <v>58320000</v>
      </c>
    </row>
    <row r="2301" spans="1:4" ht="13.5" customHeight="1" x14ac:dyDescent="0.3">
      <c r="A2301" s="46">
        <v>2297</v>
      </c>
      <c r="B2301" s="47">
        <f t="shared" ca="1" si="35"/>
        <v>0.46713202094712714</v>
      </c>
      <c r="C2301" s="48">
        <f t="array" aca="1" ref="C2301" ca="1">MAX(0,ROUND(Inputs!$B$10*Inputs!$B$11+NORMSINV(B2301)*SQRT(Inputs!$B$10*Inputs!$B$11),0))</f>
        <v>498</v>
      </c>
      <c r="D2301" s="49">
        <f ca="1">C2301*Inputs!$B$12</f>
        <v>59760000</v>
      </c>
    </row>
    <row r="2302" spans="1:4" ht="13.5" customHeight="1" x14ac:dyDescent="0.3">
      <c r="A2302" s="50">
        <v>2298</v>
      </c>
      <c r="B2302" s="51">
        <f t="shared" ca="1" si="35"/>
        <v>0.51384492786361369</v>
      </c>
      <c r="C2302" s="48">
        <f t="array" aca="1" ref="C2302" ca="1">MAX(0,ROUND(Inputs!$B$10*Inputs!$B$11+NORMSINV(B2302)*SQRT(Inputs!$B$10*Inputs!$B$11),0))</f>
        <v>501</v>
      </c>
      <c r="D2302" s="52">
        <f ca="1">C2302*Inputs!$B$12</f>
        <v>60120000</v>
      </c>
    </row>
    <row r="2303" spans="1:4" ht="13.5" customHeight="1" x14ac:dyDescent="0.3">
      <c r="A2303" s="46">
        <v>2299</v>
      </c>
      <c r="B2303" s="47">
        <f t="shared" ca="1" si="35"/>
        <v>0.98352983356611734</v>
      </c>
      <c r="C2303" s="48">
        <f t="array" aca="1" ref="C2303" ca="1">MAX(0,ROUND(Inputs!$B$10*Inputs!$B$11+NORMSINV(B2303)*SQRT(Inputs!$B$10*Inputs!$B$11),0))</f>
        <v>548</v>
      </c>
      <c r="D2303" s="49">
        <f ca="1">C2303*Inputs!$B$12</f>
        <v>65760000</v>
      </c>
    </row>
    <row r="2304" spans="1:4" ht="13.5" customHeight="1" x14ac:dyDescent="0.3">
      <c r="A2304" s="50">
        <v>2300</v>
      </c>
      <c r="B2304" s="51">
        <f t="shared" ca="1" si="35"/>
        <v>0.85552323127500807</v>
      </c>
      <c r="C2304" s="48">
        <f t="array" aca="1" ref="C2304" ca="1">MAX(0,ROUND(Inputs!$B$10*Inputs!$B$11+NORMSINV(B2304)*SQRT(Inputs!$B$10*Inputs!$B$11),0))</f>
        <v>524</v>
      </c>
      <c r="D2304" s="52">
        <f ca="1">C2304*Inputs!$B$12</f>
        <v>62880000</v>
      </c>
    </row>
    <row r="2305" spans="1:4" ht="13.5" customHeight="1" x14ac:dyDescent="0.3">
      <c r="A2305" s="46">
        <v>2301</v>
      </c>
      <c r="B2305" s="47">
        <f t="shared" ca="1" si="35"/>
        <v>0.98170688514033089</v>
      </c>
      <c r="C2305" s="48">
        <f t="array" aca="1" ref="C2305" ca="1">MAX(0,ROUND(Inputs!$B$10*Inputs!$B$11+NORMSINV(B2305)*SQRT(Inputs!$B$10*Inputs!$B$11),0))</f>
        <v>547</v>
      </c>
      <c r="D2305" s="49">
        <f ca="1">C2305*Inputs!$B$12</f>
        <v>65640000</v>
      </c>
    </row>
    <row r="2306" spans="1:4" ht="13.5" customHeight="1" x14ac:dyDescent="0.3">
      <c r="A2306" s="50">
        <v>2302</v>
      </c>
      <c r="B2306" s="51">
        <f t="shared" ca="1" si="35"/>
        <v>0.34561427534223121</v>
      </c>
      <c r="C2306" s="48">
        <f t="array" aca="1" ref="C2306" ca="1">MAX(0,ROUND(Inputs!$B$10*Inputs!$B$11+NORMSINV(B2306)*SQRT(Inputs!$B$10*Inputs!$B$11),0))</f>
        <v>491</v>
      </c>
      <c r="D2306" s="52">
        <f ca="1">C2306*Inputs!$B$12</f>
        <v>58920000</v>
      </c>
    </row>
    <row r="2307" spans="1:4" ht="13.5" customHeight="1" x14ac:dyDescent="0.3">
      <c r="A2307" s="46">
        <v>2303</v>
      </c>
      <c r="B2307" s="47">
        <f t="shared" ca="1" si="35"/>
        <v>0.1620415753156853</v>
      </c>
      <c r="C2307" s="48">
        <f t="array" aca="1" ref="C2307" ca="1">MAX(0,ROUND(Inputs!$B$10*Inputs!$B$11+NORMSINV(B2307)*SQRT(Inputs!$B$10*Inputs!$B$11),0))</f>
        <v>478</v>
      </c>
      <c r="D2307" s="49">
        <f ca="1">C2307*Inputs!$B$12</f>
        <v>57360000</v>
      </c>
    </row>
    <row r="2308" spans="1:4" ht="13.5" customHeight="1" x14ac:dyDescent="0.3">
      <c r="A2308" s="50">
        <v>2304</v>
      </c>
      <c r="B2308" s="51">
        <f t="shared" ca="1" si="35"/>
        <v>0.64775961786884195</v>
      </c>
      <c r="C2308" s="48">
        <f t="array" aca="1" ref="C2308" ca="1">MAX(0,ROUND(Inputs!$B$10*Inputs!$B$11+NORMSINV(B2308)*SQRT(Inputs!$B$10*Inputs!$B$11),0))</f>
        <v>508</v>
      </c>
      <c r="D2308" s="52">
        <f ca="1">C2308*Inputs!$B$12</f>
        <v>60960000</v>
      </c>
    </row>
    <row r="2309" spans="1:4" ht="13.5" customHeight="1" x14ac:dyDescent="0.3">
      <c r="A2309" s="46">
        <v>2305</v>
      </c>
      <c r="B2309" s="47">
        <f t="shared" ref="B2309:B2372" ca="1" si="36">RAND()</f>
        <v>0.24800933117227142</v>
      </c>
      <c r="C2309" s="48">
        <f t="array" aca="1" ref="C2309" ca="1">MAX(0,ROUND(Inputs!$B$10*Inputs!$B$11+NORMSINV(B2309)*SQRT(Inputs!$B$10*Inputs!$B$11),0))</f>
        <v>485</v>
      </c>
      <c r="D2309" s="49">
        <f ca="1">C2309*Inputs!$B$12</f>
        <v>58200000</v>
      </c>
    </row>
    <row r="2310" spans="1:4" ht="13.5" customHeight="1" x14ac:dyDescent="0.3">
      <c r="A2310" s="50">
        <v>2306</v>
      </c>
      <c r="B2310" s="51">
        <f t="shared" ca="1" si="36"/>
        <v>0.30477211297694595</v>
      </c>
      <c r="C2310" s="48">
        <f t="array" aca="1" ref="C2310" ca="1">MAX(0,ROUND(Inputs!$B$10*Inputs!$B$11+NORMSINV(B2310)*SQRT(Inputs!$B$10*Inputs!$B$11),0))</f>
        <v>489</v>
      </c>
      <c r="D2310" s="52">
        <f ca="1">C2310*Inputs!$B$12</f>
        <v>58680000</v>
      </c>
    </row>
    <row r="2311" spans="1:4" ht="13.5" customHeight="1" x14ac:dyDescent="0.3">
      <c r="A2311" s="46">
        <v>2307</v>
      </c>
      <c r="B2311" s="47">
        <f t="shared" ca="1" si="36"/>
        <v>0.5106370229472319</v>
      </c>
      <c r="C2311" s="48">
        <f t="array" aca="1" ref="C2311" ca="1">MAX(0,ROUND(Inputs!$B$10*Inputs!$B$11+NORMSINV(B2311)*SQRT(Inputs!$B$10*Inputs!$B$11),0))</f>
        <v>501</v>
      </c>
      <c r="D2311" s="49">
        <f ca="1">C2311*Inputs!$B$12</f>
        <v>60120000</v>
      </c>
    </row>
    <row r="2312" spans="1:4" ht="13.5" customHeight="1" x14ac:dyDescent="0.3">
      <c r="A2312" s="50">
        <v>2308</v>
      </c>
      <c r="B2312" s="51">
        <f t="shared" ca="1" si="36"/>
        <v>8.8460393067113618E-2</v>
      </c>
      <c r="C2312" s="48">
        <f t="array" aca="1" ref="C2312" ca="1">MAX(0,ROUND(Inputs!$B$10*Inputs!$B$11+NORMSINV(B2312)*SQRT(Inputs!$B$10*Inputs!$B$11),0))</f>
        <v>470</v>
      </c>
      <c r="D2312" s="52">
        <f ca="1">C2312*Inputs!$B$12</f>
        <v>56400000</v>
      </c>
    </row>
    <row r="2313" spans="1:4" ht="13.5" customHeight="1" x14ac:dyDescent="0.3">
      <c r="A2313" s="46">
        <v>2309</v>
      </c>
      <c r="B2313" s="47">
        <f t="shared" ca="1" si="36"/>
        <v>0.59475812159177288</v>
      </c>
      <c r="C2313" s="48">
        <f t="array" aca="1" ref="C2313" ca="1">MAX(0,ROUND(Inputs!$B$10*Inputs!$B$11+NORMSINV(B2313)*SQRT(Inputs!$B$10*Inputs!$B$11),0))</f>
        <v>505</v>
      </c>
      <c r="D2313" s="49">
        <f ca="1">C2313*Inputs!$B$12</f>
        <v>60600000</v>
      </c>
    </row>
    <row r="2314" spans="1:4" ht="13.5" customHeight="1" x14ac:dyDescent="0.3">
      <c r="A2314" s="50">
        <v>2310</v>
      </c>
      <c r="B2314" s="51">
        <f t="shared" ca="1" si="36"/>
        <v>2.0814208883701779E-2</v>
      </c>
      <c r="C2314" s="48">
        <f t="array" aca="1" ref="C2314" ca="1">MAX(0,ROUND(Inputs!$B$10*Inputs!$B$11+NORMSINV(B2314)*SQRT(Inputs!$B$10*Inputs!$B$11),0))</f>
        <v>454</v>
      </c>
      <c r="D2314" s="52">
        <f ca="1">C2314*Inputs!$B$12</f>
        <v>54480000</v>
      </c>
    </row>
    <row r="2315" spans="1:4" ht="13.5" customHeight="1" x14ac:dyDescent="0.3">
      <c r="A2315" s="46">
        <v>2311</v>
      </c>
      <c r="B2315" s="47">
        <f t="shared" ca="1" si="36"/>
        <v>0.44882969264368877</v>
      </c>
      <c r="C2315" s="48">
        <f t="array" aca="1" ref="C2315" ca="1">MAX(0,ROUND(Inputs!$B$10*Inputs!$B$11+NORMSINV(B2315)*SQRT(Inputs!$B$10*Inputs!$B$11),0))</f>
        <v>497</v>
      </c>
      <c r="D2315" s="49">
        <f ca="1">C2315*Inputs!$B$12</f>
        <v>59640000</v>
      </c>
    </row>
    <row r="2316" spans="1:4" ht="13.5" customHeight="1" x14ac:dyDescent="0.3">
      <c r="A2316" s="50">
        <v>2312</v>
      </c>
      <c r="B2316" s="51">
        <f t="shared" ca="1" si="36"/>
        <v>0.33352399917598896</v>
      </c>
      <c r="C2316" s="48">
        <f t="array" aca="1" ref="C2316" ca="1">MAX(0,ROUND(Inputs!$B$10*Inputs!$B$11+NORMSINV(B2316)*SQRT(Inputs!$B$10*Inputs!$B$11),0))</f>
        <v>490</v>
      </c>
      <c r="D2316" s="52">
        <f ca="1">C2316*Inputs!$B$12</f>
        <v>58800000</v>
      </c>
    </row>
    <row r="2317" spans="1:4" ht="13.5" customHeight="1" x14ac:dyDescent="0.3">
      <c r="A2317" s="46">
        <v>2313</v>
      </c>
      <c r="B2317" s="47">
        <f t="shared" ca="1" si="36"/>
        <v>0.23996191283550827</v>
      </c>
      <c r="C2317" s="48">
        <f t="array" aca="1" ref="C2317" ca="1">MAX(0,ROUND(Inputs!$B$10*Inputs!$B$11+NORMSINV(B2317)*SQRT(Inputs!$B$10*Inputs!$B$11),0))</f>
        <v>484</v>
      </c>
      <c r="D2317" s="49">
        <f ca="1">C2317*Inputs!$B$12</f>
        <v>58080000</v>
      </c>
    </row>
    <row r="2318" spans="1:4" ht="13.5" customHeight="1" x14ac:dyDescent="0.3">
      <c r="A2318" s="50">
        <v>2314</v>
      </c>
      <c r="B2318" s="51">
        <f t="shared" ca="1" si="36"/>
        <v>0.37021592540728621</v>
      </c>
      <c r="C2318" s="48">
        <f t="array" aca="1" ref="C2318" ca="1">MAX(0,ROUND(Inputs!$B$10*Inputs!$B$11+NORMSINV(B2318)*SQRT(Inputs!$B$10*Inputs!$B$11),0))</f>
        <v>493</v>
      </c>
      <c r="D2318" s="52">
        <f ca="1">C2318*Inputs!$B$12</f>
        <v>59160000</v>
      </c>
    </row>
    <row r="2319" spans="1:4" ht="13.5" customHeight="1" x14ac:dyDescent="0.3">
      <c r="A2319" s="46">
        <v>2315</v>
      </c>
      <c r="B2319" s="47">
        <f t="shared" ca="1" si="36"/>
        <v>0.1086039788242722</v>
      </c>
      <c r="C2319" s="48">
        <f t="array" aca="1" ref="C2319" ca="1">MAX(0,ROUND(Inputs!$B$10*Inputs!$B$11+NORMSINV(B2319)*SQRT(Inputs!$B$10*Inputs!$B$11),0))</f>
        <v>472</v>
      </c>
      <c r="D2319" s="49">
        <f ca="1">C2319*Inputs!$B$12</f>
        <v>56640000</v>
      </c>
    </row>
    <row r="2320" spans="1:4" ht="13.5" customHeight="1" x14ac:dyDescent="0.3">
      <c r="A2320" s="50">
        <v>2316</v>
      </c>
      <c r="B2320" s="51">
        <f t="shared" ca="1" si="36"/>
        <v>0.87320889685640113</v>
      </c>
      <c r="C2320" s="48">
        <f t="array" aca="1" ref="C2320" ca="1">MAX(0,ROUND(Inputs!$B$10*Inputs!$B$11+NORMSINV(B2320)*SQRT(Inputs!$B$10*Inputs!$B$11),0))</f>
        <v>526</v>
      </c>
      <c r="D2320" s="52">
        <f ca="1">C2320*Inputs!$B$12</f>
        <v>63120000</v>
      </c>
    </row>
    <row r="2321" spans="1:4" ht="13.5" customHeight="1" x14ac:dyDescent="0.3">
      <c r="A2321" s="46">
        <v>2317</v>
      </c>
      <c r="B2321" s="47">
        <f t="shared" ca="1" si="36"/>
        <v>5.4457227142582831E-2</v>
      </c>
      <c r="C2321" s="48">
        <f t="array" aca="1" ref="C2321" ca="1">MAX(0,ROUND(Inputs!$B$10*Inputs!$B$11+NORMSINV(B2321)*SQRT(Inputs!$B$10*Inputs!$B$11),0))</f>
        <v>464</v>
      </c>
      <c r="D2321" s="49">
        <f ca="1">C2321*Inputs!$B$12</f>
        <v>55680000</v>
      </c>
    </row>
    <row r="2322" spans="1:4" ht="13.5" customHeight="1" x14ac:dyDescent="0.3">
      <c r="A2322" s="50">
        <v>2318</v>
      </c>
      <c r="B2322" s="51">
        <f t="shared" ca="1" si="36"/>
        <v>0.31877285918830955</v>
      </c>
      <c r="C2322" s="48">
        <f t="array" aca="1" ref="C2322" ca="1">MAX(0,ROUND(Inputs!$B$10*Inputs!$B$11+NORMSINV(B2322)*SQRT(Inputs!$B$10*Inputs!$B$11),0))</f>
        <v>489</v>
      </c>
      <c r="D2322" s="52">
        <f ca="1">C2322*Inputs!$B$12</f>
        <v>58680000</v>
      </c>
    </row>
    <row r="2323" spans="1:4" ht="13.5" customHeight="1" x14ac:dyDescent="0.3">
      <c r="A2323" s="46">
        <v>2319</v>
      </c>
      <c r="B2323" s="47">
        <f t="shared" ca="1" si="36"/>
        <v>0.79503462716919915</v>
      </c>
      <c r="C2323" s="48">
        <f t="array" aca="1" ref="C2323" ca="1">MAX(0,ROUND(Inputs!$B$10*Inputs!$B$11+NORMSINV(B2323)*SQRT(Inputs!$B$10*Inputs!$B$11),0))</f>
        <v>518</v>
      </c>
      <c r="D2323" s="49">
        <f ca="1">C2323*Inputs!$B$12</f>
        <v>62160000</v>
      </c>
    </row>
    <row r="2324" spans="1:4" ht="13.5" customHeight="1" x14ac:dyDescent="0.3">
      <c r="A2324" s="50">
        <v>2320</v>
      </c>
      <c r="B2324" s="51">
        <f t="shared" ca="1" si="36"/>
        <v>0.51495467793542671</v>
      </c>
      <c r="C2324" s="48">
        <f t="array" aca="1" ref="C2324" ca="1">MAX(0,ROUND(Inputs!$B$10*Inputs!$B$11+NORMSINV(B2324)*SQRT(Inputs!$B$10*Inputs!$B$11),0))</f>
        <v>501</v>
      </c>
      <c r="D2324" s="52">
        <f ca="1">C2324*Inputs!$B$12</f>
        <v>60120000</v>
      </c>
    </row>
    <row r="2325" spans="1:4" ht="13.5" customHeight="1" x14ac:dyDescent="0.3">
      <c r="A2325" s="46">
        <v>2321</v>
      </c>
      <c r="B2325" s="47">
        <f t="shared" ca="1" si="36"/>
        <v>0.57689576625126338</v>
      </c>
      <c r="C2325" s="48">
        <f t="array" aca="1" ref="C2325" ca="1">MAX(0,ROUND(Inputs!$B$10*Inputs!$B$11+NORMSINV(B2325)*SQRT(Inputs!$B$10*Inputs!$B$11),0))</f>
        <v>504</v>
      </c>
      <c r="D2325" s="49">
        <f ca="1">C2325*Inputs!$B$12</f>
        <v>60480000</v>
      </c>
    </row>
    <row r="2326" spans="1:4" ht="13.5" customHeight="1" x14ac:dyDescent="0.3">
      <c r="A2326" s="50">
        <v>2322</v>
      </c>
      <c r="B2326" s="51">
        <f t="shared" ca="1" si="36"/>
        <v>0.99129445808219985</v>
      </c>
      <c r="C2326" s="48">
        <f t="array" aca="1" ref="C2326" ca="1">MAX(0,ROUND(Inputs!$B$10*Inputs!$B$11+NORMSINV(B2326)*SQRT(Inputs!$B$10*Inputs!$B$11),0))</f>
        <v>553</v>
      </c>
      <c r="D2326" s="52">
        <f ca="1">C2326*Inputs!$B$12</f>
        <v>66360000</v>
      </c>
    </row>
    <row r="2327" spans="1:4" ht="13.5" customHeight="1" x14ac:dyDescent="0.3">
      <c r="A2327" s="46">
        <v>2323</v>
      </c>
      <c r="B2327" s="47">
        <f t="shared" ca="1" si="36"/>
        <v>0.7046715495189797</v>
      </c>
      <c r="C2327" s="48">
        <f t="array" aca="1" ref="C2327" ca="1">MAX(0,ROUND(Inputs!$B$10*Inputs!$B$11+NORMSINV(B2327)*SQRT(Inputs!$B$10*Inputs!$B$11),0))</f>
        <v>512</v>
      </c>
      <c r="D2327" s="49">
        <f ca="1">C2327*Inputs!$B$12</f>
        <v>61440000</v>
      </c>
    </row>
    <row r="2328" spans="1:4" ht="13.5" customHeight="1" x14ac:dyDescent="0.3">
      <c r="A2328" s="50">
        <v>2324</v>
      </c>
      <c r="B2328" s="51">
        <f t="shared" ca="1" si="36"/>
        <v>0.183233728211873</v>
      </c>
      <c r="C2328" s="48">
        <f t="array" aca="1" ref="C2328" ca="1">MAX(0,ROUND(Inputs!$B$10*Inputs!$B$11+NORMSINV(B2328)*SQRT(Inputs!$B$10*Inputs!$B$11),0))</f>
        <v>480</v>
      </c>
      <c r="D2328" s="52">
        <f ca="1">C2328*Inputs!$B$12</f>
        <v>57600000</v>
      </c>
    </row>
    <row r="2329" spans="1:4" ht="13.5" customHeight="1" x14ac:dyDescent="0.3">
      <c r="A2329" s="46">
        <v>2325</v>
      </c>
      <c r="B2329" s="47">
        <f t="shared" ca="1" si="36"/>
        <v>0.7642558046045036</v>
      </c>
      <c r="C2329" s="48">
        <f t="array" aca="1" ref="C2329" ca="1">MAX(0,ROUND(Inputs!$B$10*Inputs!$B$11+NORMSINV(B2329)*SQRT(Inputs!$B$10*Inputs!$B$11),0))</f>
        <v>516</v>
      </c>
      <c r="D2329" s="49">
        <f ca="1">C2329*Inputs!$B$12</f>
        <v>61920000</v>
      </c>
    </row>
    <row r="2330" spans="1:4" ht="13.5" customHeight="1" x14ac:dyDescent="0.3">
      <c r="A2330" s="50">
        <v>2326</v>
      </c>
      <c r="B2330" s="51">
        <f t="shared" ca="1" si="36"/>
        <v>0.20449937956612618</v>
      </c>
      <c r="C2330" s="48">
        <f t="array" aca="1" ref="C2330" ca="1">MAX(0,ROUND(Inputs!$B$10*Inputs!$B$11+NORMSINV(B2330)*SQRT(Inputs!$B$10*Inputs!$B$11),0))</f>
        <v>482</v>
      </c>
      <c r="D2330" s="52">
        <f ca="1">C2330*Inputs!$B$12</f>
        <v>57840000</v>
      </c>
    </row>
    <row r="2331" spans="1:4" ht="13.5" customHeight="1" x14ac:dyDescent="0.3">
      <c r="A2331" s="46">
        <v>2327</v>
      </c>
      <c r="B2331" s="47">
        <f t="shared" ca="1" si="36"/>
        <v>0.73880611050334732</v>
      </c>
      <c r="C2331" s="48">
        <f t="array" aca="1" ref="C2331" ca="1">MAX(0,ROUND(Inputs!$B$10*Inputs!$B$11+NORMSINV(B2331)*SQRT(Inputs!$B$10*Inputs!$B$11),0))</f>
        <v>514</v>
      </c>
      <c r="D2331" s="49">
        <f ca="1">C2331*Inputs!$B$12</f>
        <v>61680000</v>
      </c>
    </row>
    <row r="2332" spans="1:4" ht="13.5" customHeight="1" x14ac:dyDescent="0.3">
      <c r="A2332" s="50">
        <v>2328</v>
      </c>
      <c r="B2332" s="51">
        <f t="shared" ca="1" si="36"/>
        <v>0.38582374801167729</v>
      </c>
      <c r="C2332" s="48">
        <f t="array" aca="1" ref="C2332" ca="1">MAX(0,ROUND(Inputs!$B$10*Inputs!$B$11+NORMSINV(B2332)*SQRT(Inputs!$B$10*Inputs!$B$11),0))</f>
        <v>494</v>
      </c>
      <c r="D2332" s="52">
        <f ca="1">C2332*Inputs!$B$12</f>
        <v>59280000</v>
      </c>
    </row>
    <row r="2333" spans="1:4" ht="13.5" customHeight="1" x14ac:dyDescent="0.3">
      <c r="A2333" s="46">
        <v>2329</v>
      </c>
      <c r="B2333" s="47">
        <f t="shared" ca="1" si="36"/>
        <v>0.93809321524241807</v>
      </c>
      <c r="C2333" s="48">
        <f t="array" aca="1" ref="C2333" ca="1">MAX(0,ROUND(Inputs!$B$10*Inputs!$B$11+NORMSINV(B2333)*SQRT(Inputs!$B$10*Inputs!$B$11),0))</f>
        <v>534</v>
      </c>
      <c r="D2333" s="49">
        <f ca="1">C2333*Inputs!$B$12</f>
        <v>64080000</v>
      </c>
    </row>
    <row r="2334" spans="1:4" ht="13.5" customHeight="1" x14ac:dyDescent="0.3">
      <c r="A2334" s="50">
        <v>2330</v>
      </c>
      <c r="B2334" s="51">
        <f t="shared" ca="1" si="36"/>
        <v>0.43401122628174937</v>
      </c>
      <c r="C2334" s="48">
        <f t="array" aca="1" ref="C2334" ca="1">MAX(0,ROUND(Inputs!$B$10*Inputs!$B$11+NORMSINV(B2334)*SQRT(Inputs!$B$10*Inputs!$B$11),0))</f>
        <v>496</v>
      </c>
      <c r="D2334" s="52">
        <f ca="1">C2334*Inputs!$B$12</f>
        <v>59520000</v>
      </c>
    </row>
    <row r="2335" spans="1:4" ht="13.5" customHeight="1" x14ac:dyDescent="0.3">
      <c r="A2335" s="46">
        <v>2331</v>
      </c>
      <c r="B2335" s="47">
        <f t="shared" ca="1" si="36"/>
        <v>0.47388355117167247</v>
      </c>
      <c r="C2335" s="48">
        <f t="array" aca="1" ref="C2335" ca="1">MAX(0,ROUND(Inputs!$B$10*Inputs!$B$11+NORMSINV(B2335)*SQRT(Inputs!$B$10*Inputs!$B$11),0))</f>
        <v>499</v>
      </c>
      <c r="D2335" s="49">
        <f ca="1">C2335*Inputs!$B$12</f>
        <v>59880000</v>
      </c>
    </row>
    <row r="2336" spans="1:4" ht="13.5" customHeight="1" x14ac:dyDescent="0.3">
      <c r="A2336" s="50">
        <v>2332</v>
      </c>
      <c r="B2336" s="51">
        <f t="shared" ca="1" si="36"/>
        <v>0.97752974986759533</v>
      </c>
      <c r="C2336" s="48">
        <f t="array" aca="1" ref="C2336" ca="1">MAX(0,ROUND(Inputs!$B$10*Inputs!$B$11+NORMSINV(B2336)*SQRT(Inputs!$B$10*Inputs!$B$11),0))</f>
        <v>545</v>
      </c>
      <c r="D2336" s="52">
        <f ca="1">C2336*Inputs!$B$12</f>
        <v>65400000</v>
      </c>
    </row>
    <row r="2337" spans="1:4" ht="13.5" customHeight="1" x14ac:dyDescent="0.3">
      <c r="A2337" s="46">
        <v>2333</v>
      </c>
      <c r="B2337" s="47">
        <f t="shared" ca="1" si="36"/>
        <v>0.38475666157999067</v>
      </c>
      <c r="C2337" s="48">
        <f t="array" aca="1" ref="C2337" ca="1">MAX(0,ROUND(Inputs!$B$10*Inputs!$B$11+NORMSINV(B2337)*SQRT(Inputs!$B$10*Inputs!$B$11),0))</f>
        <v>493</v>
      </c>
      <c r="D2337" s="49">
        <f ca="1">C2337*Inputs!$B$12</f>
        <v>59160000</v>
      </c>
    </row>
    <row r="2338" spans="1:4" ht="13.5" customHeight="1" x14ac:dyDescent="0.3">
      <c r="A2338" s="50">
        <v>2334</v>
      </c>
      <c r="B2338" s="51">
        <f t="shared" ca="1" si="36"/>
        <v>0.77312113823421169</v>
      </c>
      <c r="C2338" s="48">
        <f t="array" aca="1" ref="C2338" ca="1">MAX(0,ROUND(Inputs!$B$10*Inputs!$B$11+NORMSINV(B2338)*SQRT(Inputs!$B$10*Inputs!$B$11),0))</f>
        <v>517</v>
      </c>
      <c r="D2338" s="52">
        <f ca="1">C2338*Inputs!$B$12</f>
        <v>62040000</v>
      </c>
    </row>
    <row r="2339" spans="1:4" ht="13.5" customHeight="1" x14ac:dyDescent="0.3">
      <c r="A2339" s="46">
        <v>2335</v>
      </c>
      <c r="B2339" s="47">
        <f t="shared" ca="1" si="36"/>
        <v>0.88496374760727947</v>
      </c>
      <c r="C2339" s="48">
        <f t="array" aca="1" ref="C2339" ca="1">MAX(0,ROUND(Inputs!$B$10*Inputs!$B$11+NORMSINV(B2339)*SQRT(Inputs!$B$10*Inputs!$B$11),0))</f>
        <v>527</v>
      </c>
      <c r="D2339" s="49">
        <f ca="1">C2339*Inputs!$B$12</f>
        <v>63240000</v>
      </c>
    </row>
    <row r="2340" spans="1:4" ht="13.5" customHeight="1" x14ac:dyDescent="0.3">
      <c r="A2340" s="50">
        <v>2336</v>
      </c>
      <c r="B2340" s="51">
        <f t="shared" ca="1" si="36"/>
        <v>0.86434391779367747</v>
      </c>
      <c r="C2340" s="48">
        <f t="array" aca="1" ref="C2340" ca="1">MAX(0,ROUND(Inputs!$B$10*Inputs!$B$11+NORMSINV(B2340)*SQRT(Inputs!$B$10*Inputs!$B$11),0))</f>
        <v>525</v>
      </c>
      <c r="D2340" s="52">
        <f ca="1">C2340*Inputs!$B$12</f>
        <v>63000000</v>
      </c>
    </row>
    <row r="2341" spans="1:4" ht="13.5" customHeight="1" x14ac:dyDescent="0.3">
      <c r="A2341" s="46">
        <v>2337</v>
      </c>
      <c r="B2341" s="47">
        <f t="shared" ca="1" si="36"/>
        <v>0.25841450456544501</v>
      </c>
      <c r="C2341" s="48">
        <f t="array" aca="1" ref="C2341" ca="1">MAX(0,ROUND(Inputs!$B$10*Inputs!$B$11+NORMSINV(B2341)*SQRT(Inputs!$B$10*Inputs!$B$11),0))</f>
        <v>486</v>
      </c>
      <c r="D2341" s="49">
        <f ca="1">C2341*Inputs!$B$12</f>
        <v>58320000</v>
      </c>
    </row>
    <row r="2342" spans="1:4" ht="13.5" customHeight="1" x14ac:dyDescent="0.3">
      <c r="A2342" s="50">
        <v>2338</v>
      </c>
      <c r="B2342" s="51">
        <f t="shared" ca="1" si="36"/>
        <v>0.67667034670485482</v>
      </c>
      <c r="C2342" s="48">
        <f t="array" aca="1" ref="C2342" ca="1">MAX(0,ROUND(Inputs!$B$10*Inputs!$B$11+NORMSINV(B2342)*SQRT(Inputs!$B$10*Inputs!$B$11),0))</f>
        <v>510</v>
      </c>
      <c r="D2342" s="52">
        <f ca="1">C2342*Inputs!$B$12</f>
        <v>61200000</v>
      </c>
    </row>
    <row r="2343" spans="1:4" ht="13.5" customHeight="1" x14ac:dyDescent="0.3">
      <c r="A2343" s="46">
        <v>2339</v>
      </c>
      <c r="B2343" s="47">
        <f t="shared" ca="1" si="36"/>
        <v>0.19164113164451435</v>
      </c>
      <c r="C2343" s="48">
        <f t="array" aca="1" ref="C2343" ca="1">MAX(0,ROUND(Inputs!$B$10*Inputs!$B$11+NORMSINV(B2343)*SQRT(Inputs!$B$10*Inputs!$B$11),0))</f>
        <v>481</v>
      </c>
      <c r="D2343" s="49">
        <f ca="1">C2343*Inputs!$B$12</f>
        <v>57720000</v>
      </c>
    </row>
    <row r="2344" spans="1:4" ht="13.5" customHeight="1" x14ac:dyDescent="0.3">
      <c r="A2344" s="50">
        <v>2340</v>
      </c>
      <c r="B2344" s="51">
        <f t="shared" ca="1" si="36"/>
        <v>0.46436441985679255</v>
      </c>
      <c r="C2344" s="48">
        <f t="array" aca="1" ref="C2344" ca="1">MAX(0,ROUND(Inputs!$B$10*Inputs!$B$11+NORMSINV(B2344)*SQRT(Inputs!$B$10*Inputs!$B$11),0))</f>
        <v>498</v>
      </c>
      <c r="D2344" s="52">
        <f ca="1">C2344*Inputs!$B$12</f>
        <v>59760000</v>
      </c>
    </row>
    <row r="2345" spans="1:4" ht="13.5" customHeight="1" x14ac:dyDescent="0.3">
      <c r="A2345" s="46">
        <v>2341</v>
      </c>
      <c r="B2345" s="47">
        <f t="shared" ca="1" si="36"/>
        <v>3.7056913515580159E-2</v>
      </c>
      <c r="C2345" s="48">
        <f t="array" aca="1" ref="C2345" ca="1">MAX(0,ROUND(Inputs!$B$10*Inputs!$B$11+NORMSINV(B2345)*SQRT(Inputs!$B$10*Inputs!$B$11),0))</f>
        <v>460</v>
      </c>
      <c r="D2345" s="49">
        <f ca="1">C2345*Inputs!$B$12</f>
        <v>55200000</v>
      </c>
    </row>
    <row r="2346" spans="1:4" ht="13.5" customHeight="1" x14ac:dyDescent="0.3">
      <c r="A2346" s="50">
        <v>2342</v>
      </c>
      <c r="B2346" s="51">
        <f t="shared" ca="1" si="36"/>
        <v>0.86166475121752206</v>
      </c>
      <c r="C2346" s="48">
        <f t="array" aca="1" ref="C2346" ca="1">MAX(0,ROUND(Inputs!$B$10*Inputs!$B$11+NORMSINV(B2346)*SQRT(Inputs!$B$10*Inputs!$B$11),0))</f>
        <v>524</v>
      </c>
      <c r="D2346" s="52">
        <f ca="1">C2346*Inputs!$B$12</f>
        <v>62880000</v>
      </c>
    </row>
    <row r="2347" spans="1:4" ht="13.5" customHeight="1" x14ac:dyDescent="0.3">
      <c r="A2347" s="46">
        <v>2343</v>
      </c>
      <c r="B2347" s="47">
        <f t="shared" ca="1" si="36"/>
        <v>0.10285155643844057</v>
      </c>
      <c r="C2347" s="48">
        <f t="array" aca="1" ref="C2347" ca="1">MAX(0,ROUND(Inputs!$B$10*Inputs!$B$11+NORMSINV(B2347)*SQRT(Inputs!$B$10*Inputs!$B$11),0))</f>
        <v>472</v>
      </c>
      <c r="D2347" s="49">
        <f ca="1">C2347*Inputs!$B$12</f>
        <v>56640000</v>
      </c>
    </row>
    <row r="2348" spans="1:4" ht="13.5" customHeight="1" x14ac:dyDescent="0.3">
      <c r="A2348" s="50">
        <v>2344</v>
      </c>
      <c r="B2348" s="51">
        <f t="shared" ca="1" si="36"/>
        <v>0.67795033081329803</v>
      </c>
      <c r="C2348" s="48">
        <f t="array" aca="1" ref="C2348" ca="1">MAX(0,ROUND(Inputs!$B$10*Inputs!$B$11+NORMSINV(B2348)*SQRT(Inputs!$B$10*Inputs!$B$11),0))</f>
        <v>510</v>
      </c>
      <c r="D2348" s="52">
        <f ca="1">C2348*Inputs!$B$12</f>
        <v>61200000</v>
      </c>
    </row>
    <row r="2349" spans="1:4" ht="13.5" customHeight="1" x14ac:dyDescent="0.3">
      <c r="A2349" s="46">
        <v>2345</v>
      </c>
      <c r="B2349" s="47">
        <f t="shared" ca="1" si="36"/>
        <v>0.729634064988266</v>
      </c>
      <c r="C2349" s="48">
        <f t="array" aca="1" ref="C2349" ca="1">MAX(0,ROUND(Inputs!$B$10*Inputs!$B$11+NORMSINV(B2349)*SQRT(Inputs!$B$10*Inputs!$B$11),0))</f>
        <v>514</v>
      </c>
      <c r="D2349" s="49">
        <f ca="1">C2349*Inputs!$B$12</f>
        <v>61680000</v>
      </c>
    </row>
    <row r="2350" spans="1:4" ht="13.5" customHeight="1" x14ac:dyDescent="0.3">
      <c r="A2350" s="50">
        <v>2346</v>
      </c>
      <c r="B2350" s="51">
        <f t="shared" ca="1" si="36"/>
        <v>0.33254884597261525</v>
      </c>
      <c r="C2350" s="48">
        <f t="array" aca="1" ref="C2350" ca="1">MAX(0,ROUND(Inputs!$B$10*Inputs!$B$11+NORMSINV(B2350)*SQRT(Inputs!$B$10*Inputs!$B$11),0))</f>
        <v>490</v>
      </c>
      <c r="D2350" s="52">
        <f ca="1">C2350*Inputs!$B$12</f>
        <v>58800000</v>
      </c>
    </row>
    <row r="2351" spans="1:4" ht="13.5" customHeight="1" x14ac:dyDescent="0.3">
      <c r="A2351" s="46">
        <v>2347</v>
      </c>
      <c r="B2351" s="47">
        <f t="shared" ca="1" si="36"/>
        <v>0.37672223757348344</v>
      </c>
      <c r="C2351" s="48">
        <f t="array" aca="1" ref="C2351" ca="1">MAX(0,ROUND(Inputs!$B$10*Inputs!$B$11+NORMSINV(B2351)*SQRT(Inputs!$B$10*Inputs!$B$11),0))</f>
        <v>493</v>
      </c>
      <c r="D2351" s="49">
        <f ca="1">C2351*Inputs!$B$12</f>
        <v>59160000</v>
      </c>
    </row>
    <row r="2352" spans="1:4" ht="13.5" customHeight="1" x14ac:dyDescent="0.3">
      <c r="A2352" s="50">
        <v>2348</v>
      </c>
      <c r="B2352" s="51">
        <f t="shared" ca="1" si="36"/>
        <v>0.4808981265615615</v>
      </c>
      <c r="C2352" s="48">
        <f t="array" aca="1" ref="C2352" ca="1">MAX(0,ROUND(Inputs!$B$10*Inputs!$B$11+NORMSINV(B2352)*SQRT(Inputs!$B$10*Inputs!$B$11),0))</f>
        <v>499</v>
      </c>
      <c r="D2352" s="52">
        <f ca="1">C2352*Inputs!$B$12</f>
        <v>59880000</v>
      </c>
    </row>
    <row r="2353" spans="1:4" ht="13.5" customHeight="1" x14ac:dyDescent="0.3">
      <c r="A2353" s="46">
        <v>2349</v>
      </c>
      <c r="B2353" s="47">
        <f t="shared" ca="1" si="36"/>
        <v>0.50078084879104034</v>
      </c>
      <c r="C2353" s="48">
        <f t="array" aca="1" ref="C2353" ca="1">MAX(0,ROUND(Inputs!$B$10*Inputs!$B$11+NORMSINV(B2353)*SQRT(Inputs!$B$10*Inputs!$B$11),0))</f>
        <v>500</v>
      </c>
      <c r="D2353" s="49">
        <f ca="1">C2353*Inputs!$B$12</f>
        <v>60000000</v>
      </c>
    </row>
    <row r="2354" spans="1:4" ht="13.5" customHeight="1" x14ac:dyDescent="0.3">
      <c r="A2354" s="50">
        <v>2350</v>
      </c>
      <c r="B2354" s="51">
        <f t="shared" ca="1" si="36"/>
        <v>0.51298434742000409</v>
      </c>
      <c r="C2354" s="48">
        <f t="array" aca="1" ref="C2354" ca="1">MAX(0,ROUND(Inputs!$B$10*Inputs!$B$11+NORMSINV(B2354)*SQRT(Inputs!$B$10*Inputs!$B$11),0))</f>
        <v>501</v>
      </c>
      <c r="D2354" s="52">
        <f ca="1">C2354*Inputs!$B$12</f>
        <v>60120000</v>
      </c>
    </row>
    <row r="2355" spans="1:4" ht="13.5" customHeight="1" x14ac:dyDescent="0.3">
      <c r="A2355" s="46">
        <v>2351</v>
      </c>
      <c r="B2355" s="47">
        <f t="shared" ca="1" si="36"/>
        <v>0.4338071996191859</v>
      </c>
      <c r="C2355" s="48">
        <f t="array" aca="1" ref="C2355" ca="1">MAX(0,ROUND(Inputs!$B$10*Inputs!$B$11+NORMSINV(B2355)*SQRT(Inputs!$B$10*Inputs!$B$11),0))</f>
        <v>496</v>
      </c>
      <c r="D2355" s="49">
        <f ca="1">C2355*Inputs!$B$12</f>
        <v>59520000</v>
      </c>
    </row>
    <row r="2356" spans="1:4" ht="13.5" customHeight="1" x14ac:dyDescent="0.3">
      <c r="A2356" s="50">
        <v>2352</v>
      </c>
      <c r="B2356" s="51">
        <f t="shared" ca="1" si="36"/>
        <v>0.14613303813372758</v>
      </c>
      <c r="C2356" s="48">
        <f t="array" aca="1" ref="C2356" ca="1">MAX(0,ROUND(Inputs!$B$10*Inputs!$B$11+NORMSINV(B2356)*SQRT(Inputs!$B$10*Inputs!$B$11),0))</f>
        <v>476</v>
      </c>
      <c r="D2356" s="52">
        <f ca="1">C2356*Inputs!$B$12</f>
        <v>57120000</v>
      </c>
    </row>
    <row r="2357" spans="1:4" ht="13.5" customHeight="1" x14ac:dyDescent="0.3">
      <c r="A2357" s="46">
        <v>2353</v>
      </c>
      <c r="B2357" s="47">
        <f t="shared" ca="1" si="36"/>
        <v>0.51747817246949479</v>
      </c>
      <c r="C2357" s="48">
        <f t="array" aca="1" ref="C2357" ca="1">MAX(0,ROUND(Inputs!$B$10*Inputs!$B$11+NORMSINV(B2357)*SQRT(Inputs!$B$10*Inputs!$B$11),0))</f>
        <v>501</v>
      </c>
      <c r="D2357" s="49">
        <f ca="1">C2357*Inputs!$B$12</f>
        <v>60120000</v>
      </c>
    </row>
    <row r="2358" spans="1:4" ht="13.5" customHeight="1" x14ac:dyDescent="0.3">
      <c r="A2358" s="50">
        <v>2354</v>
      </c>
      <c r="B2358" s="51">
        <f t="shared" ca="1" si="36"/>
        <v>8.9085053922719371E-2</v>
      </c>
      <c r="C2358" s="48">
        <f t="array" aca="1" ref="C2358" ca="1">MAX(0,ROUND(Inputs!$B$10*Inputs!$B$11+NORMSINV(B2358)*SQRT(Inputs!$B$10*Inputs!$B$11),0))</f>
        <v>470</v>
      </c>
      <c r="D2358" s="52">
        <f ca="1">C2358*Inputs!$B$12</f>
        <v>56400000</v>
      </c>
    </row>
    <row r="2359" spans="1:4" ht="13.5" customHeight="1" x14ac:dyDescent="0.3">
      <c r="A2359" s="46">
        <v>2355</v>
      </c>
      <c r="B2359" s="47">
        <f t="shared" ca="1" si="36"/>
        <v>0.2666990001878411</v>
      </c>
      <c r="C2359" s="48">
        <f t="array" aca="1" ref="C2359" ca="1">MAX(0,ROUND(Inputs!$B$10*Inputs!$B$11+NORMSINV(B2359)*SQRT(Inputs!$B$10*Inputs!$B$11),0))</f>
        <v>486</v>
      </c>
      <c r="D2359" s="49">
        <f ca="1">C2359*Inputs!$B$12</f>
        <v>58320000</v>
      </c>
    </row>
    <row r="2360" spans="1:4" ht="13.5" customHeight="1" x14ac:dyDescent="0.3">
      <c r="A2360" s="50">
        <v>2356</v>
      </c>
      <c r="B2360" s="51">
        <f t="shared" ca="1" si="36"/>
        <v>0.47916329721274731</v>
      </c>
      <c r="C2360" s="48">
        <f t="array" aca="1" ref="C2360" ca="1">MAX(0,ROUND(Inputs!$B$10*Inputs!$B$11+NORMSINV(B2360)*SQRT(Inputs!$B$10*Inputs!$B$11),0))</f>
        <v>499</v>
      </c>
      <c r="D2360" s="52">
        <f ca="1">C2360*Inputs!$B$12</f>
        <v>59880000</v>
      </c>
    </row>
    <row r="2361" spans="1:4" ht="13.5" customHeight="1" x14ac:dyDescent="0.3">
      <c r="A2361" s="46">
        <v>2357</v>
      </c>
      <c r="B2361" s="47">
        <f t="shared" ca="1" si="36"/>
        <v>0.68631582743660746</v>
      </c>
      <c r="C2361" s="48">
        <f t="array" aca="1" ref="C2361" ca="1">MAX(0,ROUND(Inputs!$B$10*Inputs!$B$11+NORMSINV(B2361)*SQRT(Inputs!$B$10*Inputs!$B$11),0))</f>
        <v>511</v>
      </c>
      <c r="D2361" s="49">
        <f ca="1">C2361*Inputs!$B$12</f>
        <v>61320000</v>
      </c>
    </row>
    <row r="2362" spans="1:4" ht="13.5" customHeight="1" x14ac:dyDescent="0.3">
      <c r="A2362" s="50">
        <v>2358</v>
      </c>
      <c r="B2362" s="51">
        <f t="shared" ca="1" si="36"/>
        <v>0.3059353475779828</v>
      </c>
      <c r="C2362" s="48">
        <f t="array" aca="1" ref="C2362" ca="1">MAX(0,ROUND(Inputs!$B$10*Inputs!$B$11+NORMSINV(B2362)*SQRT(Inputs!$B$10*Inputs!$B$11),0))</f>
        <v>489</v>
      </c>
      <c r="D2362" s="52">
        <f ca="1">C2362*Inputs!$B$12</f>
        <v>58680000</v>
      </c>
    </row>
    <row r="2363" spans="1:4" ht="13.5" customHeight="1" x14ac:dyDescent="0.3">
      <c r="A2363" s="46">
        <v>2359</v>
      </c>
      <c r="B2363" s="47">
        <f t="shared" ca="1" si="36"/>
        <v>0.23621052029974798</v>
      </c>
      <c r="C2363" s="48">
        <f t="array" aca="1" ref="C2363" ca="1">MAX(0,ROUND(Inputs!$B$10*Inputs!$B$11+NORMSINV(B2363)*SQRT(Inputs!$B$10*Inputs!$B$11),0))</f>
        <v>484</v>
      </c>
      <c r="D2363" s="49">
        <f ca="1">C2363*Inputs!$B$12</f>
        <v>58080000</v>
      </c>
    </row>
    <row r="2364" spans="1:4" ht="13.5" customHeight="1" x14ac:dyDescent="0.3">
      <c r="A2364" s="50">
        <v>2360</v>
      </c>
      <c r="B2364" s="51">
        <f t="shared" ca="1" si="36"/>
        <v>0.40176502715697826</v>
      </c>
      <c r="C2364" s="48">
        <f t="array" aca="1" ref="C2364" ca="1">MAX(0,ROUND(Inputs!$B$10*Inputs!$B$11+NORMSINV(B2364)*SQRT(Inputs!$B$10*Inputs!$B$11),0))</f>
        <v>494</v>
      </c>
      <c r="D2364" s="52">
        <f ca="1">C2364*Inputs!$B$12</f>
        <v>59280000</v>
      </c>
    </row>
    <row r="2365" spans="1:4" ht="13.5" customHeight="1" x14ac:dyDescent="0.3">
      <c r="A2365" s="46">
        <v>2361</v>
      </c>
      <c r="B2365" s="47">
        <f t="shared" ca="1" si="36"/>
        <v>0.54732099929297695</v>
      </c>
      <c r="C2365" s="48">
        <f t="array" aca="1" ref="C2365" ca="1">MAX(0,ROUND(Inputs!$B$10*Inputs!$B$11+NORMSINV(B2365)*SQRT(Inputs!$B$10*Inputs!$B$11),0))</f>
        <v>503</v>
      </c>
      <c r="D2365" s="49">
        <f ca="1">C2365*Inputs!$B$12</f>
        <v>60360000</v>
      </c>
    </row>
    <row r="2366" spans="1:4" ht="13.5" customHeight="1" x14ac:dyDescent="0.3">
      <c r="A2366" s="50">
        <v>2362</v>
      </c>
      <c r="B2366" s="51">
        <f t="shared" ca="1" si="36"/>
        <v>0.92472566740573858</v>
      </c>
      <c r="C2366" s="48">
        <f t="array" aca="1" ref="C2366" ca="1">MAX(0,ROUND(Inputs!$B$10*Inputs!$B$11+NORMSINV(B2366)*SQRT(Inputs!$B$10*Inputs!$B$11),0))</f>
        <v>532</v>
      </c>
      <c r="D2366" s="52">
        <f ca="1">C2366*Inputs!$B$12</f>
        <v>63840000</v>
      </c>
    </row>
    <row r="2367" spans="1:4" ht="13.5" customHeight="1" x14ac:dyDescent="0.3">
      <c r="A2367" s="46">
        <v>2363</v>
      </c>
      <c r="B2367" s="47">
        <f t="shared" ca="1" si="36"/>
        <v>0.37007582262050842</v>
      </c>
      <c r="C2367" s="48">
        <f t="array" aca="1" ref="C2367" ca="1">MAX(0,ROUND(Inputs!$B$10*Inputs!$B$11+NORMSINV(B2367)*SQRT(Inputs!$B$10*Inputs!$B$11),0))</f>
        <v>493</v>
      </c>
      <c r="D2367" s="49">
        <f ca="1">C2367*Inputs!$B$12</f>
        <v>59160000</v>
      </c>
    </row>
    <row r="2368" spans="1:4" ht="13.5" customHeight="1" x14ac:dyDescent="0.3">
      <c r="A2368" s="50">
        <v>2364</v>
      </c>
      <c r="B2368" s="51">
        <f t="shared" ca="1" si="36"/>
        <v>2.6422671480108573E-3</v>
      </c>
      <c r="C2368" s="48">
        <f t="array" aca="1" ref="C2368" ca="1">MAX(0,ROUND(Inputs!$B$10*Inputs!$B$11+NORMSINV(B2368)*SQRT(Inputs!$B$10*Inputs!$B$11),0))</f>
        <v>438</v>
      </c>
      <c r="D2368" s="52">
        <f ca="1">C2368*Inputs!$B$12</f>
        <v>52560000</v>
      </c>
    </row>
    <row r="2369" spans="1:4" ht="13.5" customHeight="1" x14ac:dyDescent="0.3">
      <c r="A2369" s="46">
        <v>2365</v>
      </c>
      <c r="B2369" s="47">
        <f t="shared" ca="1" si="36"/>
        <v>0.32492972208220283</v>
      </c>
      <c r="C2369" s="48">
        <f t="array" aca="1" ref="C2369" ca="1">MAX(0,ROUND(Inputs!$B$10*Inputs!$B$11+NORMSINV(B2369)*SQRT(Inputs!$B$10*Inputs!$B$11),0))</f>
        <v>490</v>
      </c>
      <c r="D2369" s="49">
        <f ca="1">C2369*Inputs!$B$12</f>
        <v>58800000</v>
      </c>
    </row>
    <row r="2370" spans="1:4" ht="13.5" customHeight="1" x14ac:dyDescent="0.3">
      <c r="A2370" s="50">
        <v>2366</v>
      </c>
      <c r="B2370" s="51">
        <f t="shared" ca="1" si="36"/>
        <v>0.99686499387702787</v>
      </c>
      <c r="C2370" s="48">
        <f t="array" aca="1" ref="C2370" ca="1">MAX(0,ROUND(Inputs!$B$10*Inputs!$B$11+NORMSINV(B2370)*SQRT(Inputs!$B$10*Inputs!$B$11),0))</f>
        <v>561</v>
      </c>
      <c r="D2370" s="52">
        <f ca="1">C2370*Inputs!$B$12</f>
        <v>67320000</v>
      </c>
    </row>
    <row r="2371" spans="1:4" ht="13.5" customHeight="1" x14ac:dyDescent="0.3">
      <c r="A2371" s="46">
        <v>2367</v>
      </c>
      <c r="B2371" s="47">
        <f t="shared" ca="1" si="36"/>
        <v>0.76947901397920659</v>
      </c>
      <c r="C2371" s="48">
        <f t="array" aca="1" ref="C2371" ca="1">MAX(0,ROUND(Inputs!$B$10*Inputs!$B$11+NORMSINV(B2371)*SQRT(Inputs!$B$10*Inputs!$B$11),0))</f>
        <v>516</v>
      </c>
      <c r="D2371" s="49">
        <f ca="1">C2371*Inputs!$B$12</f>
        <v>61920000</v>
      </c>
    </row>
    <row r="2372" spans="1:4" ht="13.5" customHeight="1" x14ac:dyDescent="0.3">
      <c r="A2372" s="50">
        <v>2368</v>
      </c>
      <c r="B2372" s="51">
        <f t="shared" ca="1" si="36"/>
        <v>0.41475238268332482</v>
      </c>
      <c r="C2372" s="48">
        <f t="array" aca="1" ref="C2372" ca="1">MAX(0,ROUND(Inputs!$B$10*Inputs!$B$11+NORMSINV(B2372)*SQRT(Inputs!$B$10*Inputs!$B$11),0))</f>
        <v>495</v>
      </c>
      <c r="D2372" s="52">
        <f ca="1">C2372*Inputs!$B$12</f>
        <v>59400000</v>
      </c>
    </row>
    <row r="2373" spans="1:4" ht="13.5" customHeight="1" x14ac:dyDescent="0.3">
      <c r="A2373" s="46">
        <v>2369</v>
      </c>
      <c r="B2373" s="47">
        <f t="shared" ref="B2373:B2436" ca="1" si="37">RAND()</f>
        <v>0.35502011485665641</v>
      </c>
      <c r="C2373" s="48">
        <f t="array" aca="1" ref="C2373" ca="1">MAX(0,ROUND(Inputs!$B$10*Inputs!$B$11+NORMSINV(B2373)*SQRT(Inputs!$B$10*Inputs!$B$11),0))</f>
        <v>492</v>
      </c>
      <c r="D2373" s="49">
        <f ca="1">C2373*Inputs!$B$12</f>
        <v>59040000</v>
      </c>
    </row>
    <row r="2374" spans="1:4" ht="13.5" customHeight="1" x14ac:dyDescent="0.3">
      <c r="A2374" s="50">
        <v>2370</v>
      </c>
      <c r="B2374" s="51">
        <f t="shared" ca="1" si="37"/>
        <v>9.2373553389396013E-2</v>
      </c>
      <c r="C2374" s="48">
        <f t="array" aca="1" ref="C2374" ca="1">MAX(0,ROUND(Inputs!$B$10*Inputs!$B$11+NORMSINV(B2374)*SQRT(Inputs!$B$10*Inputs!$B$11),0))</f>
        <v>470</v>
      </c>
      <c r="D2374" s="52">
        <f ca="1">C2374*Inputs!$B$12</f>
        <v>56400000</v>
      </c>
    </row>
    <row r="2375" spans="1:4" ht="13.5" customHeight="1" x14ac:dyDescent="0.3">
      <c r="A2375" s="46">
        <v>2371</v>
      </c>
      <c r="B2375" s="47">
        <f t="shared" ca="1" si="37"/>
        <v>0.39031727498179614</v>
      </c>
      <c r="C2375" s="48">
        <f t="array" aca="1" ref="C2375" ca="1">MAX(0,ROUND(Inputs!$B$10*Inputs!$B$11+NORMSINV(B2375)*SQRT(Inputs!$B$10*Inputs!$B$11),0))</f>
        <v>494</v>
      </c>
      <c r="D2375" s="49">
        <f ca="1">C2375*Inputs!$B$12</f>
        <v>59280000</v>
      </c>
    </row>
    <row r="2376" spans="1:4" ht="13.5" customHeight="1" x14ac:dyDescent="0.3">
      <c r="A2376" s="50">
        <v>2372</v>
      </c>
      <c r="B2376" s="51">
        <f t="shared" ca="1" si="37"/>
        <v>0.79856955465387769</v>
      </c>
      <c r="C2376" s="48">
        <f t="array" aca="1" ref="C2376" ca="1">MAX(0,ROUND(Inputs!$B$10*Inputs!$B$11+NORMSINV(B2376)*SQRT(Inputs!$B$10*Inputs!$B$11),0))</f>
        <v>519</v>
      </c>
      <c r="D2376" s="52">
        <f ca="1">C2376*Inputs!$B$12</f>
        <v>62280000</v>
      </c>
    </row>
    <row r="2377" spans="1:4" ht="13.5" customHeight="1" x14ac:dyDescent="0.3">
      <c r="A2377" s="46">
        <v>2373</v>
      </c>
      <c r="B2377" s="47">
        <f t="shared" ca="1" si="37"/>
        <v>0.16198324531458708</v>
      </c>
      <c r="C2377" s="48">
        <f t="array" aca="1" ref="C2377" ca="1">MAX(0,ROUND(Inputs!$B$10*Inputs!$B$11+NORMSINV(B2377)*SQRT(Inputs!$B$10*Inputs!$B$11),0))</f>
        <v>478</v>
      </c>
      <c r="D2377" s="49">
        <f ca="1">C2377*Inputs!$B$12</f>
        <v>57360000</v>
      </c>
    </row>
    <row r="2378" spans="1:4" ht="13.5" customHeight="1" x14ac:dyDescent="0.3">
      <c r="A2378" s="50">
        <v>2374</v>
      </c>
      <c r="B2378" s="51">
        <f t="shared" ca="1" si="37"/>
        <v>0.37763797772483365</v>
      </c>
      <c r="C2378" s="48">
        <f t="array" aca="1" ref="C2378" ca="1">MAX(0,ROUND(Inputs!$B$10*Inputs!$B$11+NORMSINV(B2378)*SQRT(Inputs!$B$10*Inputs!$B$11),0))</f>
        <v>493</v>
      </c>
      <c r="D2378" s="52">
        <f ca="1">C2378*Inputs!$B$12</f>
        <v>59160000</v>
      </c>
    </row>
    <row r="2379" spans="1:4" ht="13.5" customHeight="1" x14ac:dyDescent="0.3">
      <c r="A2379" s="46">
        <v>2375</v>
      </c>
      <c r="B2379" s="47">
        <f t="shared" ca="1" si="37"/>
        <v>0.33900412349363851</v>
      </c>
      <c r="C2379" s="48">
        <f t="array" aca="1" ref="C2379" ca="1">MAX(0,ROUND(Inputs!$B$10*Inputs!$B$11+NORMSINV(B2379)*SQRT(Inputs!$B$10*Inputs!$B$11),0))</f>
        <v>491</v>
      </c>
      <c r="D2379" s="49">
        <f ca="1">C2379*Inputs!$B$12</f>
        <v>58920000</v>
      </c>
    </row>
    <row r="2380" spans="1:4" ht="13.5" customHeight="1" x14ac:dyDescent="0.3">
      <c r="A2380" s="50">
        <v>2376</v>
      </c>
      <c r="B2380" s="51">
        <f t="shared" ca="1" si="37"/>
        <v>0.40394419428347483</v>
      </c>
      <c r="C2380" s="48">
        <f t="array" aca="1" ref="C2380" ca="1">MAX(0,ROUND(Inputs!$B$10*Inputs!$B$11+NORMSINV(B2380)*SQRT(Inputs!$B$10*Inputs!$B$11),0))</f>
        <v>495</v>
      </c>
      <c r="D2380" s="52">
        <f ca="1">C2380*Inputs!$B$12</f>
        <v>59400000</v>
      </c>
    </row>
    <row r="2381" spans="1:4" ht="13.5" customHeight="1" x14ac:dyDescent="0.3">
      <c r="A2381" s="46">
        <v>2377</v>
      </c>
      <c r="B2381" s="47">
        <f t="shared" ca="1" si="37"/>
        <v>7.1057704843314307E-2</v>
      </c>
      <c r="C2381" s="48">
        <f t="array" aca="1" ref="C2381" ca="1">MAX(0,ROUND(Inputs!$B$10*Inputs!$B$11+NORMSINV(B2381)*SQRT(Inputs!$B$10*Inputs!$B$11),0))</f>
        <v>467</v>
      </c>
      <c r="D2381" s="49">
        <f ca="1">C2381*Inputs!$B$12</f>
        <v>56040000</v>
      </c>
    </row>
    <row r="2382" spans="1:4" ht="13.5" customHeight="1" x14ac:dyDescent="0.3">
      <c r="A2382" s="50">
        <v>2378</v>
      </c>
      <c r="B2382" s="51">
        <f t="shared" ca="1" si="37"/>
        <v>0.99684785881952098</v>
      </c>
      <c r="C2382" s="48">
        <f t="array" aca="1" ref="C2382" ca="1">MAX(0,ROUND(Inputs!$B$10*Inputs!$B$11+NORMSINV(B2382)*SQRT(Inputs!$B$10*Inputs!$B$11),0))</f>
        <v>561</v>
      </c>
      <c r="D2382" s="52">
        <f ca="1">C2382*Inputs!$B$12</f>
        <v>67320000</v>
      </c>
    </row>
    <row r="2383" spans="1:4" ht="13.5" customHeight="1" x14ac:dyDescent="0.3">
      <c r="A2383" s="46">
        <v>2379</v>
      </c>
      <c r="B2383" s="47">
        <f t="shared" ca="1" si="37"/>
        <v>0.66550824069878833</v>
      </c>
      <c r="C2383" s="48">
        <f t="array" aca="1" ref="C2383" ca="1">MAX(0,ROUND(Inputs!$B$10*Inputs!$B$11+NORMSINV(B2383)*SQRT(Inputs!$B$10*Inputs!$B$11),0))</f>
        <v>510</v>
      </c>
      <c r="D2383" s="49">
        <f ca="1">C2383*Inputs!$B$12</f>
        <v>61200000</v>
      </c>
    </row>
    <row r="2384" spans="1:4" ht="13.5" customHeight="1" x14ac:dyDescent="0.3">
      <c r="A2384" s="50">
        <v>2380</v>
      </c>
      <c r="B2384" s="51">
        <f t="shared" ca="1" si="37"/>
        <v>0.55836611064496744</v>
      </c>
      <c r="C2384" s="48">
        <f t="array" aca="1" ref="C2384" ca="1">MAX(0,ROUND(Inputs!$B$10*Inputs!$B$11+NORMSINV(B2384)*SQRT(Inputs!$B$10*Inputs!$B$11),0))</f>
        <v>503</v>
      </c>
      <c r="D2384" s="52">
        <f ca="1">C2384*Inputs!$B$12</f>
        <v>60360000</v>
      </c>
    </row>
    <row r="2385" spans="1:4" ht="13.5" customHeight="1" x14ac:dyDescent="0.3">
      <c r="A2385" s="46">
        <v>2381</v>
      </c>
      <c r="B2385" s="47">
        <f t="shared" ca="1" si="37"/>
        <v>0.31201434714434451</v>
      </c>
      <c r="C2385" s="48">
        <f t="array" aca="1" ref="C2385" ca="1">MAX(0,ROUND(Inputs!$B$10*Inputs!$B$11+NORMSINV(B2385)*SQRT(Inputs!$B$10*Inputs!$B$11),0))</f>
        <v>489</v>
      </c>
      <c r="D2385" s="49">
        <f ca="1">C2385*Inputs!$B$12</f>
        <v>58680000</v>
      </c>
    </row>
    <row r="2386" spans="1:4" ht="13.5" customHeight="1" x14ac:dyDescent="0.3">
      <c r="A2386" s="50">
        <v>2382</v>
      </c>
      <c r="B2386" s="51">
        <f t="shared" ca="1" si="37"/>
        <v>0.59368651653771698</v>
      </c>
      <c r="C2386" s="48">
        <f t="array" aca="1" ref="C2386" ca="1">MAX(0,ROUND(Inputs!$B$10*Inputs!$B$11+NORMSINV(B2386)*SQRT(Inputs!$B$10*Inputs!$B$11),0))</f>
        <v>505</v>
      </c>
      <c r="D2386" s="52">
        <f ca="1">C2386*Inputs!$B$12</f>
        <v>60600000</v>
      </c>
    </row>
    <row r="2387" spans="1:4" ht="13.5" customHeight="1" x14ac:dyDescent="0.3">
      <c r="A2387" s="46">
        <v>2383</v>
      </c>
      <c r="B2387" s="47">
        <f t="shared" ca="1" si="37"/>
        <v>0.6534675942688648</v>
      </c>
      <c r="C2387" s="48">
        <f t="array" aca="1" ref="C2387" ca="1">MAX(0,ROUND(Inputs!$B$10*Inputs!$B$11+NORMSINV(B2387)*SQRT(Inputs!$B$10*Inputs!$B$11),0))</f>
        <v>509</v>
      </c>
      <c r="D2387" s="49">
        <f ca="1">C2387*Inputs!$B$12</f>
        <v>61080000</v>
      </c>
    </row>
    <row r="2388" spans="1:4" ht="13.5" customHeight="1" x14ac:dyDescent="0.3">
      <c r="A2388" s="50">
        <v>2384</v>
      </c>
      <c r="B2388" s="51">
        <f t="shared" ca="1" si="37"/>
        <v>0.41181341482714806</v>
      </c>
      <c r="C2388" s="48">
        <f t="array" aca="1" ref="C2388" ca="1">MAX(0,ROUND(Inputs!$B$10*Inputs!$B$11+NORMSINV(B2388)*SQRT(Inputs!$B$10*Inputs!$B$11),0))</f>
        <v>495</v>
      </c>
      <c r="D2388" s="52">
        <f ca="1">C2388*Inputs!$B$12</f>
        <v>59400000</v>
      </c>
    </row>
    <row r="2389" spans="1:4" ht="13.5" customHeight="1" x14ac:dyDescent="0.3">
      <c r="A2389" s="46">
        <v>2385</v>
      </c>
      <c r="B2389" s="47">
        <f t="shared" ca="1" si="37"/>
        <v>0.52836790528532007</v>
      </c>
      <c r="C2389" s="48">
        <f t="array" aca="1" ref="C2389" ca="1">MAX(0,ROUND(Inputs!$B$10*Inputs!$B$11+NORMSINV(B2389)*SQRT(Inputs!$B$10*Inputs!$B$11),0))</f>
        <v>502</v>
      </c>
      <c r="D2389" s="49">
        <f ca="1">C2389*Inputs!$B$12</f>
        <v>60240000</v>
      </c>
    </row>
    <row r="2390" spans="1:4" ht="13.5" customHeight="1" x14ac:dyDescent="0.3">
      <c r="A2390" s="50">
        <v>2386</v>
      </c>
      <c r="B2390" s="51">
        <f t="shared" ca="1" si="37"/>
        <v>0.94447055737445906</v>
      </c>
      <c r="C2390" s="48">
        <f t="array" aca="1" ref="C2390" ca="1">MAX(0,ROUND(Inputs!$B$10*Inputs!$B$11+NORMSINV(B2390)*SQRT(Inputs!$B$10*Inputs!$B$11),0))</f>
        <v>536</v>
      </c>
      <c r="D2390" s="52">
        <f ca="1">C2390*Inputs!$B$12</f>
        <v>64320000</v>
      </c>
    </row>
    <row r="2391" spans="1:4" ht="13.5" customHeight="1" x14ac:dyDescent="0.3">
      <c r="A2391" s="46">
        <v>2387</v>
      </c>
      <c r="B2391" s="47">
        <f t="shared" ca="1" si="37"/>
        <v>0.17393851756156931</v>
      </c>
      <c r="C2391" s="48">
        <f t="array" aca="1" ref="C2391" ca="1">MAX(0,ROUND(Inputs!$B$10*Inputs!$B$11+NORMSINV(B2391)*SQRT(Inputs!$B$10*Inputs!$B$11),0))</f>
        <v>479</v>
      </c>
      <c r="D2391" s="49">
        <f ca="1">C2391*Inputs!$B$12</f>
        <v>57480000</v>
      </c>
    </row>
    <row r="2392" spans="1:4" ht="13.5" customHeight="1" x14ac:dyDescent="0.3">
      <c r="A2392" s="50">
        <v>2388</v>
      </c>
      <c r="B2392" s="51">
        <f t="shared" ca="1" si="37"/>
        <v>0.32460851801292123</v>
      </c>
      <c r="C2392" s="48">
        <f t="array" aca="1" ref="C2392" ca="1">MAX(0,ROUND(Inputs!$B$10*Inputs!$B$11+NORMSINV(B2392)*SQRT(Inputs!$B$10*Inputs!$B$11),0))</f>
        <v>490</v>
      </c>
      <c r="D2392" s="52">
        <f ca="1">C2392*Inputs!$B$12</f>
        <v>58800000</v>
      </c>
    </row>
    <row r="2393" spans="1:4" ht="13.5" customHeight="1" x14ac:dyDescent="0.3">
      <c r="A2393" s="46">
        <v>2389</v>
      </c>
      <c r="B2393" s="47">
        <f t="shared" ca="1" si="37"/>
        <v>0.89628445451307492</v>
      </c>
      <c r="C2393" s="48">
        <f t="array" aca="1" ref="C2393" ca="1">MAX(0,ROUND(Inputs!$B$10*Inputs!$B$11+NORMSINV(B2393)*SQRT(Inputs!$B$10*Inputs!$B$11),0))</f>
        <v>528</v>
      </c>
      <c r="D2393" s="49">
        <f ca="1">C2393*Inputs!$B$12</f>
        <v>63360000</v>
      </c>
    </row>
    <row r="2394" spans="1:4" ht="13.5" customHeight="1" x14ac:dyDescent="0.3">
      <c r="A2394" s="50">
        <v>2390</v>
      </c>
      <c r="B2394" s="51">
        <f t="shared" ca="1" si="37"/>
        <v>0.44900665977312226</v>
      </c>
      <c r="C2394" s="48">
        <f t="array" aca="1" ref="C2394" ca="1">MAX(0,ROUND(Inputs!$B$10*Inputs!$B$11+NORMSINV(B2394)*SQRT(Inputs!$B$10*Inputs!$B$11),0))</f>
        <v>497</v>
      </c>
      <c r="D2394" s="52">
        <f ca="1">C2394*Inputs!$B$12</f>
        <v>59640000</v>
      </c>
    </row>
    <row r="2395" spans="1:4" ht="13.5" customHeight="1" x14ac:dyDescent="0.3">
      <c r="A2395" s="46">
        <v>2391</v>
      </c>
      <c r="B2395" s="47">
        <f t="shared" ca="1" si="37"/>
        <v>0.78636812855584648</v>
      </c>
      <c r="C2395" s="48">
        <f t="array" aca="1" ref="C2395" ca="1">MAX(0,ROUND(Inputs!$B$10*Inputs!$B$11+NORMSINV(B2395)*SQRT(Inputs!$B$10*Inputs!$B$11),0))</f>
        <v>518</v>
      </c>
      <c r="D2395" s="49">
        <f ca="1">C2395*Inputs!$B$12</f>
        <v>62160000</v>
      </c>
    </row>
    <row r="2396" spans="1:4" ht="13.5" customHeight="1" x14ac:dyDescent="0.3">
      <c r="A2396" s="50">
        <v>2392</v>
      </c>
      <c r="B2396" s="51">
        <f t="shared" ca="1" si="37"/>
        <v>0.18418185922262909</v>
      </c>
      <c r="C2396" s="48">
        <f t="array" aca="1" ref="C2396" ca="1">MAX(0,ROUND(Inputs!$B$10*Inputs!$B$11+NORMSINV(B2396)*SQRT(Inputs!$B$10*Inputs!$B$11),0))</f>
        <v>480</v>
      </c>
      <c r="D2396" s="52">
        <f ca="1">C2396*Inputs!$B$12</f>
        <v>57600000</v>
      </c>
    </row>
    <row r="2397" spans="1:4" ht="13.5" customHeight="1" x14ac:dyDescent="0.3">
      <c r="A2397" s="46">
        <v>2393</v>
      </c>
      <c r="B2397" s="47">
        <f t="shared" ca="1" si="37"/>
        <v>0.73249364698954389</v>
      </c>
      <c r="C2397" s="48">
        <f t="array" aca="1" ref="C2397" ca="1">MAX(0,ROUND(Inputs!$B$10*Inputs!$B$11+NORMSINV(B2397)*SQRT(Inputs!$B$10*Inputs!$B$11),0))</f>
        <v>514</v>
      </c>
      <c r="D2397" s="49">
        <f ca="1">C2397*Inputs!$B$12</f>
        <v>61680000</v>
      </c>
    </row>
    <row r="2398" spans="1:4" ht="13.5" customHeight="1" x14ac:dyDescent="0.3">
      <c r="A2398" s="50">
        <v>2394</v>
      </c>
      <c r="B2398" s="51">
        <f t="shared" ca="1" si="37"/>
        <v>0.40752608088513675</v>
      </c>
      <c r="C2398" s="48">
        <f t="array" aca="1" ref="C2398" ca="1">MAX(0,ROUND(Inputs!$B$10*Inputs!$B$11+NORMSINV(B2398)*SQRT(Inputs!$B$10*Inputs!$B$11),0))</f>
        <v>495</v>
      </c>
      <c r="D2398" s="52">
        <f ca="1">C2398*Inputs!$B$12</f>
        <v>59400000</v>
      </c>
    </row>
    <row r="2399" spans="1:4" ht="13.5" customHeight="1" x14ac:dyDescent="0.3">
      <c r="A2399" s="46">
        <v>2395</v>
      </c>
      <c r="B2399" s="47">
        <f t="shared" ca="1" si="37"/>
        <v>0.60362798953064811</v>
      </c>
      <c r="C2399" s="48">
        <f t="array" aca="1" ref="C2399" ca="1">MAX(0,ROUND(Inputs!$B$10*Inputs!$B$11+NORMSINV(B2399)*SQRT(Inputs!$B$10*Inputs!$B$11),0))</f>
        <v>506</v>
      </c>
      <c r="D2399" s="49">
        <f ca="1">C2399*Inputs!$B$12</f>
        <v>60720000</v>
      </c>
    </row>
    <row r="2400" spans="1:4" ht="13.5" customHeight="1" x14ac:dyDescent="0.3">
      <c r="A2400" s="50">
        <v>2396</v>
      </c>
      <c r="B2400" s="51">
        <f t="shared" ca="1" si="37"/>
        <v>0.9484453649918182</v>
      </c>
      <c r="C2400" s="48">
        <f t="array" aca="1" ref="C2400" ca="1">MAX(0,ROUND(Inputs!$B$10*Inputs!$B$11+NORMSINV(B2400)*SQRT(Inputs!$B$10*Inputs!$B$11),0))</f>
        <v>536</v>
      </c>
      <c r="D2400" s="52">
        <f ca="1">C2400*Inputs!$B$12</f>
        <v>64320000</v>
      </c>
    </row>
    <row r="2401" spans="1:4" ht="13.5" customHeight="1" x14ac:dyDescent="0.3">
      <c r="A2401" s="46">
        <v>2397</v>
      </c>
      <c r="B2401" s="47">
        <f t="shared" ca="1" si="37"/>
        <v>0.67790320759965528</v>
      </c>
      <c r="C2401" s="48">
        <f t="array" aca="1" ref="C2401" ca="1">MAX(0,ROUND(Inputs!$B$10*Inputs!$B$11+NORMSINV(B2401)*SQRT(Inputs!$B$10*Inputs!$B$11),0))</f>
        <v>510</v>
      </c>
      <c r="D2401" s="49">
        <f ca="1">C2401*Inputs!$B$12</f>
        <v>61200000</v>
      </c>
    </row>
    <row r="2402" spans="1:4" ht="13.5" customHeight="1" x14ac:dyDescent="0.3">
      <c r="A2402" s="50">
        <v>2398</v>
      </c>
      <c r="B2402" s="51">
        <f t="shared" ca="1" si="37"/>
        <v>0.52871666028666631</v>
      </c>
      <c r="C2402" s="48">
        <f t="array" aca="1" ref="C2402" ca="1">MAX(0,ROUND(Inputs!$B$10*Inputs!$B$11+NORMSINV(B2402)*SQRT(Inputs!$B$10*Inputs!$B$11),0))</f>
        <v>502</v>
      </c>
      <c r="D2402" s="52">
        <f ca="1">C2402*Inputs!$B$12</f>
        <v>60240000</v>
      </c>
    </row>
    <row r="2403" spans="1:4" ht="13.5" customHeight="1" x14ac:dyDescent="0.3">
      <c r="A2403" s="46">
        <v>2399</v>
      </c>
      <c r="B2403" s="47">
        <f t="shared" ca="1" si="37"/>
        <v>0.32473037032687302</v>
      </c>
      <c r="C2403" s="48">
        <f t="array" aca="1" ref="C2403" ca="1">MAX(0,ROUND(Inputs!$B$10*Inputs!$B$11+NORMSINV(B2403)*SQRT(Inputs!$B$10*Inputs!$B$11),0))</f>
        <v>490</v>
      </c>
      <c r="D2403" s="49">
        <f ca="1">C2403*Inputs!$B$12</f>
        <v>58800000</v>
      </c>
    </row>
    <row r="2404" spans="1:4" ht="13.5" customHeight="1" x14ac:dyDescent="0.3">
      <c r="A2404" s="50">
        <v>2400</v>
      </c>
      <c r="B2404" s="51">
        <f t="shared" ca="1" si="37"/>
        <v>0.12650072762289699</v>
      </c>
      <c r="C2404" s="48">
        <f t="array" aca="1" ref="C2404" ca="1">MAX(0,ROUND(Inputs!$B$10*Inputs!$B$11+NORMSINV(B2404)*SQRT(Inputs!$B$10*Inputs!$B$11),0))</f>
        <v>474</v>
      </c>
      <c r="D2404" s="52">
        <f ca="1">C2404*Inputs!$B$12</f>
        <v>56880000</v>
      </c>
    </row>
    <row r="2405" spans="1:4" ht="13.5" customHeight="1" x14ac:dyDescent="0.3">
      <c r="A2405" s="46">
        <v>2401</v>
      </c>
      <c r="B2405" s="47">
        <f t="shared" ca="1" si="37"/>
        <v>0.18961045881538285</v>
      </c>
      <c r="C2405" s="48">
        <f t="array" aca="1" ref="C2405" ca="1">MAX(0,ROUND(Inputs!$B$10*Inputs!$B$11+NORMSINV(B2405)*SQRT(Inputs!$B$10*Inputs!$B$11),0))</f>
        <v>480</v>
      </c>
      <c r="D2405" s="49">
        <f ca="1">C2405*Inputs!$B$12</f>
        <v>57600000</v>
      </c>
    </row>
    <row r="2406" spans="1:4" ht="13.5" customHeight="1" x14ac:dyDescent="0.3">
      <c r="A2406" s="50">
        <v>2402</v>
      </c>
      <c r="B2406" s="51">
        <f t="shared" ca="1" si="37"/>
        <v>0.83752126013083938</v>
      </c>
      <c r="C2406" s="48">
        <f t="array" aca="1" ref="C2406" ca="1">MAX(0,ROUND(Inputs!$B$10*Inputs!$B$11+NORMSINV(B2406)*SQRT(Inputs!$B$10*Inputs!$B$11),0))</f>
        <v>522</v>
      </c>
      <c r="D2406" s="52">
        <f ca="1">C2406*Inputs!$B$12</f>
        <v>62640000</v>
      </c>
    </row>
    <row r="2407" spans="1:4" ht="13.5" customHeight="1" x14ac:dyDescent="0.3">
      <c r="A2407" s="46">
        <v>2403</v>
      </c>
      <c r="B2407" s="47">
        <f t="shared" ca="1" si="37"/>
        <v>0.86775407089490275</v>
      </c>
      <c r="C2407" s="48">
        <f t="array" aca="1" ref="C2407" ca="1">MAX(0,ROUND(Inputs!$B$10*Inputs!$B$11+NORMSINV(B2407)*SQRT(Inputs!$B$10*Inputs!$B$11),0))</f>
        <v>525</v>
      </c>
      <c r="D2407" s="49">
        <f ca="1">C2407*Inputs!$B$12</f>
        <v>63000000</v>
      </c>
    </row>
    <row r="2408" spans="1:4" ht="13.5" customHeight="1" x14ac:dyDescent="0.3">
      <c r="A2408" s="50">
        <v>2404</v>
      </c>
      <c r="B2408" s="51">
        <f t="shared" ca="1" si="37"/>
        <v>5.6424495220755988E-3</v>
      </c>
      <c r="C2408" s="48">
        <f t="array" aca="1" ref="C2408" ca="1">MAX(0,ROUND(Inputs!$B$10*Inputs!$B$11+NORMSINV(B2408)*SQRT(Inputs!$B$10*Inputs!$B$11),0))</f>
        <v>443</v>
      </c>
      <c r="D2408" s="52">
        <f ca="1">C2408*Inputs!$B$12</f>
        <v>53160000</v>
      </c>
    </row>
    <row r="2409" spans="1:4" ht="13.5" customHeight="1" x14ac:dyDescent="0.3">
      <c r="A2409" s="46">
        <v>2405</v>
      </c>
      <c r="B2409" s="47">
        <f t="shared" ca="1" si="37"/>
        <v>4.3444763265245823E-2</v>
      </c>
      <c r="C2409" s="48">
        <f t="array" aca="1" ref="C2409" ca="1">MAX(0,ROUND(Inputs!$B$10*Inputs!$B$11+NORMSINV(B2409)*SQRT(Inputs!$B$10*Inputs!$B$11),0))</f>
        <v>462</v>
      </c>
      <c r="D2409" s="49">
        <f ca="1">C2409*Inputs!$B$12</f>
        <v>55440000</v>
      </c>
    </row>
    <row r="2410" spans="1:4" ht="13.5" customHeight="1" x14ac:dyDescent="0.3">
      <c r="A2410" s="50">
        <v>2406</v>
      </c>
      <c r="B2410" s="51">
        <f t="shared" ca="1" si="37"/>
        <v>0.11067570906089419</v>
      </c>
      <c r="C2410" s="48">
        <f t="array" aca="1" ref="C2410" ca="1">MAX(0,ROUND(Inputs!$B$10*Inputs!$B$11+NORMSINV(B2410)*SQRT(Inputs!$B$10*Inputs!$B$11),0))</f>
        <v>473</v>
      </c>
      <c r="D2410" s="52">
        <f ca="1">C2410*Inputs!$B$12</f>
        <v>56760000</v>
      </c>
    </row>
    <row r="2411" spans="1:4" ht="13.5" customHeight="1" x14ac:dyDescent="0.3">
      <c r="A2411" s="46">
        <v>2407</v>
      </c>
      <c r="B2411" s="47">
        <f t="shared" ca="1" si="37"/>
        <v>0.87293020727598702</v>
      </c>
      <c r="C2411" s="48">
        <f t="array" aca="1" ref="C2411" ca="1">MAX(0,ROUND(Inputs!$B$10*Inputs!$B$11+NORMSINV(B2411)*SQRT(Inputs!$B$10*Inputs!$B$11),0))</f>
        <v>525</v>
      </c>
      <c r="D2411" s="49">
        <f ca="1">C2411*Inputs!$B$12</f>
        <v>63000000</v>
      </c>
    </row>
    <row r="2412" spans="1:4" ht="13.5" customHeight="1" x14ac:dyDescent="0.3">
      <c r="A2412" s="50">
        <v>2408</v>
      </c>
      <c r="B2412" s="51">
        <f t="shared" ca="1" si="37"/>
        <v>0.97016989147583876</v>
      </c>
      <c r="C2412" s="48">
        <f t="array" aca="1" ref="C2412" ca="1">MAX(0,ROUND(Inputs!$B$10*Inputs!$B$11+NORMSINV(B2412)*SQRT(Inputs!$B$10*Inputs!$B$11),0))</f>
        <v>542</v>
      </c>
      <c r="D2412" s="52">
        <f ca="1">C2412*Inputs!$B$12</f>
        <v>65040000</v>
      </c>
    </row>
    <row r="2413" spans="1:4" ht="13.5" customHeight="1" x14ac:dyDescent="0.3">
      <c r="A2413" s="46">
        <v>2409</v>
      </c>
      <c r="B2413" s="47">
        <f t="shared" ca="1" si="37"/>
        <v>0.90064378496328112</v>
      </c>
      <c r="C2413" s="48">
        <f t="array" aca="1" ref="C2413" ca="1">MAX(0,ROUND(Inputs!$B$10*Inputs!$B$11+NORMSINV(B2413)*SQRT(Inputs!$B$10*Inputs!$B$11),0))</f>
        <v>529</v>
      </c>
      <c r="D2413" s="49">
        <f ca="1">C2413*Inputs!$B$12</f>
        <v>63480000</v>
      </c>
    </row>
    <row r="2414" spans="1:4" ht="13.5" customHeight="1" x14ac:dyDescent="0.3">
      <c r="A2414" s="50">
        <v>2410</v>
      </c>
      <c r="B2414" s="51">
        <f t="shared" ca="1" si="37"/>
        <v>0.5908667089887244</v>
      </c>
      <c r="C2414" s="48">
        <f t="array" aca="1" ref="C2414" ca="1">MAX(0,ROUND(Inputs!$B$10*Inputs!$B$11+NORMSINV(B2414)*SQRT(Inputs!$B$10*Inputs!$B$11),0))</f>
        <v>505</v>
      </c>
      <c r="D2414" s="52">
        <f ca="1">C2414*Inputs!$B$12</f>
        <v>60600000</v>
      </c>
    </row>
    <row r="2415" spans="1:4" ht="13.5" customHeight="1" x14ac:dyDescent="0.3">
      <c r="A2415" s="46">
        <v>2411</v>
      </c>
      <c r="B2415" s="47">
        <f t="shared" ca="1" si="37"/>
        <v>0.7461079974715713</v>
      </c>
      <c r="C2415" s="48">
        <f t="array" aca="1" ref="C2415" ca="1">MAX(0,ROUND(Inputs!$B$10*Inputs!$B$11+NORMSINV(B2415)*SQRT(Inputs!$B$10*Inputs!$B$11),0))</f>
        <v>515</v>
      </c>
      <c r="D2415" s="49">
        <f ca="1">C2415*Inputs!$B$12</f>
        <v>61800000</v>
      </c>
    </row>
    <row r="2416" spans="1:4" ht="13.5" customHeight="1" x14ac:dyDescent="0.3">
      <c r="A2416" s="50">
        <v>2412</v>
      </c>
      <c r="B2416" s="51">
        <f t="shared" ca="1" si="37"/>
        <v>0.58760065863512834</v>
      </c>
      <c r="C2416" s="48">
        <f t="array" aca="1" ref="C2416" ca="1">MAX(0,ROUND(Inputs!$B$10*Inputs!$B$11+NORMSINV(B2416)*SQRT(Inputs!$B$10*Inputs!$B$11),0))</f>
        <v>505</v>
      </c>
      <c r="D2416" s="52">
        <f ca="1">C2416*Inputs!$B$12</f>
        <v>60600000</v>
      </c>
    </row>
    <row r="2417" spans="1:4" ht="13.5" customHeight="1" x14ac:dyDescent="0.3">
      <c r="A2417" s="46">
        <v>2413</v>
      </c>
      <c r="B2417" s="47">
        <f t="shared" ca="1" si="37"/>
        <v>0.68713174569122382</v>
      </c>
      <c r="C2417" s="48">
        <f t="array" aca="1" ref="C2417" ca="1">MAX(0,ROUND(Inputs!$B$10*Inputs!$B$11+NORMSINV(B2417)*SQRT(Inputs!$B$10*Inputs!$B$11),0))</f>
        <v>511</v>
      </c>
      <c r="D2417" s="49">
        <f ca="1">C2417*Inputs!$B$12</f>
        <v>61320000</v>
      </c>
    </row>
    <row r="2418" spans="1:4" ht="13.5" customHeight="1" x14ac:dyDescent="0.3">
      <c r="A2418" s="50">
        <v>2414</v>
      </c>
      <c r="B2418" s="51">
        <f t="shared" ca="1" si="37"/>
        <v>0.35004238615441663</v>
      </c>
      <c r="C2418" s="48">
        <f t="array" aca="1" ref="C2418" ca="1">MAX(0,ROUND(Inputs!$B$10*Inputs!$B$11+NORMSINV(B2418)*SQRT(Inputs!$B$10*Inputs!$B$11),0))</f>
        <v>491</v>
      </c>
      <c r="D2418" s="52">
        <f ca="1">C2418*Inputs!$B$12</f>
        <v>58920000</v>
      </c>
    </row>
    <row r="2419" spans="1:4" ht="13.5" customHeight="1" x14ac:dyDescent="0.3">
      <c r="A2419" s="46">
        <v>2415</v>
      </c>
      <c r="B2419" s="47">
        <f t="shared" ca="1" si="37"/>
        <v>8.7550268550713461E-2</v>
      </c>
      <c r="C2419" s="48">
        <f t="array" aca="1" ref="C2419" ca="1">MAX(0,ROUND(Inputs!$B$10*Inputs!$B$11+NORMSINV(B2419)*SQRT(Inputs!$B$10*Inputs!$B$11),0))</f>
        <v>470</v>
      </c>
      <c r="D2419" s="49">
        <f ca="1">C2419*Inputs!$B$12</f>
        <v>56400000</v>
      </c>
    </row>
    <row r="2420" spans="1:4" ht="13.5" customHeight="1" x14ac:dyDescent="0.3">
      <c r="A2420" s="50">
        <v>2416</v>
      </c>
      <c r="B2420" s="51">
        <f t="shared" ca="1" si="37"/>
        <v>0.41939630902737168</v>
      </c>
      <c r="C2420" s="48">
        <f t="array" aca="1" ref="C2420" ca="1">MAX(0,ROUND(Inputs!$B$10*Inputs!$B$11+NORMSINV(B2420)*SQRT(Inputs!$B$10*Inputs!$B$11),0))</f>
        <v>495</v>
      </c>
      <c r="D2420" s="52">
        <f ca="1">C2420*Inputs!$B$12</f>
        <v>59400000</v>
      </c>
    </row>
    <row r="2421" spans="1:4" ht="13.5" customHeight="1" x14ac:dyDescent="0.3">
      <c r="A2421" s="46">
        <v>2417</v>
      </c>
      <c r="B2421" s="47">
        <f t="shared" ca="1" si="37"/>
        <v>0.15666488142696844</v>
      </c>
      <c r="C2421" s="48">
        <f t="array" aca="1" ref="C2421" ca="1">MAX(0,ROUND(Inputs!$B$10*Inputs!$B$11+NORMSINV(B2421)*SQRT(Inputs!$B$10*Inputs!$B$11),0))</f>
        <v>477</v>
      </c>
      <c r="D2421" s="49">
        <f ca="1">C2421*Inputs!$B$12</f>
        <v>57240000</v>
      </c>
    </row>
    <row r="2422" spans="1:4" ht="13.5" customHeight="1" x14ac:dyDescent="0.3">
      <c r="A2422" s="50">
        <v>2418</v>
      </c>
      <c r="B2422" s="51">
        <f t="shared" ca="1" si="37"/>
        <v>0.62680202841361865</v>
      </c>
      <c r="C2422" s="48">
        <f t="array" aca="1" ref="C2422" ca="1">MAX(0,ROUND(Inputs!$B$10*Inputs!$B$11+NORMSINV(B2422)*SQRT(Inputs!$B$10*Inputs!$B$11),0))</f>
        <v>507</v>
      </c>
      <c r="D2422" s="52">
        <f ca="1">C2422*Inputs!$B$12</f>
        <v>60840000</v>
      </c>
    </row>
    <row r="2423" spans="1:4" ht="13.5" customHeight="1" x14ac:dyDescent="0.3">
      <c r="A2423" s="46">
        <v>2419</v>
      </c>
      <c r="B2423" s="47">
        <f t="shared" ca="1" si="37"/>
        <v>0.19154236112340406</v>
      </c>
      <c r="C2423" s="48">
        <f t="array" aca="1" ref="C2423" ca="1">MAX(0,ROUND(Inputs!$B$10*Inputs!$B$11+NORMSINV(B2423)*SQRT(Inputs!$B$10*Inputs!$B$11),0))</f>
        <v>480</v>
      </c>
      <c r="D2423" s="49">
        <f ca="1">C2423*Inputs!$B$12</f>
        <v>57600000</v>
      </c>
    </row>
    <row r="2424" spans="1:4" ht="13.5" customHeight="1" x14ac:dyDescent="0.3">
      <c r="A2424" s="50">
        <v>2420</v>
      </c>
      <c r="B2424" s="51">
        <f t="shared" ca="1" si="37"/>
        <v>7.9307141078675647E-2</v>
      </c>
      <c r="C2424" s="48">
        <f t="array" aca="1" ref="C2424" ca="1">MAX(0,ROUND(Inputs!$B$10*Inputs!$B$11+NORMSINV(B2424)*SQRT(Inputs!$B$10*Inputs!$B$11),0))</f>
        <v>468</v>
      </c>
      <c r="D2424" s="52">
        <f ca="1">C2424*Inputs!$B$12</f>
        <v>56160000</v>
      </c>
    </row>
    <row r="2425" spans="1:4" ht="13.5" customHeight="1" x14ac:dyDescent="0.3">
      <c r="A2425" s="46">
        <v>2421</v>
      </c>
      <c r="B2425" s="47">
        <f t="shared" ca="1" si="37"/>
        <v>0.62661712685624571</v>
      </c>
      <c r="C2425" s="48">
        <f t="array" aca="1" ref="C2425" ca="1">MAX(0,ROUND(Inputs!$B$10*Inputs!$B$11+NORMSINV(B2425)*SQRT(Inputs!$B$10*Inputs!$B$11),0))</f>
        <v>507</v>
      </c>
      <c r="D2425" s="49">
        <f ca="1">C2425*Inputs!$B$12</f>
        <v>60840000</v>
      </c>
    </row>
    <row r="2426" spans="1:4" ht="13.5" customHeight="1" x14ac:dyDescent="0.3">
      <c r="A2426" s="50">
        <v>2422</v>
      </c>
      <c r="B2426" s="51">
        <f t="shared" ca="1" si="37"/>
        <v>0.51709182245814189</v>
      </c>
      <c r="C2426" s="48">
        <f t="array" aca="1" ref="C2426" ca="1">MAX(0,ROUND(Inputs!$B$10*Inputs!$B$11+NORMSINV(B2426)*SQRT(Inputs!$B$10*Inputs!$B$11),0))</f>
        <v>501</v>
      </c>
      <c r="D2426" s="52">
        <f ca="1">C2426*Inputs!$B$12</f>
        <v>60120000</v>
      </c>
    </row>
    <row r="2427" spans="1:4" ht="13.5" customHeight="1" x14ac:dyDescent="0.3">
      <c r="A2427" s="46">
        <v>2423</v>
      </c>
      <c r="B2427" s="47">
        <f t="shared" ca="1" si="37"/>
        <v>2.7087737171121562E-2</v>
      </c>
      <c r="C2427" s="48">
        <f t="array" aca="1" ref="C2427" ca="1">MAX(0,ROUND(Inputs!$B$10*Inputs!$B$11+NORMSINV(B2427)*SQRT(Inputs!$B$10*Inputs!$B$11),0))</f>
        <v>457</v>
      </c>
      <c r="D2427" s="49">
        <f ca="1">C2427*Inputs!$B$12</f>
        <v>54840000</v>
      </c>
    </row>
    <row r="2428" spans="1:4" ht="13.5" customHeight="1" x14ac:dyDescent="0.3">
      <c r="A2428" s="50">
        <v>2424</v>
      </c>
      <c r="B2428" s="51">
        <f t="shared" ca="1" si="37"/>
        <v>0.11136195641915958</v>
      </c>
      <c r="C2428" s="48">
        <f t="array" aca="1" ref="C2428" ca="1">MAX(0,ROUND(Inputs!$B$10*Inputs!$B$11+NORMSINV(B2428)*SQRT(Inputs!$B$10*Inputs!$B$11),0))</f>
        <v>473</v>
      </c>
      <c r="D2428" s="52">
        <f ca="1">C2428*Inputs!$B$12</f>
        <v>56760000</v>
      </c>
    </row>
    <row r="2429" spans="1:4" ht="13.5" customHeight="1" x14ac:dyDescent="0.3">
      <c r="A2429" s="46">
        <v>2425</v>
      </c>
      <c r="B2429" s="47">
        <f t="shared" ca="1" si="37"/>
        <v>0.52748632947069507</v>
      </c>
      <c r="C2429" s="48">
        <f t="array" aca="1" ref="C2429" ca="1">MAX(0,ROUND(Inputs!$B$10*Inputs!$B$11+NORMSINV(B2429)*SQRT(Inputs!$B$10*Inputs!$B$11),0))</f>
        <v>502</v>
      </c>
      <c r="D2429" s="49">
        <f ca="1">C2429*Inputs!$B$12</f>
        <v>60240000</v>
      </c>
    </row>
    <row r="2430" spans="1:4" ht="13.5" customHeight="1" x14ac:dyDescent="0.3">
      <c r="A2430" s="50">
        <v>2426</v>
      </c>
      <c r="B2430" s="51">
        <f t="shared" ca="1" si="37"/>
        <v>0.23840743455342572</v>
      </c>
      <c r="C2430" s="48">
        <f t="array" aca="1" ref="C2430" ca="1">MAX(0,ROUND(Inputs!$B$10*Inputs!$B$11+NORMSINV(B2430)*SQRT(Inputs!$B$10*Inputs!$B$11),0))</f>
        <v>484</v>
      </c>
      <c r="D2430" s="52">
        <f ca="1">C2430*Inputs!$B$12</f>
        <v>58080000</v>
      </c>
    </row>
    <row r="2431" spans="1:4" ht="13.5" customHeight="1" x14ac:dyDescent="0.3">
      <c r="A2431" s="46">
        <v>2427</v>
      </c>
      <c r="B2431" s="47">
        <f t="shared" ca="1" si="37"/>
        <v>0.82085134609937849</v>
      </c>
      <c r="C2431" s="48">
        <f t="array" aca="1" ref="C2431" ca="1">MAX(0,ROUND(Inputs!$B$10*Inputs!$B$11+NORMSINV(B2431)*SQRT(Inputs!$B$10*Inputs!$B$11),0))</f>
        <v>521</v>
      </c>
      <c r="D2431" s="49">
        <f ca="1">C2431*Inputs!$B$12</f>
        <v>62520000</v>
      </c>
    </row>
    <row r="2432" spans="1:4" ht="13.5" customHeight="1" x14ac:dyDescent="0.3">
      <c r="A2432" s="50">
        <v>2428</v>
      </c>
      <c r="B2432" s="51">
        <f t="shared" ca="1" si="37"/>
        <v>0.94219090895260249</v>
      </c>
      <c r="C2432" s="48">
        <f t="array" aca="1" ref="C2432" ca="1">MAX(0,ROUND(Inputs!$B$10*Inputs!$B$11+NORMSINV(B2432)*SQRT(Inputs!$B$10*Inputs!$B$11),0))</f>
        <v>535</v>
      </c>
      <c r="D2432" s="52">
        <f ca="1">C2432*Inputs!$B$12</f>
        <v>64200000</v>
      </c>
    </row>
    <row r="2433" spans="1:4" ht="13.5" customHeight="1" x14ac:dyDescent="0.3">
      <c r="A2433" s="46">
        <v>2429</v>
      </c>
      <c r="B2433" s="47">
        <f t="shared" ca="1" si="37"/>
        <v>5.2369044339342308E-2</v>
      </c>
      <c r="C2433" s="48">
        <f t="array" aca="1" ref="C2433" ca="1">MAX(0,ROUND(Inputs!$B$10*Inputs!$B$11+NORMSINV(B2433)*SQRT(Inputs!$B$10*Inputs!$B$11),0))</f>
        <v>464</v>
      </c>
      <c r="D2433" s="49">
        <f ca="1">C2433*Inputs!$B$12</f>
        <v>55680000</v>
      </c>
    </row>
    <row r="2434" spans="1:4" ht="13.5" customHeight="1" x14ac:dyDescent="0.3">
      <c r="A2434" s="50">
        <v>2430</v>
      </c>
      <c r="B2434" s="51">
        <f t="shared" ca="1" si="37"/>
        <v>0.53706594282076758</v>
      </c>
      <c r="C2434" s="48">
        <f t="array" aca="1" ref="C2434" ca="1">MAX(0,ROUND(Inputs!$B$10*Inputs!$B$11+NORMSINV(B2434)*SQRT(Inputs!$B$10*Inputs!$B$11),0))</f>
        <v>502</v>
      </c>
      <c r="D2434" s="52">
        <f ca="1">C2434*Inputs!$B$12</f>
        <v>60240000</v>
      </c>
    </row>
    <row r="2435" spans="1:4" ht="13.5" customHeight="1" x14ac:dyDescent="0.3">
      <c r="A2435" s="46">
        <v>2431</v>
      </c>
      <c r="B2435" s="47">
        <f t="shared" ca="1" si="37"/>
        <v>0.43994500954361682</v>
      </c>
      <c r="C2435" s="48">
        <f t="array" aca="1" ref="C2435" ca="1">MAX(0,ROUND(Inputs!$B$10*Inputs!$B$11+NORMSINV(B2435)*SQRT(Inputs!$B$10*Inputs!$B$11),0))</f>
        <v>497</v>
      </c>
      <c r="D2435" s="49">
        <f ca="1">C2435*Inputs!$B$12</f>
        <v>59640000</v>
      </c>
    </row>
    <row r="2436" spans="1:4" ht="13.5" customHeight="1" x14ac:dyDescent="0.3">
      <c r="A2436" s="50">
        <v>2432</v>
      </c>
      <c r="B2436" s="51">
        <f t="shared" ca="1" si="37"/>
        <v>0.71316174680159616</v>
      </c>
      <c r="C2436" s="48">
        <f t="array" aca="1" ref="C2436" ca="1">MAX(0,ROUND(Inputs!$B$10*Inputs!$B$11+NORMSINV(B2436)*SQRT(Inputs!$B$10*Inputs!$B$11),0))</f>
        <v>513</v>
      </c>
      <c r="D2436" s="52">
        <f ca="1">C2436*Inputs!$B$12</f>
        <v>61560000</v>
      </c>
    </row>
    <row r="2437" spans="1:4" ht="13.5" customHeight="1" x14ac:dyDescent="0.3">
      <c r="A2437" s="46">
        <v>2433</v>
      </c>
      <c r="B2437" s="47">
        <f t="shared" ref="B2437:B2500" ca="1" si="38">RAND()</f>
        <v>0.3487977914121011</v>
      </c>
      <c r="C2437" s="48">
        <f t="array" aca="1" ref="C2437" ca="1">MAX(0,ROUND(Inputs!$B$10*Inputs!$B$11+NORMSINV(B2437)*SQRT(Inputs!$B$10*Inputs!$B$11),0))</f>
        <v>491</v>
      </c>
      <c r="D2437" s="49">
        <f ca="1">C2437*Inputs!$B$12</f>
        <v>58920000</v>
      </c>
    </row>
    <row r="2438" spans="1:4" ht="13.5" customHeight="1" x14ac:dyDescent="0.3">
      <c r="A2438" s="50">
        <v>2434</v>
      </c>
      <c r="B2438" s="51">
        <f t="shared" ca="1" si="38"/>
        <v>0.34265476396706418</v>
      </c>
      <c r="C2438" s="48">
        <f t="array" aca="1" ref="C2438" ca="1">MAX(0,ROUND(Inputs!$B$10*Inputs!$B$11+NORMSINV(B2438)*SQRT(Inputs!$B$10*Inputs!$B$11),0))</f>
        <v>491</v>
      </c>
      <c r="D2438" s="52">
        <f ca="1">C2438*Inputs!$B$12</f>
        <v>58920000</v>
      </c>
    </row>
    <row r="2439" spans="1:4" ht="13.5" customHeight="1" x14ac:dyDescent="0.3">
      <c r="A2439" s="46">
        <v>2435</v>
      </c>
      <c r="B2439" s="47">
        <f t="shared" ca="1" si="38"/>
        <v>0.74320345213569028</v>
      </c>
      <c r="C2439" s="48">
        <f t="array" aca="1" ref="C2439" ca="1">MAX(0,ROUND(Inputs!$B$10*Inputs!$B$11+NORMSINV(B2439)*SQRT(Inputs!$B$10*Inputs!$B$11),0))</f>
        <v>515</v>
      </c>
      <c r="D2439" s="49">
        <f ca="1">C2439*Inputs!$B$12</f>
        <v>61800000</v>
      </c>
    </row>
    <row r="2440" spans="1:4" ht="13.5" customHeight="1" x14ac:dyDescent="0.3">
      <c r="A2440" s="50">
        <v>2436</v>
      </c>
      <c r="B2440" s="51">
        <f t="shared" ca="1" si="38"/>
        <v>0.72394822201894204</v>
      </c>
      <c r="C2440" s="48">
        <f t="array" aca="1" ref="C2440" ca="1">MAX(0,ROUND(Inputs!$B$10*Inputs!$B$11+NORMSINV(B2440)*SQRT(Inputs!$B$10*Inputs!$B$11),0))</f>
        <v>513</v>
      </c>
      <c r="D2440" s="52">
        <f ca="1">C2440*Inputs!$B$12</f>
        <v>61560000</v>
      </c>
    </row>
    <row r="2441" spans="1:4" ht="13.5" customHeight="1" x14ac:dyDescent="0.3">
      <c r="A2441" s="46">
        <v>2437</v>
      </c>
      <c r="B2441" s="47">
        <f t="shared" ca="1" si="38"/>
        <v>0.97327117725170487</v>
      </c>
      <c r="C2441" s="48">
        <f t="array" aca="1" ref="C2441" ca="1">MAX(0,ROUND(Inputs!$B$10*Inputs!$B$11+NORMSINV(B2441)*SQRT(Inputs!$B$10*Inputs!$B$11),0))</f>
        <v>543</v>
      </c>
      <c r="D2441" s="49">
        <f ca="1">C2441*Inputs!$B$12</f>
        <v>65160000</v>
      </c>
    </row>
    <row r="2442" spans="1:4" ht="13.5" customHeight="1" x14ac:dyDescent="0.3">
      <c r="A2442" s="50">
        <v>2438</v>
      </c>
      <c r="B2442" s="51">
        <f t="shared" ca="1" si="38"/>
        <v>0.21585524039585346</v>
      </c>
      <c r="C2442" s="48">
        <f t="array" aca="1" ref="C2442" ca="1">MAX(0,ROUND(Inputs!$B$10*Inputs!$B$11+NORMSINV(B2442)*SQRT(Inputs!$B$10*Inputs!$B$11),0))</f>
        <v>482</v>
      </c>
      <c r="D2442" s="52">
        <f ca="1">C2442*Inputs!$B$12</f>
        <v>57840000</v>
      </c>
    </row>
    <row r="2443" spans="1:4" ht="13.5" customHeight="1" x14ac:dyDescent="0.3">
      <c r="A2443" s="46">
        <v>2439</v>
      </c>
      <c r="B2443" s="47">
        <f t="shared" ca="1" si="38"/>
        <v>5.9726462621626175E-2</v>
      </c>
      <c r="C2443" s="48">
        <f t="array" aca="1" ref="C2443" ca="1">MAX(0,ROUND(Inputs!$B$10*Inputs!$B$11+NORMSINV(B2443)*SQRT(Inputs!$B$10*Inputs!$B$11),0))</f>
        <v>465</v>
      </c>
      <c r="D2443" s="49">
        <f ca="1">C2443*Inputs!$B$12</f>
        <v>55800000</v>
      </c>
    </row>
    <row r="2444" spans="1:4" ht="13.5" customHeight="1" x14ac:dyDescent="0.3">
      <c r="A2444" s="50">
        <v>2440</v>
      </c>
      <c r="B2444" s="51">
        <f t="shared" ca="1" si="38"/>
        <v>0.22844682039264763</v>
      </c>
      <c r="C2444" s="48">
        <f t="array" aca="1" ref="C2444" ca="1">MAX(0,ROUND(Inputs!$B$10*Inputs!$B$11+NORMSINV(B2444)*SQRT(Inputs!$B$10*Inputs!$B$11),0))</f>
        <v>483</v>
      </c>
      <c r="D2444" s="52">
        <f ca="1">C2444*Inputs!$B$12</f>
        <v>57960000</v>
      </c>
    </row>
    <row r="2445" spans="1:4" ht="13.5" customHeight="1" x14ac:dyDescent="0.3">
      <c r="A2445" s="46">
        <v>2441</v>
      </c>
      <c r="B2445" s="47">
        <f t="shared" ca="1" si="38"/>
        <v>7.7118413726012247E-2</v>
      </c>
      <c r="C2445" s="48">
        <f t="array" aca="1" ref="C2445" ca="1">MAX(0,ROUND(Inputs!$B$10*Inputs!$B$11+NORMSINV(B2445)*SQRT(Inputs!$B$10*Inputs!$B$11),0))</f>
        <v>468</v>
      </c>
      <c r="D2445" s="49">
        <f ca="1">C2445*Inputs!$B$12</f>
        <v>56160000</v>
      </c>
    </row>
    <row r="2446" spans="1:4" ht="13.5" customHeight="1" x14ac:dyDescent="0.3">
      <c r="A2446" s="50">
        <v>2442</v>
      </c>
      <c r="B2446" s="51">
        <f t="shared" ca="1" si="38"/>
        <v>0.7111264363707066</v>
      </c>
      <c r="C2446" s="48">
        <f t="array" aca="1" ref="C2446" ca="1">MAX(0,ROUND(Inputs!$B$10*Inputs!$B$11+NORMSINV(B2446)*SQRT(Inputs!$B$10*Inputs!$B$11),0))</f>
        <v>512</v>
      </c>
      <c r="D2446" s="52">
        <f ca="1">C2446*Inputs!$B$12</f>
        <v>61440000</v>
      </c>
    </row>
    <row r="2447" spans="1:4" ht="13.5" customHeight="1" x14ac:dyDescent="0.3">
      <c r="A2447" s="46">
        <v>2443</v>
      </c>
      <c r="B2447" s="47">
        <f t="shared" ca="1" si="38"/>
        <v>0.24585207781187901</v>
      </c>
      <c r="C2447" s="48">
        <f t="array" aca="1" ref="C2447" ca="1">MAX(0,ROUND(Inputs!$B$10*Inputs!$B$11+NORMSINV(B2447)*SQRT(Inputs!$B$10*Inputs!$B$11),0))</f>
        <v>485</v>
      </c>
      <c r="D2447" s="49">
        <f ca="1">C2447*Inputs!$B$12</f>
        <v>58200000</v>
      </c>
    </row>
    <row r="2448" spans="1:4" ht="13.5" customHeight="1" x14ac:dyDescent="0.3">
      <c r="A2448" s="50">
        <v>2444</v>
      </c>
      <c r="B2448" s="51">
        <f t="shared" ca="1" si="38"/>
        <v>0.11141279237154467</v>
      </c>
      <c r="C2448" s="48">
        <f t="array" aca="1" ref="C2448" ca="1">MAX(0,ROUND(Inputs!$B$10*Inputs!$B$11+NORMSINV(B2448)*SQRT(Inputs!$B$10*Inputs!$B$11),0))</f>
        <v>473</v>
      </c>
      <c r="D2448" s="52">
        <f ca="1">C2448*Inputs!$B$12</f>
        <v>56760000</v>
      </c>
    </row>
    <row r="2449" spans="1:4" ht="13.5" customHeight="1" x14ac:dyDescent="0.3">
      <c r="A2449" s="46">
        <v>2445</v>
      </c>
      <c r="B2449" s="47">
        <f t="shared" ca="1" si="38"/>
        <v>0.51008246367551646</v>
      </c>
      <c r="C2449" s="48">
        <f t="array" aca="1" ref="C2449" ca="1">MAX(0,ROUND(Inputs!$B$10*Inputs!$B$11+NORMSINV(B2449)*SQRT(Inputs!$B$10*Inputs!$B$11),0))</f>
        <v>501</v>
      </c>
      <c r="D2449" s="49">
        <f ca="1">C2449*Inputs!$B$12</f>
        <v>60120000</v>
      </c>
    </row>
    <row r="2450" spans="1:4" ht="13.5" customHeight="1" x14ac:dyDescent="0.3">
      <c r="A2450" s="50">
        <v>2446</v>
      </c>
      <c r="B2450" s="51">
        <f t="shared" ca="1" si="38"/>
        <v>0.61313876238641629</v>
      </c>
      <c r="C2450" s="48">
        <f t="array" aca="1" ref="C2450" ca="1">MAX(0,ROUND(Inputs!$B$10*Inputs!$B$11+NORMSINV(B2450)*SQRT(Inputs!$B$10*Inputs!$B$11),0))</f>
        <v>506</v>
      </c>
      <c r="D2450" s="52">
        <f ca="1">C2450*Inputs!$B$12</f>
        <v>60720000</v>
      </c>
    </row>
    <row r="2451" spans="1:4" ht="13.5" customHeight="1" x14ac:dyDescent="0.3">
      <c r="A2451" s="46">
        <v>2447</v>
      </c>
      <c r="B2451" s="47">
        <f t="shared" ca="1" si="38"/>
        <v>9.7249694150705501E-2</v>
      </c>
      <c r="C2451" s="48">
        <f t="array" aca="1" ref="C2451" ca="1">MAX(0,ROUND(Inputs!$B$10*Inputs!$B$11+NORMSINV(B2451)*SQRT(Inputs!$B$10*Inputs!$B$11),0))</f>
        <v>471</v>
      </c>
      <c r="D2451" s="49">
        <f ca="1">C2451*Inputs!$B$12</f>
        <v>56520000</v>
      </c>
    </row>
    <row r="2452" spans="1:4" ht="13.5" customHeight="1" x14ac:dyDescent="0.3">
      <c r="A2452" s="50">
        <v>2448</v>
      </c>
      <c r="B2452" s="51">
        <f t="shared" ca="1" si="38"/>
        <v>0.45542188457486477</v>
      </c>
      <c r="C2452" s="48">
        <f t="array" aca="1" ref="C2452" ca="1">MAX(0,ROUND(Inputs!$B$10*Inputs!$B$11+NORMSINV(B2452)*SQRT(Inputs!$B$10*Inputs!$B$11),0))</f>
        <v>497</v>
      </c>
      <c r="D2452" s="52">
        <f ca="1">C2452*Inputs!$B$12</f>
        <v>59640000</v>
      </c>
    </row>
    <row r="2453" spans="1:4" ht="13.5" customHeight="1" x14ac:dyDescent="0.3">
      <c r="A2453" s="46">
        <v>2449</v>
      </c>
      <c r="B2453" s="47">
        <f t="shared" ca="1" si="38"/>
        <v>3.6039169093676882E-2</v>
      </c>
      <c r="C2453" s="48">
        <f t="array" aca="1" ref="C2453" ca="1">MAX(0,ROUND(Inputs!$B$10*Inputs!$B$11+NORMSINV(B2453)*SQRT(Inputs!$B$10*Inputs!$B$11),0))</f>
        <v>460</v>
      </c>
      <c r="D2453" s="49">
        <f ca="1">C2453*Inputs!$B$12</f>
        <v>55200000</v>
      </c>
    </row>
    <row r="2454" spans="1:4" ht="13.5" customHeight="1" x14ac:dyDescent="0.3">
      <c r="A2454" s="50">
        <v>2450</v>
      </c>
      <c r="B2454" s="51">
        <f t="shared" ca="1" si="38"/>
        <v>2.0705952336747768E-2</v>
      </c>
      <c r="C2454" s="48">
        <f t="array" aca="1" ref="C2454" ca="1">MAX(0,ROUND(Inputs!$B$10*Inputs!$B$11+NORMSINV(B2454)*SQRT(Inputs!$B$10*Inputs!$B$11),0))</f>
        <v>454</v>
      </c>
      <c r="D2454" s="52">
        <f ca="1">C2454*Inputs!$B$12</f>
        <v>54480000</v>
      </c>
    </row>
    <row r="2455" spans="1:4" ht="13.5" customHeight="1" x14ac:dyDescent="0.3">
      <c r="A2455" s="46">
        <v>2451</v>
      </c>
      <c r="B2455" s="47">
        <f t="shared" ca="1" si="38"/>
        <v>0.89383544776137958</v>
      </c>
      <c r="C2455" s="48">
        <f t="array" aca="1" ref="C2455" ca="1">MAX(0,ROUND(Inputs!$B$10*Inputs!$B$11+NORMSINV(B2455)*SQRT(Inputs!$B$10*Inputs!$B$11),0))</f>
        <v>528</v>
      </c>
      <c r="D2455" s="49">
        <f ca="1">C2455*Inputs!$B$12</f>
        <v>63360000</v>
      </c>
    </row>
    <row r="2456" spans="1:4" ht="13.5" customHeight="1" x14ac:dyDescent="0.3">
      <c r="A2456" s="50">
        <v>2452</v>
      </c>
      <c r="B2456" s="51">
        <f t="shared" ca="1" si="38"/>
        <v>0.65311416045514414</v>
      </c>
      <c r="C2456" s="48">
        <f t="array" aca="1" ref="C2456" ca="1">MAX(0,ROUND(Inputs!$B$10*Inputs!$B$11+NORMSINV(B2456)*SQRT(Inputs!$B$10*Inputs!$B$11),0))</f>
        <v>509</v>
      </c>
      <c r="D2456" s="52">
        <f ca="1">C2456*Inputs!$B$12</f>
        <v>61080000</v>
      </c>
    </row>
    <row r="2457" spans="1:4" ht="13.5" customHeight="1" x14ac:dyDescent="0.3">
      <c r="A2457" s="46">
        <v>2453</v>
      </c>
      <c r="B2457" s="47">
        <f t="shared" ca="1" si="38"/>
        <v>0.2402980900557582</v>
      </c>
      <c r="C2457" s="48">
        <f t="array" aca="1" ref="C2457" ca="1">MAX(0,ROUND(Inputs!$B$10*Inputs!$B$11+NORMSINV(B2457)*SQRT(Inputs!$B$10*Inputs!$B$11),0))</f>
        <v>484</v>
      </c>
      <c r="D2457" s="49">
        <f ca="1">C2457*Inputs!$B$12</f>
        <v>58080000</v>
      </c>
    </row>
    <row r="2458" spans="1:4" ht="13.5" customHeight="1" x14ac:dyDescent="0.3">
      <c r="A2458" s="50">
        <v>2454</v>
      </c>
      <c r="B2458" s="51">
        <f t="shared" ca="1" si="38"/>
        <v>0.18781040288811046</v>
      </c>
      <c r="C2458" s="48">
        <f t="array" aca="1" ref="C2458" ca="1">MAX(0,ROUND(Inputs!$B$10*Inputs!$B$11+NORMSINV(B2458)*SQRT(Inputs!$B$10*Inputs!$B$11),0))</f>
        <v>480</v>
      </c>
      <c r="D2458" s="52">
        <f ca="1">C2458*Inputs!$B$12</f>
        <v>57600000</v>
      </c>
    </row>
    <row r="2459" spans="1:4" ht="13.5" customHeight="1" x14ac:dyDescent="0.3">
      <c r="A2459" s="46">
        <v>2455</v>
      </c>
      <c r="B2459" s="47">
        <f t="shared" ca="1" si="38"/>
        <v>0.11331330755411162</v>
      </c>
      <c r="C2459" s="48">
        <f t="array" aca="1" ref="C2459" ca="1">MAX(0,ROUND(Inputs!$B$10*Inputs!$B$11+NORMSINV(B2459)*SQRT(Inputs!$B$10*Inputs!$B$11),0))</f>
        <v>473</v>
      </c>
      <c r="D2459" s="49">
        <f ca="1">C2459*Inputs!$B$12</f>
        <v>56760000</v>
      </c>
    </row>
    <row r="2460" spans="1:4" ht="13.5" customHeight="1" x14ac:dyDescent="0.3">
      <c r="A2460" s="50">
        <v>2456</v>
      </c>
      <c r="B2460" s="51">
        <f t="shared" ca="1" si="38"/>
        <v>0.47800042897307182</v>
      </c>
      <c r="C2460" s="48">
        <f t="array" aca="1" ref="C2460" ca="1">MAX(0,ROUND(Inputs!$B$10*Inputs!$B$11+NORMSINV(B2460)*SQRT(Inputs!$B$10*Inputs!$B$11),0))</f>
        <v>499</v>
      </c>
      <c r="D2460" s="52">
        <f ca="1">C2460*Inputs!$B$12</f>
        <v>59880000</v>
      </c>
    </row>
    <row r="2461" spans="1:4" ht="13.5" customHeight="1" x14ac:dyDescent="0.3">
      <c r="A2461" s="46">
        <v>2457</v>
      </c>
      <c r="B2461" s="47">
        <f t="shared" ca="1" si="38"/>
        <v>0.33048352926474067</v>
      </c>
      <c r="C2461" s="48">
        <f t="array" aca="1" ref="C2461" ca="1">MAX(0,ROUND(Inputs!$B$10*Inputs!$B$11+NORMSINV(B2461)*SQRT(Inputs!$B$10*Inputs!$B$11),0))</f>
        <v>490</v>
      </c>
      <c r="D2461" s="49">
        <f ca="1">C2461*Inputs!$B$12</f>
        <v>58800000</v>
      </c>
    </row>
    <row r="2462" spans="1:4" ht="13.5" customHeight="1" x14ac:dyDescent="0.3">
      <c r="A2462" s="50">
        <v>2458</v>
      </c>
      <c r="B2462" s="51">
        <f t="shared" ca="1" si="38"/>
        <v>2.0844921482585654E-2</v>
      </c>
      <c r="C2462" s="48">
        <f t="array" aca="1" ref="C2462" ca="1">MAX(0,ROUND(Inputs!$B$10*Inputs!$B$11+NORMSINV(B2462)*SQRT(Inputs!$B$10*Inputs!$B$11),0))</f>
        <v>454</v>
      </c>
      <c r="D2462" s="52">
        <f ca="1">C2462*Inputs!$B$12</f>
        <v>54480000</v>
      </c>
    </row>
    <row r="2463" spans="1:4" ht="13.5" customHeight="1" x14ac:dyDescent="0.3">
      <c r="A2463" s="46">
        <v>2459</v>
      </c>
      <c r="B2463" s="47">
        <f t="shared" ca="1" si="38"/>
        <v>0.79271294233411571</v>
      </c>
      <c r="C2463" s="48">
        <f t="array" aca="1" ref="C2463" ca="1">MAX(0,ROUND(Inputs!$B$10*Inputs!$B$11+NORMSINV(B2463)*SQRT(Inputs!$B$10*Inputs!$B$11),0))</f>
        <v>518</v>
      </c>
      <c r="D2463" s="49">
        <f ca="1">C2463*Inputs!$B$12</f>
        <v>62160000</v>
      </c>
    </row>
    <row r="2464" spans="1:4" ht="13.5" customHeight="1" x14ac:dyDescent="0.3">
      <c r="A2464" s="50">
        <v>2460</v>
      </c>
      <c r="B2464" s="51">
        <f t="shared" ca="1" si="38"/>
        <v>8.1204034743616815E-2</v>
      </c>
      <c r="C2464" s="48">
        <f t="array" aca="1" ref="C2464" ca="1">MAX(0,ROUND(Inputs!$B$10*Inputs!$B$11+NORMSINV(B2464)*SQRT(Inputs!$B$10*Inputs!$B$11),0))</f>
        <v>469</v>
      </c>
      <c r="D2464" s="52">
        <f ca="1">C2464*Inputs!$B$12</f>
        <v>56280000</v>
      </c>
    </row>
    <row r="2465" spans="1:4" ht="13.5" customHeight="1" x14ac:dyDescent="0.3">
      <c r="A2465" s="46">
        <v>2461</v>
      </c>
      <c r="B2465" s="47">
        <f t="shared" ca="1" si="38"/>
        <v>0.66016328975690763</v>
      </c>
      <c r="C2465" s="48">
        <f t="array" aca="1" ref="C2465" ca="1">MAX(0,ROUND(Inputs!$B$10*Inputs!$B$11+NORMSINV(B2465)*SQRT(Inputs!$B$10*Inputs!$B$11),0))</f>
        <v>509</v>
      </c>
      <c r="D2465" s="49">
        <f ca="1">C2465*Inputs!$B$12</f>
        <v>61080000</v>
      </c>
    </row>
    <row r="2466" spans="1:4" ht="13.5" customHeight="1" x14ac:dyDescent="0.3">
      <c r="A2466" s="50">
        <v>2462</v>
      </c>
      <c r="B2466" s="51">
        <f t="shared" ca="1" si="38"/>
        <v>0.18500471203359503</v>
      </c>
      <c r="C2466" s="48">
        <f t="array" aca="1" ref="C2466" ca="1">MAX(0,ROUND(Inputs!$B$10*Inputs!$B$11+NORMSINV(B2466)*SQRT(Inputs!$B$10*Inputs!$B$11),0))</f>
        <v>480</v>
      </c>
      <c r="D2466" s="52">
        <f ca="1">C2466*Inputs!$B$12</f>
        <v>57600000</v>
      </c>
    </row>
    <row r="2467" spans="1:4" ht="13.5" customHeight="1" x14ac:dyDescent="0.3">
      <c r="A2467" s="46">
        <v>2463</v>
      </c>
      <c r="B2467" s="47">
        <f t="shared" ca="1" si="38"/>
        <v>6.6410604515987015E-2</v>
      </c>
      <c r="C2467" s="48">
        <f t="array" aca="1" ref="C2467" ca="1">MAX(0,ROUND(Inputs!$B$10*Inputs!$B$11+NORMSINV(B2467)*SQRT(Inputs!$B$10*Inputs!$B$11),0))</f>
        <v>466</v>
      </c>
      <c r="D2467" s="49">
        <f ca="1">C2467*Inputs!$B$12</f>
        <v>55920000</v>
      </c>
    </row>
    <row r="2468" spans="1:4" ht="13.5" customHeight="1" x14ac:dyDescent="0.3">
      <c r="A2468" s="50">
        <v>2464</v>
      </c>
      <c r="B2468" s="51">
        <f t="shared" ca="1" si="38"/>
        <v>0.85960436401899498</v>
      </c>
      <c r="C2468" s="48">
        <f t="array" aca="1" ref="C2468" ca="1">MAX(0,ROUND(Inputs!$B$10*Inputs!$B$11+NORMSINV(B2468)*SQRT(Inputs!$B$10*Inputs!$B$11),0))</f>
        <v>524</v>
      </c>
      <c r="D2468" s="52">
        <f ca="1">C2468*Inputs!$B$12</f>
        <v>62880000</v>
      </c>
    </row>
    <row r="2469" spans="1:4" ht="13.5" customHeight="1" x14ac:dyDescent="0.3">
      <c r="A2469" s="46">
        <v>2465</v>
      </c>
      <c r="B2469" s="47">
        <f t="shared" ca="1" si="38"/>
        <v>0.78189286125877966</v>
      </c>
      <c r="C2469" s="48">
        <f t="array" aca="1" ref="C2469" ca="1">MAX(0,ROUND(Inputs!$B$10*Inputs!$B$11+NORMSINV(B2469)*SQRT(Inputs!$B$10*Inputs!$B$11),0))</f>
        <v>517</v>
      </c>
      <c r="D2469" s="49">
        <f ca="1">C2469*Inputs!$B$12</f>
        <v>62040000</v>
      </c>
    </row>
    <row r="2470" spans="1:4" ht="13.5" customHeight="1" x14ac:dyDescent="0.3">
      <c r="A2470" s="50">
        <v>2466</v>
      </c>
      <c r="B2470" s="51">
        <f t="shared" ca="1" si="38"/>
        <v>0.11283365118183963</v>
      </c>
      <c r="C2470" s="48">
        <f t="array" aca="1" ref="C2470" ca="1">MAX(0,ROUND(Inputs!$B$10*Inputs!$B$11+NORMSINV(B2470)*SQRT(Inputs!$B$10*Inputs!$B$11),0))</f>
        <v>473</v>
      </c>
      <c r="D2470" s="52">
        <f ca="1">C2470*Inputs!$B$12</f>
        <v>56760000</v>
      </c>
    </row>
    <row r="2471" spans="1:4" ht="13.5" customHeight="1" x14ac:dyDescent="0.3">
      <c r="A2471" s="46">
        <v>2467</v>
      </c>
      <c r="B2471" s="47">
        <f t="shared" ca="1" si="38"/>
        <v>1.505974276945099E-2</v>
      </c>
      <c r="C2471" s="48">
        <f t="array" aca="1" ref="C2471" ca="1">MAX(0,ROUND(Inputs!$B$10*Inputs!$B$11+NORMSINV(B2471)*SQRT(Inputs!$B$10*Inputs!$B$11),0))</f>
        <v>452</v>
      </c>
      <c r="D2471" s="49">
        <f ca="1">C2471*Inputs!$B$12</f>
        <v>54240000</v>
      </c>
    </row>
    <row r="2472" spans="1:4" ht="13.5" customHeight="1" x14ac:dyDescent="0.3">
      <c r="A2472" s="50">
        <v>2468</v>
      </c>
      <c r="B2472" s="51">
        <f t="shared" ca="1" si="38"/>
        <v>0.42016617548652402</v>
      </c>
      <c r="C2472" s="48">
        <f t="array" aca="1" ref="C2472" ca="1">MAX(0,ROUND(Inputs!$B$10*Inputs!$B$11+NORMSINV(B2472)*SQRT(Inputs!$B$10*Inputs!$B$11),0))</f>
        <v>495</v>
      </c>
      <c r="D2472" s="52">
        <f ca="1">C2472*Inputs!$B$12</f>
        <v>59400000</v>
      </c>
    </row>
    <row r="2473" spans="1:4" ht="13.5" customHeight="1" x14ac:dyDescent="0.3">
      <c r="A2473" s="46">
        <v>2469</v>
      </c>
      <c r="B2473" s="47">
        <f t="shared" ca="1" si="38"/>
        <v>0.8543168964543516</v>
      </c>
      <c r="C2473" s="48">
        <f t="array" aca="1" ref="C2473" ca="1">MAX(0,ROUND(Inputs!$B$10*Inputs!$B$11+NORMSINV(B2473)*SQRT(Inputs!$B$10*Inputs!$B$11),0))</f>
        <v>524</v>
      </c>
      <c r="D2473" s="49">
        <f ca="1">C2473*Inputs!$B$12</f>
        <v>62880000</v>
      </c>
    </row>
    <row r="2474" spans="1:4" ht="13.5" customHeight="1" x14ac:dyDescent="0.3">
      <c r="A2474" s="50">
        <v>2470</v>
      </c>
      <c r="B2474" s="51">
        <f t="shared" ca="1" si="38"/>
        <v>0.18788894096112962</v>
      </c>
      <c r="C2474" s="48">
        <f t="array" aca="1" ref="C2474" ca="1">MAX(0,ROUND(Inputs!$B$10*Inputs!$B$11+NORMSINV(B2474)*SQRT(Inputs!$B$10*Inputs!$B$11),0))</f>
        <v>480</v>
      </c>
      <c r="D2474" s="52">
        <f ca="1">C2474*Inputs!$B$12</f>
        <v>57600000</v>
      </c>
    </row>
    <row r="2475" spans="1:4" ht="13.5" customHeight="1" x14ac:dyDescent="0.3">
      <c r="A2475" s="46">
        <v>2471</v>
      </c>
      <c r="B2475" s="47">
        <f t="shared" ca="1" si="38"/>
        <v>0.31948900574564154</v>
      </c>
      <c r="C2475" s="48">
        <f t="array" aca="1" ref="C2475" ca="1">MAX(0,ROUND(Inputs!$B$10*Inputs!$B$11+NORMSINV(B2475)*SQRT(Inputs!$B$10*Inputs!$B$11),0))</f>
        <v>490</v>
      </c>
      <c r="D2475" s="49">
        <f ca="1">C2475*Inputs!$B$12</f>
        <v>58800000</v>
      </c>
    </row>
    <row r="2476" spans="1:4" ht="13.5" customHeight="1" x14ac:dyDescent="0.3">
      <c r="A2476" s="50">
        <v>2472</v>
      </c>
      <c r="B2476" s="51">
        <f t="shared" ca="1" si="38"/>
        <v>0.23763483199644575</v>
      </c>
      <c r="C2476" s="48">
        <f t="array" aca="1" ref="C2476" ca="1">MAX(0,ROUND(Inputs!$B$10*Inputs!$B$11+NORMSINV(B2476)*SQRT(Inputs!$B$10*Inputs!$B$11),0))</f>
        <v>484</v>
      </c>
      <c r="D2476" s="52">
        <f ca="1">C2476*Inputs!$B$12</f>
        <v>58080000</v>
      </c>
    </row>
    <row r="2477" spans="1:4" ht="13.5" customHeight="1" x14ac:dyDescent="0.3">
      <c r="A2477" s="46">
        <v>2473</v>
      </c>
      <c r="B2477" s="47">
        <f t="shared" ca="1" si="38"/>
        <v>0.22063862918172938</v>
      </c>
      <c r="C2477" s="48">
        <f t="array" aca="1" ref="C2477" ca="1">MAX(0,ROUND(Inputs!$B$10*Inputs!$B$11+NORMSINV(B2477)*SQRT(Inputs!$B$10*Inputs!$B$11),0))</f>
        <v>483</v>
      </c>
      <c r="D2477" s="49">
        <f ca="1">C2477*Inputs!$B$12</f>
        <v>57960000</v>
      </c>
    </row>
    <row r="2478" spans="1:4" ht="13.5" customHeight="1" x14ac:dyDescent="0.3">
      <c r="A2478" s="50">
        <v>2474</v>
      </c>
      <c r="B2478" s="51">
        <f t="shared" ca="1" si="38"/>
        <v>0.3348539356444058</v>
      </c>
      <c r="C2478" s="48">
        <f t="array" aca="1" ref="C2478" ca="1">MAX(0,ROUND(Inputs!$B$10*Inputs!$B$11+NORMSINV(B2478)*SQRT(Inputs!$B$10*Inputs!$B$11),0))</f>
        <v>490</v>
      </c>
      <c r="D2478" s="52">
        <f ca="1">C2478*Inputs!$B$12</f>
        <v>58800000</v>
      </c>
    </row>
    <row r="2479" spans="1:4" ht="13.5" customHeight="1" x14ac:dyDescent="0.3">
      <c r="A2479" s="46">
        <v>2475</v>
      </c>
      <c r="B2479" s="47">
        <f t="shared" ca="1" si="38"/>
        <v>0.45876036659641728</v>
      </c>
      <c r="C2479" s="48">
        <f t="array" aca="1" ref="C2479" ca="1">MAX(0,ROUND(Inputs!$B$10*Inputs!$B$11+NORMSINV(B2479)*SQRT(Inputs!$B$10*Inputs!$B$11),0))</f>
        <v>498</v>
      </c>
      <c r="D2479" s="49">
        <f ca="1">C2479*Inputs!$B$12</f>
        <v>59760000</v>
      </c>
    </row>
    <row r="2480" spans="1:4" ht="13.5" customHeight="1" x14ac:dyDescent="0.3">
      <c r="A2480" s="50">
        <v>2476</v>
      </c>
      <c r="B2480" s="51">
        <f t="shared" ca="1" si="38"/>
        <v>1.0997910192134142E-2</v>
      </c>
      <c r="C2480" s="48">
        <f t="array" aca="1" ref="C2480" ca="1">MAX(0,ROUND(Inputs!$B$10*Inputs!$B$11+NORMSINV(B2480)*SQRT(Inputs!$B$10*Inputs!$B$11),0))</f>
        <v>449</v>
      </c>
      <c r="D2480" s="52">
        <f ca="1">C2480*Inputs!$B$12</f>
        <v>53880000</v>
      </c>
    </row>
    <row r="2481" spans="1:4" ht="13.5" customHeight="1" x14ac:dyDescent="0.3">
      <c r="A2481" s="46">
        <v>2477</v>
      </c>
      <c r="B2481" s="47">
        <f t="shared" ca="1" si="38"/>
        <v>0.33913842800881044</v>
      </c>
      <c r="C2481" s="48">
        <f t="array" aca="1" ref="C2481" ca="1">MAX(0,ROUND(Inputs!$B$10*Inputs!$B$11+NORMSINV(B2481)*SQRT(Inputs!$B$10*Inputs!$B$11),0))</f>
        <v>491</v>
      </c>
      <c r="D2481" s="49">
        <f ca="1">C2481*Inputs!$B$12</f>
        <v>58920000</v>
      </c>
    </row>
    <row r="2482" spans="1:4" ht="13.5" customHeight="1" x14ac:dyDescent="0.3">
      <c r="A2482" s="50">
        <v>2478</v>
      </c>
      <c r="B2482" s="51">
        <f t="shared" ca="1" si="38"/>
        <v>0.14983966915039093</v>
      </c>
      <c r="C2482" s="48">
        <f t="array" aca="1" ref="C2482" ca="1">MAX(0,ROUND(Inputs!$B$10*Inputs!$B$11+NORMSINV(B2482)*SQRT(Inputs!$B$10*Inputs!$B$11),0))</f>
        <v>477</v>
      </c>
      <c r="D2482" s="52">
        <f ca="1">C2482*Inputs!$B$12</f>
        <v>57240000</v>
      </c>
    </row>
    <row r="2483" spans="1:4" ht="13.5" customHeight="1" x14ac:dyDescent="0.3">
      <c r="A2483" s="46">
        <v>2479</v>
      </c>
      <c r="B2483" s="47">
        <f t="shared" ca="1" si="38"/>
        <v>0.1028427957372261</v>
      </c>
      <c r="C2483" s="48">
        <f t="array" aca="1" ref="C2483" ca="1">MAX(0,ROUND(Inputs!$B$10*Inputs!$B$11+NORMSINV(B2483)*SQRT(Inputs!$B$10*Inputs!$B$11),0))</f>
        <v>472</v>
      </c>
      <c r="D2483" s="49">
        <f ca="1">C2483*Inputs!$B$12</f>
        <v>56640000</v>
      </c>
    </row>
    <row r="2484" spans="1:4" ht="13.5" customHeight="1" x14ac:dyDescent="0.3">
      <c r="A2484" s="50">
        <v>2480</v>
      </c>
      <c r="B2484" s="51">
        <f t="shared" ca="1" si="38"/>
        <v>0.51258415006756841</v>
      </c>
      <c r="C2484" s="48">
        <f t="array" aca="1" ref="C2484" ca="1">MAX(0,ROUND(Inputs!$B$10*Inputs!$B$11+NORMSINV(B2484)*SQRT(Inputs!$B$10*Inputs!$B$11),0))</f>
        <v>501</v>
      </c>
      <c r="D2484" s="52">
        <f ca="1">C2484*Inputs!$B$12</f>
        <v>60120000</v>
      </c>
    </row>
    <row r="2485" spans="1:4" ht="13.5" customHeight="1" x14ac:dyDescent="0.3">
      <c r="A2485" s="46">
        <v>2481</v>
      </c>
      <c r="B2485" s="47">
        <f t="shared" ca="1" si="38"/>
        <v>0.82012046656021442</v>
      </c>
      <c r="C2485" s="48">
        <f t="array" aca="1" ref="C2485" ca="1">MAX(0,ROUND(Inputs!$B$10*Inputs!$B$11+NORMSINV(B2485)*SQRT(Inputs!$B$10*Inputs!$B$11),0))</f>
        <v>520</v>
      </c>
      <c r="D2485" s="49">
        <f ca="1">C2485*Inputs!$B$12</f>
        <v>62400000</v>
      </c>
    </row>
    <row r="2486" spans="1:4" ht="13.5" customHeight="1" x14ac:dyDescent="0.3">
      <c r="A2486" s="50">
        <v>2482</v>
      </c>
      <c r="B2486" s="51">
        <f t="shared" ca="1" si="38"/>
        <v>0.44151052071498165</v>
      </c>
      <c r="C2486" s="48">
        <f t="array" aca="1" ref="C2486" ca="1">MAX(0,ROUND(Inputs!$B$10*Inputs!$B$11+NORMSINV(B2486)*SQRT(Inputs!$B$10*Inputs!$B$11),0))</f>
        <v>497</v>
      </c>
      <c r="D2486" s="52">
        <f ca="1">C2486*Inputs!$B$12</f>
        <v>59640000</v>
      </c>
    </row>
    <row r="2487" spans="1:4" ht="13.5" customHeight="1" x14ac:dyDescent="0.3">
      <c r="A2487" s="46">
        <v>2483</v>
      </c>
      <c r="B2487" s="47">
        <f t="shared" ca="1" si="38"/>
        <v>0.22614809875563013</v>
      </c>
      <c r="C2487" s="48">
        <f t="array" aca="1" ref="C2487" ca="1">MAX(0,ROUND(Inputs!$B$10*Inputs!$B$11+NORMSINV(B2487)*SQRT(Inputs!$B$10*Inputs!$B$11),0))</f>
        <v>483</v>
      </c>
      <c r="D2487" s="49">
        <f ca="1">C2487*Inputs!$B$12</f>
        <v>57960000</v>
      </c>
    </row>
    <row r="2488" spans="1:4" ht="13.5" customHeight="1" x14ac:dyDescent="0.3">
      <c r="A2488" s="50">
        <v>2484</v>
      </c>
      <c r="B2488" s="51">
        <f t="shared" ca="1" si="38"/>
        <v>0.92756729654953884</v>
      </c>
      <c r="C2488" s="48">
        <f t="array" aca="1" ref="C2488" ca="1">MAX(0,ROUND(Inputs!$B$10*Inputs!$B$11+NORMSINV(B2488)*SQRT(Inputs!$B$10*Inputs!$B$11),0))</f>
        <v>533</v>
      </c>
      <c r="D2488" s="52">
        <f ca="1">C2488*Inputs!$B$12</f>
        <v>63960000</v>
      </c>
    </row>
    <row r="2489" spans="1:4" ht="13.5" customHeight="1" x14ac:dyDescent="0.3">
      <c r="A2489" s="46">
        <v>2485</v>
      </c>
      <c r="B2489" s="47">
        <f t="shared" ca="1" si="38"/>
        <v>0.21055696180693517</v>
      </c>
      <c r="C2489" s="48">
        <f t="array" aca="1" ref="C2489" ca="1">MAX(0,ROUND(Inputs!$B$10*Inputs!$B$11+NORMSINV(B2489)*SQRT(Inputs!$B$10*Inputs!$B$11),0))</f>
        <v>482</v>
      </c>
      <c r="D2489" s="49">
        <f ca="1">C2489*Inputs!$B$12</f>
        <v>57840000</v>
      </c>
    </row>
    <row r="2490" spans="1:4" ht="13.5" customHeight="1" x14ac:dyDescent="0.3">
      <c r="A2490" s="50">
        <v>2486</v>
      </c>
      <c r="B2490" s="51">
        <f t="shared" ca="1" si="38"/>
        <v>0.85556812799997528</v>
      </c>
      <c r="C2490" s="48">
        <f t="array" aca="1" ref="C2490" ca="1">MAX(0,ROUND(Inputs!$B$10*Inputs!$B$11+NORMSINV(B2490)*SQRT(Inputs!$B$10*Inputs!$B$11),0))</f>
        <v>524</v>
      </c>
      <c r="D2490" s="52">
        <f ca="1">C2490*Inputs!$B$12</f>
        <v>62880000</v>
      </c>
    </row>
    <row r="2491" spans="1:4" ht="13.5" customHeight="1" x14ac:dyDescent="0.3">
      <c r="A2491" s="46">
        <v>2487</v>
      </c>
      <c r="B2491" s="47">
        <f t="shared" ca="1" si="38"/>
        <v>0.24795883284057518</v>
      </c>
      <c r="C2491" s="48">
        <f t="array" aca="1" ref="C2491" ca="1">MAX(0,ROUND(Inputs!$B$10*Inputs!$B$11+NORMSINV(B2491)*SQRT(Inputs!$B$10*Inputs!$B$11),0))</f>
        <v>485</v>
      </c>
      <c r="D2491" s="49">
        <f ca="1">C2491*Inputs!$B$12</f>
        <v>58200000</v>
      </c>
    </row>
    <row r="2492" spans="1:4" ht="13.5" customHeight="1" x14ac:dyDescent="0.3">
      <c r="A2492" s="50">
        <v>2488</v>
      </c>
      <c r="B2492" s="51">
        <f t="shared" ca="1" si="38"/>
        <v>0.60300414365727684</v>
      </c>
      <c r="C2492" s="48">
        <f t="array" aca="1" ref="C2492" ca="1">MAX(0,ROUND(Inputs!$B$10*Inputs!$B$11+NORMSINV(B2492)*SQRT(Inputs!$B$10*Inputs!$B$11),0))</f>
        <v>506</v>
      </c>
      <c r="D2492" s="52">
        <f ca="1">C2492*Inputs!$B$12</f>
        <v>60720000</v>
      </c>
    </row>
    <row r="2493" spans="1:4" ht="13.5" customHeight="1" x14ac:dyDescent="0.3">
      <c r="A2493" s="46">
        <v>2489</v>
      </c>
      <c r="B2493" s="47">
        <f t="shared" ca="1" si="38"/>
        <v>0.93938294397092348</v>
      </c>
      <c r="C2493" s="48">
        <f t="array" aca="1" ref="C2493" ca="1">MAX(0,ROUND(Inputs!$B$10*Inputs!$B$11+NORMSINV(B2493)*SQRT(Inputs!$B$10*Inputs!$B$11),0))</f>
        <v>535</v>
      </c>
      <c r="D2493" s="49">
        <f ca="1">C2493*Inputs!$B$12</f>
        <v>64200000</v>
      </c>
    </row>
    <row r="2494" spans="1:4" ht="13.5" customHeight="1" x14ac:dyDescent="0.3">
      <c r="A2494" s="50">
        <v>2490</v>
      </c>
      <c r="B2494" s="51">
        <f t="shared" ca="1" si="38"/>
        <v>0.628346190575231</v>
      </c>
      <c r="C2494" s="48">
        <f t="array" aca="1" ref="C2494" ca="1">MAX(0,ROUND(Inputs!$B$10*Inputs!$B$11+NORMSINV(B2494)*SQRT(Inputs!$B$10*Inputs!$B$11),0))</f>
        <v>507</v>
      </c>
      <c r="D2494" s="52">
        <f ca="1">C2494*Inputs!$B$12</f>
        <v>60840000</v>
      </c>
    </row>
    <row r="2495" spans="1:4" ht="13.5" customHeight="1" x14ac:dyDescent="0.3">
      <c r="A2495" s="46">
        <v>2491</v>
      </c>
      <c r="B2495" s="47">
        <f t="shared" ca="1" si="38"/>
        <v>0.24828259335014713</v>
      </c>
      <c r="C2495" s="48">
        <f t="array" aca="1" ref="C2495" ca="1">MAX(0,ROUND(Inputs!$B$10*Inputs!$B$11+NORMSINV(B2495)*SQRT(Inputs!$B$10*Inputs!$B$11),0))</f>
        <v>485</v>
      </c>
      <c r="D2495" s="49">
        <f ca="1">C2495*Inputs!$B$12</f>
        <v>58200000</v>
      </c>
    </row>
    <row r="2496" spans="1:4" ht="13.5" customHeight="1" x14ac:dyDescent="0.3">
      <c r="A2496" s="50">
        <v>2492</v>
      </c>
      <c r="B2496" s="51">
        <f t="shared" ca="1" si="38"/>
        <v>0.6813923559784224</v>
      </c>
      <c r="C2496" s="48">
        <f t="array" aca="1" ref="C2496" ca="1">MAX(0,ROUND(Inputs!$B$10*Inputs!$B$11+NORMSINV(B2496)*SQRT(Inputs!$B$10*Inputs!$B$11),0))</f>
        <v>511</v>
      </c>
      <c r="D2496" s="52">
        <f ca="1">C2496*Inputs!$B$12</f>
        <v>61320000</v>
      </c>
    </row>
    <row r="2497" spans="1:4" ht="13.5" customHeight="1" x14ac:dyDescent="0.3">
      <c r="A2497" s="46">
        <v>2493</v>
      </c>
      <c r="B2497" s="47">
        <f t="shared" ca="1" si="38"/>
        <v>0.55311113665873901</v>
      </c>
      <c r="C2497" s="48">
        <f t="array" aca="1" ref="C2497" ca="1">MAX(0,ROUND(Inputs!$B$10*Inputs!$B$11+NORMSINV(B2497)*SQRT(Inputs!$B$10*Inputs!$B$11),0))</f>
        <v>503</v>
      </c>
      <c r="D2497" s="49">
        <f ca="1">C2497*Inputs!$B$12</f>
        <v>60360000</v>
      </c>
    </row>
    <row r="2498" spans="1:4" ht="13.5" customHeight="1" x14ac:dyDescent="0.3">
      <c r="A2498" s="50">
        <v>2494</v>
      </c>
      <c r="B2498" s="51">
        <f t="shared" ca="1" si="38"/>
        <v>0.60395800567339264</v>
      </c>
      <c r="C2498" s="48">
        <f t="array" aca="1" ref="C2498" ca="1">MAX(0,ROUND(Inputs!$B$10*Inputs!$B$11+NORMSINV(B2498)*SQRT(Inputs!$B$10*Inputs!$B$11),0))</f>
        <v>506</v>
      </c>
      <c r="D2498" s="52">
        <f ca="1">C2498*Inputs!$B$12</f>
        <v>60720000</v>
      </c>
    </row>
    <row r="2499" spans="1:4" ht="13.5" customHeight="1" x14ac:dyDescent="0.3">
      <c r="A2499" s="46">
        <v>2495</v>
      </c>
      <c r="B2499" s="47">
        <f t="shared" ca="1" si="38"/>
        <v>0.43783880881449855</v>
      </c>
      <c r="C2499" s="48">
        <f t="array" aca="1" ref="C2499" ca="1">MAX(0,ROUND(Inputs!$B$10*Inputs!$B$11+NORMSINV(B2499)*SQRT(Inputs!$B$10*Inputs!$B$11),0))</f>
        <v>497</v>
      </c>
      <c r="D2499" s="49">
        <f ca="1">C2499*Inputs!$B$12</f>
        <v>59640000</v>
      </c>
    </row>
    <row r="2500" spans="1:4" ht="13.5" customHeight="1" x14ac:dyDescent="0.3">
      <c r="A2500" s="50">
        <v>2496</v>
      </c>
      <c r="B2500" s="51">
        <f t="shared" ca="1" si="38"/>
        <v>0.65986563228747797</v>
      </c>
      <c r="C2500" s="48">
        <f t="array" aca="1" ref="C2500" ca="1">MAX(0,ROUND(Inputs!$B$10*Inputs!$B$11+NORMSINV(B2500)*SQRT(Inputs!$B$10*Inputs!$B$11),0))</f>
        <v>509</v>
      </c>
      <c r="D2500" s="52">
        <f ca="1">C2500*Inputs!$B$12</f>
        <v>61080000</v>
      </c>
    </row>
    <row r="2501" spans="1:4" ht="13.5" customHeight="1" x14ac:dyDescent="0.3">
      <c r="A2501" s="46">
        <v>2497</v>
      </c>
      <c r="B2501" s="47">
        <f t="shared" ref="B2501:B2564" ca="1" si="39">RAND()</f>
        <v>0.35540052170799963</v>
      </c>
      <c r="C2501" s="48">
        <f t="array" aca="1" ref="C2501" ca="1">MAX(0,ROUND(Inputs!$B$10*Inputs!$B$11+NORMSINV(B2501)*SQRT(Inputs!$B$10*Inputs!$B$11),0))</f>
        <v>492</v>
      </c>
      <c r="D2501" s="49">
        <f ca="1">C2501*Inputs!$B$12</f>
        <v>59040000</v>
      </c>
    </row>
    <row r="2502" spans="1:4" ht="13.5" customHeight="1" x14ac:dyDescent="0.3">
      <c r="A2502" s="50">
        <v>2498</v>
      </c>
      <c r="B2502" s="51">
        <f t="shared" ca="1" si="39"/>
        <v>0.5365293321204726</v>
      </c>
      <c r="C2502" s="48">
        <f t="array" aca="1" ref="C2502" ca="1">MAX(0,ROUND(Inputs!$B$10*Inputs!$B$11+NORMSINV(B2502)*SQRT(Inputs!$B$10*Inputs!$B$11),0))</f>
        <v>502</v>
      </c>
      <c r="D2502" s="52">
        <f ca="1">C2502*Inputs!$B$12</f>
        <v>60240000</v>
      </c>
    </row>
    <row r="2503" spans="1:4" ht="13.5" customHeight="1" x14ac:dyDescent="0.3">
      <c r="A2503" s="46">
        <v>2499</v>
      </c>
      <c r="B2503" s="47">
        <f t="shared" ca="1" si="39"/>
        <v>0.82384510742446548</v>
      </c>
      <c r="C2503" s="48">
        <f t="array" aca="1" ref="C2503" ca="1">MAX(0,ROUND(Inputs!$B$10*Inputs!$B$11+NORMSINV(B2503)*SQRT(Inputs!$B$10*Inputs!$B$11),0))</f>
        <v>521</v>
      </c>
      <c r="D2503" s="49">
        <f ca="1">C2503*Inputs!$B$12</f>
        <v>62520000</v>
      </c>
    </row>
    <row r="2504" spans="1:4" ht="13.5" customHeight="1" x14ac:dyDescent="0.3">
      <c r="A2504" s="50">
        <v>2500</v>
      </c>
      <c r="B2504" s="51">
        <f t="shared" ca="1" si="39"/>
        <v>0.6713493592324794</v>
      </c>
      <c r="C2504" s="48">
        <f t="array" aca="1" ref="C2504" ca="1">MAX(0,ROUND(Inputs!$B$10*Inputs!$B$11+NORMSINV(B2504)*SQRT(Inputs!$B$10*Inputs!$B$11),0))</f>
        <v>510</v>
      </c>
      <c r="D2504" s="52">
        <f ca="1">C2504*Inputs!$B$12</f>
        <v>61200000</v>
      </c>
    </row>
    <row r="2505" spans="1:4" ht="13.5" customHeight="1" x14ac:dyDescent="0.3">
      <c r="A2505" s="46">
        <v>2501</v>
      </c>
      <c r="B2505" s="47">
        <f t="shared" ca="1" si="39"/>
        <v>0.49053383217180735</v>
      </c>
      <c r="C2505" s="48">
        <f t="array" aca="1" ref="C2505" ca="1">MAX(0,ROUND(Inputs!$B$10*Inputs!$B$11+NORMSINV(B2505)*SQRT(Inputs!$B$10*Inputs!$B$11),0))</f>
        <v>499</v>
      </c>
      <c r="D2505" s="49">
        <f ca="1">C2505*Inputs!$B$12</f>
        <v>59880000</v>
      </c>
    </row>
    <row r="2506" spans="1:4" ht="13.5" customHeight="1" x14ac:dyDescent="0.3">
      <c r="A2506" s="50">
        <v>2502</v>
      </c>
      <c r="B2506" s="51">
        <f t="shared" ca="1" si="39"/>
        <v>0.30366736453006626</v>
      </c>
      <c r="C2506" s="48">
        <f t="array" aca="1" ref="C2506" ca="1">MAX(0,ROUND(Inputs!$B$10*Inputs!$B$11+NORMSINV(B2506)*SQRT(Inputs!$B$10*Inputs!$B$11),0))</f>
        <v>489</v>
      </c>
      <c r="D2506" s="52">
        <f ca="1">C2506*Inputs!$B$12</f>
        <v>58680000</v>
      </c>
    </row>
    <row r="2507" spans="1:4" ht="13.5" customHeight="1" x14ac:dyDescent="0.3">
      <c r="A2507" s="46">
        <v>2503</v>
      </c>
      <c r="B2507" s="47">
        <f t="shared" ca="1" si="39"/>
        <v>0.26401307334195945</v>
      </c>
      <c r="C2507" s="48">
        <f t="array" aca="1" ref="C2507" ca="1">MAX(0,ROUND(Inputs!$B$10*Inputs!$B$11+NORMSINV(B2507)*SQRT(Inputs!$B$10*Inputs!$B$11),0))</f>
        <v>486</v>
      </c>
      <c r="D2507" s="49">
        <f ca="1">C2507*Inputs!$B$12</f>
        <v>58320000</v>
      </c>
    </row>
    <row r="2508" spans="1:4" ht="13.5" customHeight="1" x14ac:dyDescent="0.3">
      <c r="A2508" s="50">
        <v>2504</v>
      </c>
      <c r="B2508" s="51">
        <f t="shared" ca="1" si="39"/>
        <v>0.23476638980238351</v>
      </c>
      <c r="C2508" s="48">
        <f t="array" aca="1" ref="C2508" ca="1">MAX(0,ROUND(Inputs!$B$10*Inputs!$B$11+NORMSINV(B2508)*SQRT(Inputs!$B$10*Inputs!$B$11),0))</f>
        <v>484</v>
      </c>
      <c r="D2508" s="52">
        <f ca="1">C2508*Inputs!$B$12</f>
        <v>58080000</v>
      </c>
    </row>
    <row r="2509" spans="1:4" ht="13.5" customHeight="1" x14ac:dyDescent="0.3">
      <c r="A2509" s="46">
        <v>2505</v>
      </c>
      <c r="B2509" s="47">
        <f t="shared" ca="1" si="39"/>
        <v>0.28171779623428639</v>
      </c>
      <c r="C2509" s="48">
        <f t="array" aca="1" ref="C2509" ca="1">MAX(0,ROUND(Inputs!$B$10*Inputs!$B$11+NORMSINV(B2509)*SQRT(Inputs!$B$10*Inputs!$B$11),0))</f>
        <v>487</v>
      </c>
      <c r="D2509" s="49">
        <f ca="1">C2509*Inputs!$B$12</f>
        <v>58440000</v>
      </c>
    </row>
    <row r="2510" spans="1:4" ht="13.5" customHeight="1" x14ac:dyDescent="0.3">
      <c r="A2510" s="50">
        <v>2506</v>
      </c>
      <c r="B2510" s="51">
        <f t="shared" ca="1" si="39"/>
        <v>0.43039998786719902</v>
      </c>
      <c r="C2510" s="48">
        <f t="array" aca="1" ref="C2510" ca="1">MAX(0,ROUND(Inputs!$B$10*Inputs!$B$11+NORMSINV(B2510)*SQRT(Inputs!$B$10*Inputs!$B$11),0))</f>
        <v>496</v>
      </c>
      <c r="D2510" s="52">
        <f ca="1">C2510*Inputs!$B$12</f>
        <v>59520000</v>
      </c>
    </row>
    <row r="2511" spans="1:4" ht="13.5" customHeight="1" x14ac:dyDescent="0.3">
      <c r="A2511" s="46">
        <v>2507</v>
      </c>
      <c r="B2511" s="47">
        <f t="shared" ca="1" si="39"/>
        <v>0.5156030939306897</v>
      </c>
      <c r="C2511" s="48">
        <f t="array" aca="1" ref="C2511" ca="1">MAX(0,ROUND(Inputs!$B$10*Inputs!$B$11+NORMSINV(B2511)*SQRT(Inputs!$B$10*Inputs!$B$11),0))</f>
        <v>501</v>
      </c>
      <c r="D2511" s="49">
        <f ca="1">C2511*Inputs!$B$12</f>
        <v>60120000</v>
      </c>
    </row>
    <row r="2512" spans="1:4" ht="13.5" customHeight="1" x14ac:dyDescent="0.3">
      <c r="A2512" s="50">
        <v>2508</v>
      </c>
      <c r="B2512" s="51">
        <f t="shared" ca="1" si="39"/>
        <v>5.9558874274017182E-3</v>
      </c>
      <c r="C2512" s="48">
        <f t="array" aca="1" ref="C2512" ca="1">MAX(0,ROUND(Inputs!$B$10*Inputs!$B$11+NORMSINV(B2512)*SQRT(Inputs!$B$10*Inputs!$B$11),0))</f>
        <v>444</v>
      </c>
      <c r="D2512" s="52">
        <f ca="1">C2512*Inputs!$B$12</f>
        <v>53280000</v>
      </c>
    </row>
    <row r="2513" spans="1:4" ht="13.5" customHeight="1" x14ac:dyDescent="0.3">
      <c r="A2513" s="46">
        <v>2509</v>
      </c>
      <c r="B2513" s="47">
        <f t="shared" ca="1" si="39"/>
        <v>0.24230749990845979</v>
      </c>
      <c r="C2513" s="48">
        <f t="array" aca="1" ref="C2513" ca="1">MAX(0,ROUND(Inputs!$B$10*Inputs!$B$11+NORMSINV(B2513)*SQRT(Inputs!$B$10*Inputs!$B$11),0))</f>
        <v>484</v>
      </c>
      <c r="D2513" s="49">
        <f ca="1">C2513*Inputs!$B$12</f>
        <v>58080000</v>
      </c>
    </row>
    <row r="2514" spans="1:4" ht="13.5" customHeight="1" x14ac:dyDescent="0.3">
      <c r="A2514" s="50">
        <v>2510</v>
      </c>
      <c r="B2514" s="51">
        <f t="shared" ca="1" si="39"/>
        <v>0.71732263058377732</v>
      </c>
      <c r="C2514" s="48">
        <f t="array" aca="1" ref="C2514" ca="1">MAX(0,ROUND(Inputs!$B$10*Inputs!$B$11+NORMSINV(B2514)*SQRT(Inputs!$B$10*Inputs!$B$11),0))</f>
        <v>513</v>
      </c>
      <c r="D2514" s="52">
        <f ca="1">C2514*Inputs!$B$12</f>
        <v>61560000</v>
      </c>
    </row>
    <row r="2515" spans="1:4" ht="13.5" customHeight="1" x14ac:dyDescent="0.3">
      <c r="A2515" s="46">
        <v>2511</v>
      </c>
      <c r="B2515" s="47">
        <f t="shared" ca="1" si="39"/>
        <v>0.65668374257702788</v>
      </c>
      <c r="C2515" s="48">
        <f t="array" aca="1" ref="C2515" ca="1">MAX(0,ROUND(Inputs!$B$10*Inputs!$B$11+NORMSINV(B2515)*SQRT(Inputs!$B$10*Inputs!$B$11),0))</f>
        <v>509</v>
      </c>
      <c r="D2515" s="49">
        <f ca="1">C2515*Inputs!$B$12</f>
        <v>61080000</v>
      </c>
    </row>
    <row r="2516" spans="1:4" ht="13.5" customHeight="1" x14ac:dyDescent="0.3">
      <c r="A2516" s="50">
        <v>2512</v>
      </c>
      <c r="B2516" s="51">
        <f t="shared" ca="1" si="39"/>
        <v>0.46867343642970738</v>
      </c>
      <c r="C2516" s="48">
        <f t="array" aca="1" ref="C2516" ca="1">MAX(0,ROUND(Inputs!$B$10*Inputs!$B$11+NORMSINV(B2516)*SQRT(Inputs!$B$10*Inputs!$B$11),0))</f>
        <v>498</v>
      </c>
      <c r="D2516" s="52">
        <f ca="1">C2516*Inputs!$B$12</f>
        <v>59760000</v>
      </c>
    </row>
    <row r="2517" spans="1:4" ht="13.5" customHeight="1" x14ac:dyDescent="0.3">
      <c r="A2517" s="46">
        <v>2513</v>
      </c>
      <c r="B2517" s="47">
        <f t="shared" ca="1" si="39"/>
        <v>0.46505348717357342</v>
      </c>
      <c r="C2517" s="48">
        <f t="array" aca="1" ref="C2517" ca="1">MAX(0,ROUND(Inputs!$B$10*Inputs!$B$11+NORMSINV(B2517)*SQRT(Inputs!$B$10*Inputs!$B$11),0))</f>
        <v>498</v>
      </c>
      <c r="D2517" s="49">
        <f ca="1">C2517*Inputs!$B$12</f>
        <v>59760000</v>
      </c>
    </row>
    <row r="2518" spans="1:4" ht="13.5" customHeight="1" x14ac:dyDescent="0.3">
      <c r="A2518" s="50">
        <v>2514</v>
      </c>
      <c r="B2518" s="51">
        <f t="shared" ca="1" si="39"/>
        <v>0.28045549157138749</v>
      </c>
      <c r="C2518" s="48">
        <f t="array" aca="1" ref="C2518" ca="1">MAX(0,ROUND(Inputs!$B$10*Inputs!$B$11+NORMSINV(B2518)*SQRT(Inputs!$B$10*Inputs!$B$11),0))</f>
        <v>487</v>
      </c>
      <c r="D2518" s="52">
        <f ca="1">C2518*Inputs!$B$12</f>
        <v>58440000</v>
      </c>
    </row>
    <row r="2519" spans="1:4" ht="13.5" customHeight="1" x14ac:dyDescent="0.3">
      <c r="A2519" s="46">
        <v>2515</v>
      </c>
      <c r="B2519" s="47">
        <f t="shared" ca="1" si="39"/>
        <v>0.44683008151439607</v>
      </c>
      <c r="C2519" s="48">
        <f t="array" aca="1" ref="C2519" ca="1">MAX(0,ROUND(Inputs!$B$10*Inputs!$B$11+NORMSINV(B2519)*SQRT(Inputs!$B$10*Inputs!$B$11),0))</f>
        <v>497</v>
      </c>
      <c r="D2519" s="49">
        <f ca="1">C2519*Inputs!$B$12</f>
        <v>59640000</v>
      </c>
    </row>
    <row r="2520" spans="1:4" ht="13.5" customHeight="1" x14ac:dyDescent="0.3">
      <c r="A2520" s="50">
        <v>2516</v>
      </c>
      <c r="B2520" s="51">
        <f t="shared" ca="1" si="39"/>
        <v>0.2927481117039803</v>
      </c>
      <c r="C2520" s="48">
        <f t="array" aca="1" ref="C2520" ca="1">MAX(0,ROUND(Inputs!$B$10*Inputs!$B$11+NORMSINV(B2520)*SQRT(Inputs!$B$10*Inputs!$B$11),0))</f>
        <v>488</v>
      </c>
      <c r="D2520" s="52">
        <f ca="1">C2520*Inputs!$B$12</f>
        <v>58560000</v>
      </c>
    </row>
    <row r="2521" spans="1:4" ht="13.5" customHeight="1" x14ac:dyDescent="0.3">
      <c r="A2521" s="46">
        <v>2517</v>
      </c>
      <c r="B2521" s="47">
        <f t="shared" ca="1" si="39"/>
        <v>0.67517663328454502</v>
      </c>
      <c r="C2521" s="48">
        <f t="array" aca="1" ref="C2521" ca="1">MAX(0,ROUND(Inputs!$B$10*Inputs!$B$11+NORMSINV(B2521)*SQRT(Inputs!$B$10*Inputs!$B$11),0))</f>
        <v>510</v>
      </c>
      <c r="D2521" s="49">
        <f ca="1">C2521*Inputs!$B$12</f>
        <v>61200000</v>
      </c>
    </row>
    <row r="2522" spans="1:4" ht="13.5" customHeight="1" x14ac:dyDescent="0.3">
      <c r="A2522" s="50">
        <v>2518</v>
      </c>
      <c r="B2522" s="51">
        <f t="shared" ca="1" si="39"/>
        <v>4.1807874624730901E-2</v>
      </c>
      <c r="C2522" s="48">
        <f t="array" aca="1" ref="C2522" ca="1">MAX(0,ROUND(Inputs!$B$10*Inputs!$B$11+NORMSINV(B2522)*SQRT(Inputs!$B$10*Inputs!$B$11),0))</f>
        <v>461</v>
      </c>
      <c r="D2522" s="52">
        <f ca="1">C2522*Inputs!$B$12</f>
        <v>55320000</v>
      </c>
    </row>
    <row r="2523" spans="1:4" ht="13.5" customHeight="1" x14ac:dyDescent="0.3">
      <c r="A2523" s="46">
        <v>2519</v>
      </c>
      <c r="B2523" s="47">
        <f t="shared" ca="1" si="39"/>
        <v>0.54560016983536763</v>
      </c>
      <c r="C2523" s="48">
        <f t="array" aca="1" ref="C2523" ca="1">MAX(0,ROUND(Inputs!$B$10*Inputs!$B$11+NORMSINV(B2523)*SQRT(Inputs!$B$10*Inputs!$B$11),0))</f>
        <v>503</v>
      </c>
      <c r="D2523" s="49">
        <f ca="1">C2523*Inputs!$B$12</f>
        <v>60360000</v>
      </c>
    </row>
    <row r="2524" spans="1:4" ht="13.5" customHeight="1" x14ac:dyDescent="0.3">
      <c r="A2524" s="50">
        <v>2520</v>
      </c>
      <c r="B2524" s="51">
        <f t="shared" ca="1" si="39"/>
        <v>0.5213433445440957</v>
      </c>
      <c r="C2524" s="48">
        <f t="array" aca="1" ref="C2524" ca="1">MAX(0,ROUND(Inputs!$B$10*Inputs!$B$11+NORMSINV(B2524)*SQRT(Inputs!$B$10*Inputs!$B$11),0))</f>
        <v>501</v>
      </c>
      <c r="D2524" s="52">
        <f ca="1">C2524*Inputs!$B$12</f>
        <v>60120000</v>
      </c>
    </row>
    <row r="2525" spans="1:4" ht="13.5" customHeight="1" x14ac:dyDescent="0.3">
      <c r="A2525" s="46">
        <v>2521</v>
      </c>
      <c r="B2525" s="47">
        <f t="shared" ca="1" si="39"/>
        <v>0.73949221538399235</v>
      </c>
      <c r="C2525" s="48">
        <f t="array" aca="1" ref="C2525" ca="1">MAX(0,ROUND(Inputs!$B$10*Inputs!$B$11+NORMSINV(B2525)*SQRT(Inputs!$B$10*Inputs!$B$11),0))</f>
        <v>514</v>
      </c>
      <c r="D2525" s="49">
        <f ca="1">C2525*Inputs!$B$12</f>
        <v>61680000</v>
      </c>
    </row>
    <row r="2526" spans="1:4" ht="13.5" customHeight="1" x14ac:dyDescent="0.3">
      <c r="A2526" s="50">
        <v>2522</v>
      </c>
      <c r="B2526" s="51">
        <f t="shared" ca="1" si="39"/>
        <v>0.64650970942417785</v>
      </c>
      <c r="C2526" s="48">
        <f t="array" aca="1" ref="C2526" ca="1">MAX(0,ROUND(Inputs!$B$10*Inputs!$B$11+NORMSINV(B2526)*SQRT(Inputs!$B$10*Inputs!$B$11),0))</f>
        <v>508</v>
      </c>
      <c r="D2526" s="52">
        <f ca="1">C2526*Inputs!$B$12</f>
        <v>60960000</v>
      </c>
    </row>
    <row r="2527" spans="1:4" ht="13.5" customHeight="1" x14ac:dyDescent="0.3">
      <c r="A2527" s="46">
        <v>2523</v>
      </c>
      <c r="B2527" s="47">
        <f t="shared" ca="1" si="39"/>
        <v>0.7896821619953549</v>
      </c>
      <c r="C2527" s="48">
        <f t="array" aca="1" ref="C2527" ca="1">MAX(0,ROUND(Inputs!$B$10*Inputs!$B$11+NORMSINV(B2527)*SQRT(Inputs!$B$10*Inputs!$B$11),0))</f>
        <v>518</v>
      </c>
      <c r="D2527" s="49">
        <f ca="1">C2527*Inputs!$B$12</f>
        <v>62160000</v>
      </c>
    </row>
    <row r="2528" spans="1:4" ht="13.5" customHeight="1" x14ac:dyDescent="0.3">
      <c r="A2528" s="50">
        <v>2524</v>
      </c>
      <c r="B2528" s="51">
        <f t="shared" ca="1" si="39"/>
        <v>2.8138141345725121E-2</v>
      </c>
      <c r="C2528" s="48">
        <f t="array" aca="1" ref="C2528" ca="1">MAX(0,ROUND(Inputs!$B$10*Inputs!$B$11+NORMSINV(B2528)*SQRT(Inputs!$B$10*Inputs!$B$11),0))</f>
        <v>457</v>
      </c>
      <c r="D2528" s="52">
        <f ca="1">C2528*Inputs!$B$12</f>
        <v>54840000</v>
      </c>
    </row>
    <row r="2529" spans="1:4" ht="13.5" customHeight="1" x14ac:dyDescent="0.3">
      <c r="A2529" s="46">
        <v>2525</v>
      </c>
      <c r="B2529" s="47">
        <f t="shared" ca="1" si="39"/>
        <v>0.32351016814538336</v>
      </c>
      <c r="C2529" s="48">
        <f t="array" aca="1" ref="C2529" ca="1">MAX(0,ROUND(Inputs!$B$10*Inputs!$B$11+NORMSINV(B2529)*SQRT(Inputs!$B$10*Inputs!$B$11),0))</f>
        <v>490</v>
      </c>
      <c r="D2529" s="49">
        <f ca="1">C2529*Inputs!$B$12</f>
        <v>58800000</v>
      </c>
    </row>
    <row r="2530" spans="1:4" ht="13.5" customHeight="1" x14ac:dyDescent="0.3">
      <c r="A2530" s="50">
        <v>2526</v>
      </c>
      <c r="B2530" s="51">
        <f t="shared" ca="1" si="39"/>
        <v>0.50429887826697539</v>
      </c>
      <c r="C2530" s="48">
        <f t="array" aca="1" ref="C2530" ca="1">MAX(0,ROUND(Inputs!$B$10*Inputs!$B$11+NORMSINV(B2530)*SQRT(Inputs!$B$10*Inputs!$B$11),0))</f>
        <v>500</v>
      </c>
      <c r="D2530" s="52">
        <f ca="1">C2530*Inputs!$B$12</f>
        <v>60000000</v>
      </c>
    </row>
    <row r="2531" spans="1:4" ht="13.5" customHeight="1" x14ac:dyDescent="0.3">
      <c r="A2531" s="46">
        <v>2527</v>
      </c>
      <c r="B2531" s="47">
        <f t="shared" ca="1" si="39"/>
        <v>0.84820119205090827</v>
      </c>
      <c r="C2531" s="48">
        <f t="array" aca="1" ref="C2531" ca="1">MAX(0,ROUND(Inputs!$B$10*Inputs!$B$11+NORMSINV(B2531)*SQRT(Inputs!$B$10*Inputs!$B$11),0))</f>
        <v>523</v>
      </c>
      <c r="D2531" s="49">
        <f ca="1">C2531*Inputs!$B$12</f>
        <v>62760000</v>
      </c>
    </row>
    <row r="2532" spans="1:4" ht="13.5" customHeight="1" x14ac:dyDescent="0.3">
      <c r="A2532" s="50">
        <v>2528</v>
      </c>
      <c r="B2532" s="51">
        <f t="shared" ca="1" si="39"/>
        <v>0.13910885137034101</v>
      </c>
      <c r="C2532" s="48">
        <f t="array" aca="1" ref="C2532" ca="1">MAX(0,ROUND(Inputs!$B$10*Inputs!$B$11+NORMSINV(B2532)*SQRT(Inputs!$B$10*Inputs!$B$11),0))</f>
        <v>476</v>
      </c>
      <c r="D2532" s="52">
        <f ca="1">C2532*Inputs!$B$12</f>
        <v>57120000</v>
      </c>
    </row>
    <row r="2533" spans="1:4" ht="13.5" customHeight="1" x14ac:dyDescent="0.3">
      <c r="A2533" s="46">
        <v>2529</v>
      </c>
      <c r="B2533" s="47">
        <f t="shared" ca="1" si="39"/>
        <v>0.4892401886603992</v>
      </c>
      <c r="C2533" s="48">
        <f t="array" aca="1" ref="C2533" ca="1">MAX(0,ROUND(Inputs!$B$10*Inputs!$B$11+NORMSINV(B2533)*SQRT(Inputs!$B$10*Inputs!$B$11),0))</f>
        <v>499</v>
      </c>
      <c r="D2533" s="49">
        <f ca="1">C2533*Inputs!$B$12</f>
        <v>59880000</v>
      </c>
    </row>
    <row r="2534" spans="1:4" ht="13.5" customHeight="1" x14ac:dyDescent="0.3">
      <c r="A2534" s="50">
        <v>2530</v>
      </c>
      <c r="B2534" s="51">
        <f t="shared" ca="1" si="39"/>
        <v>0.43427891311232358</v>
      </c>
      <c r="C2534" s="48">
        <f t="array" aca="1" ref="C2534" ca="1">MAX(0,ROUND(Inputs!$B$10*Inputs!$B$11+NORMSINV(B2534)*SQRT(Inputs!$B$10*Inputs!$B$11),0))</f>
        <v>496</v>
      </c>
      <c r="D2534" s="52">
        <f ca="1">C2534*Inputs!$B$12</f>
        <v>59520000</v>
      </c>
    </row>
    <row r="2535" spans="1:4" ht="13.5" customHeight="1" x14ac:dyDescent="0.3">
      <c r="A2535" s="46">
        <v>2531</v>
      </c>
      <c r="B2535" s="47">
        <f t="shared" ca="1" si="39"/>
        <v>0.75838552272107485</v>
      </c>
      <c r="C2535" s="48">
        <f t="array" aca="1" ref="C2535" ca="1">MAX(0,ROUND(Inputs!$B$10*Inputs!$B$11+NORMSINV(B2535)*SQRT(Inputs!$B$10*Inputs!$B$11),0))</f>
        <v>516</v>
      </c>
      <c r="D2535" s="49">
        <f ca="1">C2535*Inputs!$B$12</f>
        <v>61920000</v>
      </c>
    </row>
    <row r="2536" spans="1:4" ht="13.5" customHeight="1" x14ac:dyDescent="0.3">
      <c r="A2536" s="50">
        <v>2532</v>
      </c>
      <c r="B2536" s="51">
        <f t="shared" ca="1" si="39"/>
        <v>0.70210472541444657</v>
      </c>
      <c r="C2536" s="48">
        <f t="array" aca="1" ref="C2536" ca="1">MAX(0,ROUND(Inputs!$B$10*Inputs!$B$11+NORMSINV(B2536)*SQRT(Inputs!$B$10*Inputs!$B$11),0))</f>
        <v>512</v>
      </c>
      <c r="D2536" s="52">
        <f ca="1">C2536*Inputs!$B$12</f>
        <v>61440000</v>
      </c>
    </row>
    <row r="2537" spans="1:4" ht="13.5" customHeight="1" x14ac:dyDescent="0.3">
      <c r="A2537" s="46">
        <v>2533</v>
      </c>
      <c r="B2537" s="47">
        <f t="shared" ca="1" si="39"/>
        <v>0.53984762518312723</v>
      </c>
      <c r="C2537" s="48">
        <f t="array" aca="1" ref="C2537" ca="1">MAX(0,ROUND(Inputs!$B$10*Inputs!$B$11+NORMSINV(B2537)*SQRT(Inputs!$B$10*Inputs!$B$11),0))</f>
        <v>502</v>
      </c>
      <c r="D2537" s="49">
        <f ca="1">C2537*Inputs!$B$12</f>
        <v>60240000</v>
      </c>
    </row>
    <row r="2538" spans="1:4" ht="13.5" customHeight="1" x14ac:dyDescent="0.3">
      <c r="A2538" s="50">
        <v>2534</v>
      </c>
      <c r="B2538" s="51">
        <f t="shared" ca="1" si="39"/>
        <v>0.43255352755949594</v>
      </c>
      <c r="C2538" s="48">
        <f t="array" aca="1" ref="C2538" ca="1">MAX(0,ROUND(Inputs!$B$10*Inputs!$B$11+NORMSINV(B2538)*SQRT(Inputs!$B$10*Inputs!$B$11),0))</f>
        <v>496</v>
      </c>
      <c r="D2538" s="52">
        <f ca="1">C2538*Inputs!$B$12</f>
        <v>59520000</v>
      </c>
    </row>
    <row r="2539" spans="1:4" ht="13.5" customHeight="1" x14ac:dyDescent="0.3">
      <c r="A2539" s="46">
        <v>2535</v>
      </c>
      <c r="B2539" s="47">
        <f t="shared" ca="1" si="39"/>
        <v>0.53949017650524334</v>
      </c>
      <c r="C2539" s="48">
        <f t="array" aca="1" ref="C2539" ca="1">MAX(0,ROUND(Inputs!$B$10*Inputs!$B$11+NORMSINV(B2539)*SQRT(Inputs!$B$10*Inputs!$B$11),0))</f>
        <v>502</v>
      </c>
      <c r="D2539" s="49">
        <f ca="1">C2539*Inputs!$B$12</f>
        <v>60240000</v>
      </c>
    </row>
    <row r="2540" spans="1:4" ht="13.5" customHeight="1" x14ac:dyDescent="0.3">
      <c r="A2540" s="50">
        <v>2536</v>
      </c>
      <c r="B2540" s="51">
        <f t="shared" ca="1" si="39"/>
        <v>0.46132158223856667</v>
      </c>
      <c r="C2540" s="48">
        <f t="array" aca="1" ref="C2540" ca="1">MAX(0,ROUND(Inputs!$B$10*Inputs!$B$11+NORMSINV(B2540)*SQRT(Inputs!$B$10*Inputs!$B$11),0))</f>
        <v>498</v>
      </c>
      <c r="D2540" s="52">
        <f ca="1">C2540*Inputs!$B$12</f>
        <v>59760000</v>
      </c>
    </row>
    <row r="2541" spans="1:4" ht="13.5" customHeight="1" x14ac:dyDescent="0.3">
      <c r="A2541" s="46">
        <v>2537</v>
      </c>
      <c r="B2541" s="47">
        <f t="shared" ca="1" si="39"/>
        <v>0.12378796318125929</v>
      </c>
      <c r="C2541" s="48">
        <f t="array" aca="1" ref="C2541" ca="1">MAX(0,ROUND(Inputs!$B$10*Inputs!$B$11+NORMSINV(B2541)*SQRT(Inputs!$B$10*Inputs!$B$11),0))</f>
        <v>474</v>
      </c>
      <c r="D2541" s="49">
        <f ca="1">C2541*Inputs!$B$12</f>
        <v>56880000</v>
      </c>
    </row>
    <row r="2542" spans="1:4" ht="13.5" customHeight="1" x14ac:dyDescent="0.3">
      <c r="A2542" s="50">
        <v>2538</v>
      </c>
      <c r="B2542" s="51">
        <f t="shared" ca="1" si="39"/>
        <v>0.83190548454926905</v>
      </c>
      <c r="C2542" s="48">
        <f t="array" aca="1" ref="C2542" ca="1">MAX(0,ROUND(Inputs!$B$10*Inputs!$B$11+NORMSINV(B2542)*SQRT(Inputs!$B$10*Inputs!$B$11),0))</f>
        <v>522</v>
      </c>
      <c r="D2542" s="52">
        <f ca="1">C2542*Inputs!$B$12</f>
        <v>62640000</v>
      </c>
    </row>
    <row r="2543" spans="1:4" ht="13.5" customHeight="1" x14ac:dyDescent="0.3">
      <c r="A2543" s="46">
        <v>2539</v>
      </c>
      <c r="B2543" s="47">
        <f t="shared" ca="1" si="39"/>
        <v>0.62964041362107637</v>
      </c>
      <c r="C2543" s="48">
        <f t="array" aca="1" ref="C2543" ca="1">MAX(0,ROUND(Inputs!$B$10*Inputs!$B$11+NORMSINV(B2543)*SQRT(Inputs!$B$10*Inputs!$B$11),0))</f>
        <v>507</v>
      </c>
      <c r="D2543" s="49">
        <f ca="1">C2543*Inputs!$B$12</f>
        <v>60840000</v>
      </c>
    </row>
    <row r="2544" spans="1:4" ht="13.5" customHeight="1" x14ac:dyDescent="0.3">
      <c r="A2544" s="50">
        <v>2540</v>
      </c>
      <c r="B2544" s="51">
        <f t="shared" ca="1" si="39"/>
        <v>0.56470942803114754</v>
      </c>
      <c r="C2544" s="48">
        <f t="array" aca="1" ref="C2544" ca="1">MAX(0,ROUND(Inputs!$B$10*Inputs!$B$11+NORMSINV(B2544)*SQRT(Inputs!$B$10*Inputs!$B$11),0))</f>
        <v>504</v>
      </c>
      <c r="D2544" s="52">
        <f ca="1">C2544*Inputs!$B$12</f>
        <v>60480000</v>
      </c>
    </row>
    <row r="2545" spans="1:4" ht="13.5" customHeight="1" x14ac:dyDescent="0.3">
      <c r="A2545" s="46">
        <v>2541</v>
      </c>
      <c r="B2545" s="47">
        <f t="shared" ca="1" si="39"/>
        <v>0.29355711171782206</v>
      </c>
      <c r="C2545" s="48">
        <f t="array" aca="1" ref="C2545" ca="1">MAX(0,ROUND(Inputs!$B$10*Inputs!$B$11+NORMSINV(B2545)*SQRT(Inputs!$B$10*Inputs!$B$11),0))</f>
        <v>488</v>
      </c>
      <c r="D2545" s="49">
        <f ca="1">C2545*Inputs!$B$12</f>
        <v>58560000</v>
      </c>
    </row>
    <row r="2546" spans="1:4" ht="13.5" customHeight="1" x14ac:dyDescent="0.3">
      <c r="A2546" s="50">
        <v>2542</v>
      </c>
      <c r="B2546" s="51">
        <f t="shared" ca="1" si="39"/>
        <v>0.33566143741130783</v>
      </c>
      <c r="C2546" s="48">
        <f t="array" aca="1" ref="C2546" ca="1">MAX(0,ROUND(Inputs!$B$10*Inputs!$B$11+NORMSINV(B2546)*SQRT(Inputs!$B$10*Inputs!$B$11),0))</f>
        <v>491</v>
      </c>
      <c r="D2546" s="52">
        <f ca="1">C2546*Inputs!$B$12</f>
        <v>58920000</v>
      </c>
    </row>
    <row r="2547" spans="1:4" ht="13.5" customHeight="1" x14ac:dyDescent="0.3">
      <c r="A2547" s="46">
        <v>2543</v>
      </c>
      <c r="B2547" s="47">
        <f t="shared" ca="1" si="39"/>
        <v>0.813687483368286</v>
      </c>
      <c r="C2547" s="48">
        <f t="array" aca="1" ref="C2547" ca="1">MAX(0,ROUND(Inputs!$B$10*Inputs!$B$11+NORMSINV(B2547)*SQRT(Inputs!$B$10*Inputs!$B$11),0))</f>
        <v>520</v>
      </c>
      <c r="D2547" s="49">
        <f ca="1">C2547*Inputs!$B$12</f>
        <v>62400000</v>
      </c>
    </row>
    <row r="2548" spans="1:4" ht="13.5" customHeight="1" x14ac:dyDescent="0.3">
      <c r="A2548" s="50">
        <v>2544</v>
      </c>
      <c r="B2548" s="51">
        <f t="shared" ca="1" si="39"/>
        <v>0.7041519960484437</v>
      </c>
      <c r="C2548" s="48">
        <f t="array" aca="1" ref="C2548" ca="1">MAX(0,ROUND(Inputs!$B$10*Inputs!$B$11+NORMSINV(B2548)*SQRT(Inputs!$B$10*Inputs!$B$11),0))</f>
        <v>512</v>
      </c>
      <c r="D2548" s="52">
        <f ca="1">C2548*Inputs!$B$12</f>
        <v>61440000</v>
      </c>
    </row>
    <row r="2549" spans="1:4" ht="13.5" customHeight="1" x14ac:dyDescent="0.3">
      <c r="A2549" s="46">
        <v>2545</v>
      </c>
      <c r="B2549" s="47">
        <f t="shared" ca="1" si="39"/>
        <v>0.36392088340133311</v>
      </c>
      <c r="C2549" s="48">
        <f t="array" aca="1" ref="C2549" ca="1">MAX(0,ROUND(Inputs!$B$10*Inputs!$B$11+NORMSINV(B2549)*SQRT(Inputs!$B$10*Inputs!$B$11),0))</f>
        <v>492</v>
      </c>
      <c r="D2549" s="49">
        <f ca="1">C2549*Inputs!$B$12</f>
        <v>59040000</v>
      </c>
    </row>
    <row r="2550" spans="1:4" ht="13.5" customHeight="1" x14ac:dyDescent="0.3">
      <c r="A2550" s="50">
        <v>2546</v>
      </c>
      <c r="B2550" s="51">
        <f t="shared" ca="1" si="39"/>
        <v>0.33409329958062295</v>
      </c>
      <c r="C2550" s="48">
        <f t="array" aca="1" ref="C2550" ca="1">MAX(0,ROUND(Inputs!$B$10*Inputs!$B$11+NORMSINV(B2550)*SQRT(Inputs!$B$10*Inputs!$B$11),0))</f>
        <v>490</v>
      </c>
      <c r="D2550" s="52">
        <f ca="1">C2550*Inputs!$B$12</f>
        <v>58800000</v>
      </c>
    </row>
    <row r="2551" spans="1:4" ht="13.5" customHeight="1" x14ac:dyDescent="0.3">
      <c r="A2551" s="46">
        <v>2547</v>
      </c>
      <c r="B2551" s="47">
        <f t="shared" ca="1" si="39"/>
        <v>0.92264689137383582</v>
      </c>
      <c r="C2551" s="48">
        <f t="array" aca="1" ref="C2551" ca="1">MAX(0,ROUND(Inputs!$B$10*Inputs!$B$11+NORMSINV(B2551)*SQRT(Inputs!$B$10*Inputs!$B$11),0))</f>
        <v>532</v>
      </c>
      <c r="D2551" s="49">
        <f ca="1">C2551*Inputs!$B$12</f>
        <v>63840000</v>
      </c>
    </row>
    <row r="2552" spans="1:4" ht="13.5" customHeight="1" x14ac:dyDescent="0.3">
      <c r="A2552" s="50">
        <v>2548</v>
      </c>
      <c r="B2552" s="51">
        <f t="shared" ca="1" si="39"/>
        <v>0.66052999575126847</v>
      </c>
      <c r="C2552" s="48">
        <f t="array" aca="1" ref="C2552" ca="1">MAX(0,ROUND(Inputs!$B$10*Inputs!$B$11+NORMSINV(B2552)*SQRT(Inputs!$B$10*Inputs!$B$11),0))</f>
        <v>509</v>
      </c>
      <c r="D2552" s="52">
        <f ca="1">C2552*Inputs!$B$12</f>
        <v>61080000</v>
      </c>
    </row>
    <row r="2553" spans="1:4" ht="13.5" customHeight="1" x14ac:dyDescent="0.3">
      <c r="A2553" s="46">
        <v>2549</v>
      </c>
      <c r="B2553" s="47">
        <f t="shared" ca="1" si="39"/>
        <v>0.16214125105016042</v>
      </c>
      <c r="C2553" s="48">
        <f t="array" aca="1" ref="C2553" ca="1">MAX(0,ROUND(Inputs!$B$10*Inputs!$B$11+NORMSINV(B2553)*SQRT(Inputs!$B$10*Inputs!$B$11),0))</f>
        <v>478</v>
      </c>
      <c r="D2553" s="49">
        <f ca="1">C2553*Inputs!$B$12</f>
        <v>57360000</v>
      </c>
    </row>
    <row r="2554" spans="1:4" ht="13.5" customHeight="1" x14ac:dyDescent="0.3">
      <c r="A2554" s="50">
        <v>2550</v>
      </c>
      <c r="B2554" s="51">
        <f t="shared" ca="1" si="39"/>
        <v>0.57435168731650676</v>
      </c>
      <c r="C2554" s="48">
        <f t="array" aca="1" ref="C2554" ca="1">MAX(0,ROUND(Inputs!$B$10*Inputs!$B$11+NORMSINV(B2554)*SQRT(Inputs!$B$10*Inputs!$B$11),0))</f>
        <v>504</v>
      </c>
      <c r="D2554" s="52">
        <f ca="1">C2554*Inputs!$B$12</f>
        <v>60480000</v>
      </c>
    </row>
    <row r="2555" spans="1:4" ht="13.5" customHeight="1" x14ac:dyDescent="0.3">
      <c r="A2555" s="46">
        <v>2551</v>
      </c>
      <c r="B2555" s="47">
        <f t="shared" ca="1" si="39"/>
        <v>0.7466434636796393</v>
      </c>
      <c r="C2555" s="48">
        <f t="array" aca="1" ref="C2555" ca="1">MAX(0,ROUND(Inputs!$B$10*Inputs!$B$11+NORMSINV(B2555)*SQRT(Inputs!$B$10*Inputs!$B$11),0))</f>
        <v>515</v>
      </c>
      <c r="D2555" s="49">
        <f ca="1">C2555*Inputs!$B$12</f>
        <v>61800000</v>
      </c>
    </row>
    <row r="2556" spans="1:4" ht="13.5" customHeight="1" x14ac:dyDescent="0.3">
      <c r="A2556" s="50">
        <v>2552</v>
      </c>
      <c r="B2556" s="51">
        <f t="shared" ca="1" si="39"/>
        <v>0.99580227609522853</v>
      </c>
      <c r="C2556" s="48">
        <f t="array" aca="1" ref="C2556" ca="1">MAX(0,ROUND(Inputs!$B$10*Inputs!$B$11+NORMSINV(B2556)*SQRT(Inputs!$B$10*Inputs!$B$11),0))</f>
        <v>559</v>
      </c>
      <c r="D2556" s="52">
        <f ca="1">C2556*Inputs!$B$12</f>
        <v>67080000</v>
      </c>
    </row>
    <row r="2557" spans="1:4" ht="13.5" customHeight="1" x14ac:dyDescent="0.3">
      <c r="A2557" s="46">
        <v>2553</v>
      </c>
      <c r="B2557" s="47">
        <f t="shared" ca="1" si="39"/>
        <v>0.60722914463698663</v>
      </c>
      <c r="C2557" s="48">
        <f t="array" aca="1" ref="C2557" ca="1">MAX(0,ROUND(Inputs!$B$10*Inputs!$B$11+NORMSINV(B2557)*SQRT(Inputs!$B$10*Inputs!$B$11),0))</f>
        <v>506</v>
      </c>
      <c r="D2557" s="49">
        <f ca="1">C2557*Inputs!$B$12</f>
        <v>60720000</v>
      </c>
    </row>
    <row r="2558" spans="1:4" ht="13.5" customHeight="1" x14ac:dyDescent="0.3">
      <c r="A2558" s="50">
        <v>2554</v>
      </c>
      <c r="B2558" s="51">
        <f t="shared" ca="1" si="39"/>
        <v>0.92562703872223384</v>
      </c>
      <c r="C2558" s="48">
        <f t="array" aca="1" ref="C2558" ca="1">MAX(0,ROUND(Inputs!$B$10*Inputs!$B$11+NORMSINV(B2558)*SQRT(Inputs!$B$10*Inputs!$B$11),0))</f>
        <v>532</v>
      </c>
      <c r="D2558" s="52">
        <f ca="1">C2558*Inputs!$B$12</f>
        <v>63840000</v>
      </c>
    </row>
    <row r="2559" spans="1:4" ht="13.5" customHeight="1" x14ac:dyDescent="0.3">
      <c r="A2559" s="46">
        <v>2555</v>
      </c>
      <c r="B2559" s="47">
        <f t="shared" ca="1" si="39"/>
        <v>0.61155841509351605</v>
      </c>
      <c r="C2559" s="48">
        <f t="array" aca="1" ref="C2559" ca="1">MAX(0,ROUND(Inputs!$B$10*Inputs!$B$11+NORMSINV(B2559)*SQRT(Inputs!$B$10*Inputs!$B$11),0))</f>
        <v>506</v>
      </c>
      <c r="D2559" s="49">
        <f ca="1">C2559*Inputs!$B$12</f>
        <v>60720000</v>
      </c>
    </row>
    <row r="2560" spans="1:4" ht="13.5" customHeight="1" x14ac:dyDescent="0.3">
      <c r="A2560" s="50">
        <v>2556</v>
      </c>
      <c r="B2560" s="51">
        <f t="shared" ca="1" si="39"/>
        <v>0.13090977407387916</v>
      </c>
      <c r="C2560" s="48">
        <f t="array" aca="1" ref="C2560" ca="1">MAX(0,ROUND(Inputs!$B$10*Inputs!$B$11+NORMSINV(B2560)*SQRT(Inputs!$B$10*Inputs!$B$11),0))</f>
        <v>475</v>
      </c>
      <c r="D2560" s="52">
        <f ca="1">C2560*Inputs!$B$12</f>
        <v>57000000</v>
      </c>
    </row>
    <row r="2561" spans="1:4" ht="13.5" customHeight="1" x14ac:dyDescent="0.3">
      <c r="A2561" s="46">
        <v>2557</v>
      </c>
      <c r="B2561" s="47">
        <f t="shared" ca="1" si="39"/>
        <v>0.24331518354417947</v>
      </c>
      <c r="C2561" s="48">
        <f t="array" aca="1" ref="C2561" ca="1">MAX(0,ROUND(Inputs!$B$10*Inputs!$B$11+NORMSINV(B2561)*SQRT(Inputs!$B$10*Inputs!$B$11),0))</f>
        <v>484</v>
      </c>
      <c r="D2561" s="49">
        <f ca="1">C2561*Inputs!$B$12</f>
        <v>58080000</v>
      </c>
    </row>
    <row r="2562" spans="1:4" ht="13.5" customHeight="1" x14ac:dyDescent="0.3">
      <c r="A2562" s="50">
        <v>2558</v>
      </c>
      <c r="B2562" s="51">
        <f t="shared" ca="1" si="39"/>
        <v>0.98122298668488661</v>
      </c>
      <c r="C2562" s="48">
        <f t="array" aca="1" ref="C2562" ca="1">MAX(0,ROUND(Inputs!$B$10*Inputs!$B$11+NORMSINV(B2562)*SQRT(Inputs!$B$10*Inputs!$B$11),0))</f>
        <v>547</v>
      </c>
      <c r="D2562" s="52">
        <f ca="1">C2562*Inputs!$B$12</f>
        <v>65640000</v>
      </c>
    </row>
    <row r="2563" spans="1:4" ht="13.5" customHeight="1" x14ac:dyDescent="0.3">
      <c r="A2563" s="46">
        <v>2559</v>
      </c>
      <c r="B2563" s="47">
        <f t="shared" ca="1" si="39"/>
        <v>0.10045984949484144</v>
      </c>
      <c r="C2563" s="48">
        <f t="array" aca="1" ref="C2563" ca="1">MAX(0,ROUND(Inputs!$B$10*Inputs!$B$11+NORMSINV(B2563)*SQRT(Inputs!$B$10*Inputs!$B$11),0))</f>
        <v>471</v>
      </c>
      <c r="D2563" s="49">
        <f ca="1">C2563*Inputs!$B$12</f>
        <v>56520000</v>
      </c>
    </row>
    <row r="2564" spans="1:4" ht="13.5" customHeight="1" x14ac:dyDescent="0.3">
      <c r="A2564" s="50">
        <v>2560</v>
      </c>
      <c r="B2564" s="51">
        <f t="shared" ca="1" si="39"/>
        <v>0.56135711232584773</v>
      </c>
      <c r="C2564" s="48">
        <f t="array" aca="1" ref="C2564" ca="1">MAX(0,ROUND(Inputs!$B$10*Inputs!$B$11+NORMSINV(B2564)*SQRT(Inputs!$B$10*Inputs!$B$11),0))</f>
        <v>503</v>
      </c>
      <c r="D2564" s="52">
        <f ca="1">C2564*Inputs!$B$12</f>
        <v>60360000</v>
      </c>
    </row>
    <row r="2565" spans="1:4" ht="13.5" customHeight="1" x14ac:dyDescent="0.3">
      <c r="A2565" s="46">
        <v>2561</v>
      </c>
      <c r="B2565" s="47">
        <f t="shared" ref="B2565:B2628" ca="1" si="40">RAND()</f>
        <v>0.12797149606839586</v>
      </c>
      <c r="C2565" s="48">
        <f t="array" aca="1" ref="C2565" ca="1">MAX(0,ROUND(Inputs!$B$10*Inputs!$B$11+NORMSINV(B2565)*SQRT(Inputs!$B$10*Inputs!$B$11),0))</f>
        <v>475</v>
      </c>
      <c r="D2565" s="49">
        <f ca="1">C2565*Inputs!$B$12</f>
        <v>57000000</v>
      </c>
    </row>
    <row r="2566" spans="1:4" ht="13.5" customHeight="1" x14ac:dyDescent="0.3">
      <c r="A2566" s="50">
        <v>2562</v>
      </c>
      <c r="B2566" s="51">
        <f t="shared" ca="1" si="40"/>
        <v>0.71418826177587469</v>
      </c>
      <c r="C2566" s="48">
        <f t="array" aca="1" ref="C2566" ca="1">MAX(0,ROUND(Inputs!$B$10*Inputs!$B$11+NORMSINV(B2566)*SQRT(Inputs!$B$10*Inputs!$B$11),0))</f>
        <v>513</v>
      </c>
      <c r="D2566" s="52">
        <f ca="1">C2566*Inputs!$B$12</f>
        <v>61560000</v>
      </c>
    </row>
    <row r="2567" spans="1:4" ht="13.5" customHeight="1" x14ac:dyDescent="0.3">
      <c r="A2567" s="46">
        <v>2563</v>
      </c>
      <c r="B2567" s="47">
        <f t="shared" ca="1" si="40"/>
        <v>0.24809980262348208</v>
      </c>
      <c r="C2567" s="48">
        <f t="array" aca="1" ref="C2567" ca="1">MAX(0,ROUND(Inputs!$B$10*Inputs!$B$11+NORMSINV(B2567)*SQRT(Inputs!$B$10*Inputs!$B$11),0))</f>
        <v>485</v>
      </c>
      <c r="D2567" s="49">
        <f ca="1">C2567*Inputs!$B$12</f>
        <v>58200000</v>
      </c>
    </row>
    <row r="2568" spans="1:4" ht="13.5" customHeight="1" x14ac:dyDescent="0.3">
      <c r="A2568" s="50">
        <v>2564</v>
      </c>
      <c r="B2568" s="51">
        <f t="shared" ca="1" si="40"/>
        <v>0.9452403714626435</v>
      </c>
      <c r="C2568" s="48">
        <f t="array" aca="1" ref="C2568" ca="1">MAX(0,ROUND(Inputs!$B$10*Inputs!$B$11+NORMSINV(B2568)*SQRT(Inputs!$B$10*Inputs!$B$11),0))</f>
        <v>536</v>
      </c>
      <c r="D2568" s="52">
        <f ca="1">C2568*Inputs!$B$12</f>
        <v>64320000</v>
      </c>
    </row>
    <row r="2569" spans="1:4" ht="13.5" customHeight="1" x14ac:dyDescent="0.3">
      <c r="A2569" s="46">
        <v>2565</v>
      </c>
      <c r="B2569" s="47">
        <f t="shared" ca="1" si="40"/>
        <v>0.41705128719705653</v>
      </c>
      <c r="C2569" s="48">
        <f t="array" aca="1" ref="C2569" ca="1">MAX(0,ROUND(Inputs!$B$10*Inputs!$B$11+NORMSINV(B2569)*SQRT(Inputs!$B$10*Inputs!$B$11),0))</f>
        <v>495</v>
      </c>
      <c r="D2569" s="49">
        <f ca="1">C2569*Inputs!$B$12</f>
        <v>59400000</v>
      </c>
    </row>
    <row r="2570" spans="1:4" ht="13.5" customHeight="1" x14ac:dyDescent="0.3">
      <c r="A2570" s="50">
        <v>2566</v>
      </c>
      <c r="B2570" s="51">
        <f t="shared" ca="1" si="40"/>
        <v>8.5233831718693143E-2</v>
      </c>
      <c r="C2570" s="48">
        <f t="array" aca="1" ref="C2570" ca="1">MAX(0,ROUND(Inputs!$B$10*Inputs!$B$11+NORMSINV(B2570)*SQRT(Inputs!$B$10*Inputs!$B$11),0))</f>
        <v>469</v>
      </c>
      <c r="D2570" s="52">
        <f ca="1">C2570*Inputs!$B$12</f>
        <v>56280000</v>
      </c>
    </row>
    <row r="2571" spans="1:4" ht="13.5" customHeight="1" x14ac:dyDescent="0.3">
      <c r="A2571" s="46">
        <v>2567</v>
      </c>
      <c r="B2571" s="47">
        <f t="shared" ca="1" si="40"/>
        <v>0.55362730204706134</v>
      </c>
      <c r="C2571" s="48">
        <f t="array" aca="1" ref="C2571" ca="1">MAX(0,ROUND(Inputs!$B$10*Inputs!$B$11+NORMSINV(B2571)*SQRT(Inputs!$B$10*Inputs!$B$11),0))</f>
        <v>503</v>
      </c>
      <c r="D2571" s="49">
        <f ca="1">C2571*Inputs!$B$12</f>
        <v>60360000</v>
      </c>
    </row>
    <row r="2572" spans="1:4" ht="13.5" customHeight="1" x14ac:dyDescent="0.3">
      <c r="A2572" s="50">
        <v>2568</v>
      </c>
      <c r="B2572" s="51">
        <f t="shared" ca="1" si="40"/>
        <v>0.27485767699835395</v>
      </c>
      <c r="C2572" s="48">
        <f t="array" aca="1" ref="C2572" ca="1">MAX(0,ROUND(Inputs!$B$10*Inputs!$B$11+NORMSINV(B2572)*SQRT(Inputs!$B$10*Inputs!$B$11),0))</f>
        <v>487</v>
      </c>
      <c r="D2572" s="52">
        <f ca="1">C2572*Inputs!$B$12</f>
        <v>58440000</v>
      </c>
    </row>
    <row r="2573" spans="1:4" ht="13.5" customHeight="1" x14ac:dyDescent="0.3">
      <c r="A2573" s="46">
        <v>2569</v>
      </c>
      <c r="B2573" s="47">
        <f t="shared" ca="1" si="40"/>
        <v>0.8011538122403743</v>
      </c>
      <c r="C2573" s="48">
        <f t="array" aca="1" ref="C2573" ca="1">MAX(0,ROUND(Inputs!$B$10*Inputs!$B$11+NORMSINV(B2573)*SQRT(Inputs!$B$10*Inputs!$B$11),0))</f>
        <v>519</v>
      </c>
      <c r="D2573" s="49">
        <f ca="1">C2573*Inputs!$B$12</f>
        <v>62280000</v>
      </c>
    </row>
    <row r="2574" spans="1:4" ht="13.5" customHeight="1" x14ac:dyDescent="0.3">
      <c r="A2574" s="50">
        <v>2570</v>
      </c>
      <c r="B2574" s="51">
        <f t="shared" ca="1" si="40"/>
        <v>0.16184473802199195</v>
      </c>
      <c r="C2574" s="48">
        <f t="array" aca="1" ref="C2574" ca="1">MAX(0,ROUND(Inputs!$B$10*Inputs!$B$11+NORMSINV(B2574)*SQRT(Inputs!$B$10*Inputs!$B$11),0))</f>
        <v>478</v>
      </c>
      <c r="D2574" s="52">
        <f ca="1">C2574*Inputs!$B$12</f>
        <v>57360000</v>
      </c>
    </row>
    <row r="2575" spans="1:4" ht="13.5" customHeight="1" x14ac:dyDescent="0.3">
      <c r="A2575" s="46">
        <v>2571</v>
      </c>
      <c r="B2575" s="47">
        <f t="shared" ca="1" si="40"/>
        <v>0.53257361835871331</v>
      </c>
      <c r="C2575" s="48">
        <f t="array" aca="1" ref="C2575" ca="1">MAX(0,ROUND(Inputs!$B$10*Inputs!$B$11+NORMSINV(B2575)*SQRT(Inputs!$B$10*Inputs!$B$11),0))</f>
        <v>502</v>
      </c>
      <c r="D2575" s="49">
        <f ca="1">C2575*Inputs!$B$12</f>
        <v>60240000</v>
      </c>
    </row>
    <row r="2576" spans="1:4" ht="13.5" customHeight="1" x14ac:dyDescent="0.3">
      <c r="A2576" s="50">
        <v>2572</v>
      </c>
      <c r="B2576" s="51">
        <f t="shared" ca="1" si="40"/>
        <v>0.8287319023794314</v>
      </c>
      <c r="C2576" s="48">
        <f t="array" aca="1" ref="C2576" ca="1">MAX(0,ROUND(Inputs!$B$10*Inputs!$B$11+NORMSINV(B2576)*SQRT(Inputs!$B$10*Inputs!$B$11),0))</f>
        <v>521</v>
      </c>
      <c r="D2576" s="52">
        <f ca="1">C2576*Inputs!$B$12</f>
        <v>62520000</v>
      </c>
    </row>
    <row r="2577" spans="1:4" ht="13.5" customHeight="1" x14ac:dyDescent="0.3">
      <c r="A2577" s="46">
        <v>2573</v>
      </c>
      <c r="B2577" s="47">
        <f t="shared" ca="1" si="40"/>
        <v>0.54126543038320085</v>
      </c>
      <c r="C2577" s="48">
        <f t="array" aca="1" ref="C2577" ca="1">MAX(0,ROUND(Inputs!$B$10*Inputs!$B$11+NORMSINV(B2577)*SQRT(Inputs!$B$10*Inputs!$B$11),0))</f>
        <v>502</v>
      </c>
      <c r="D2577" s="49">
        <f ca="1">C2577*Inputs!$B$12</f>
        <v>60240000</v>
      </c>
    </row>
    <row r="2578" spans="1:4" ht="13.5" customHeight="1" x14ac:dyDescent="0.3">
      <c r="A2578" s="50">
        <v>2574</v>
      </c>
      <c r="B2578" s="51">
        <f t="shared" ca="1" si="40"/>
        <v>0.92422079811492863</v>
      </c>
      <c r="C2578" s="48">
        <f t="array" aca="1" ref="C2578" ca="1">MAX(0,ROUND(Inputs!$B$10*Inputs!$B$11+NORMSINV(B2578)*SQRT(Inputs!$B$10*Inputs!$B$11),0))</f>
        <v>532</v>
      </c>
      <c r="D2578" s="52">
        <f ca="1">C2578*Inputs!$B$12</f>
        <v>63840000</v>
      </c>
    </row>
    <row r="2579" spans="1:4" ht="13.5" customHeight="1" x14ac:dyDescent="0.3">
      <c r="A2579" s="46">
        <v>2575</v>
      </c>
      <c r="B2579" s="47">
        <f t="shared" ca="1" si="40"/>
        <v>0.63425544337248718</v>
      </c>
      <c r="C2579" s="48">
        <f t="array" aca="1" ref="C2579" ca="1">MAX(0,ROUND(Inputs!$B$10*Inputs!$B$11+NORMSINV(B2579)*SQRT(Inputs!$B$10*Inputs!$B$11),0))</f>
        <v>508</v>
      </c>
      <c r="D2579" s="49">
        <f ca="1">C2579*Inputs!$B$12</f>
        <v>60960000</v>
      </c>
    </row>
    <row r="2580" spans="1:4" ht="13.5" customHeight="1" x14ac:dyDescent="0.3">
      <c r="A2580" s="50">
        <v>2576</v>
      </c>
      <c r="B2580" s="51">
        <f t="shared" ca="1" si="40"/>
        <v>0.63191868927558925</v>
      </c>
      <c r="C2580" s="48">
        <f t="array" aca="1" ref="C2580" ca="1">MAX(0,ROUND(Inputs!$B$10*Inputs!$B$11+NORMSINV(B2580)*SQRT(Inputs!$B$10*Inputs!$B$11),0))</f>
        <v>508</v>
      </c>
      <c r="D2580" s="52">
        <f ca="1">C2580*Inputs!$B$12</f>
        <v>60960000</v>
      </c>
    </row>
    <row r="2581" spans="1:4" ht="13.5" customHeight="1" x14ac:dyDescent="0.3">
      <c r="A2581" s="46">
        <v>2577</v>
      </c>
      <c r="B2581" s="47">
        <f t="shared" ca="1" si="40"/>
        <v>0.62075548726088703</v>
      </c>
      <c r="C2581" s="48">
        <f t="array" aca="1" ref="C2581" ca="1">MAX(0,ROUND(Inputs!$B$10*Inputs!$B$11+NORMSINV(B2581)*SQRT(Inputs!$B$10*Inputs!$B$11),0))</f>
        <v>507</v>
      </c>
      <c r="D2581" s="49">
        <f ca="1">C2581*Inputs!$B$12</f>
        <v>60840000</v>
      </c>
    </row>
    <row r="2582" spans="1:4" ht="13.5" customHeight="1" x14ac:dyDescent="0.3">
      <c r="A2582" s="50">
        <v>2578</v>
      </c>
      <c r="B2582" s="51">
        <f t="shared" ca="1" si="40"/>
        <v>0.61135596129840974</v>
      </c>
      <c r="C2582" s="48">
        <f t="array" aca="1" ref="C2582" ca="1">MAX(0,ROUND(Inputs!$B$10*Inputs!$B$11+NORMSINV(B2582)*SQRT(Inputs!$B$10*Inputs!$B$11),0))</f>
        <v>506</v>
      </c>
      <c r="D2582" s="52">
        <f ca="1">C2582*Inputs!$B$12</f>
        <v>60720000</v>
      </c>
    </row>
    <row r="2583" spans="1:4" ht="13.5" customHeight="1" x14ac:dyDescent="0.3">
      <c r="A2583" s="46">
        <v>2579</v>
      </c>
      <c r="B2583" s="47">
        <f t="shared" ca="1" si="40"/>
        <v>0.65676556441300515</v>
      </c>
      <c r="C2583" s="48">
        <f t="array" aca="1" ref="C2583" ca="1">MAX(0,ROUND(Inputs!$B$10*Inputs!$B$11+NORMSINV(B2583)*SQRT(Inputs!$B$10*Inputs!$B$11),0))</f>
        <v>509</v>
      </c>
      <c r="D2583" s="49">
        <f ca="1">C2583*Inputs!$B$12</f>
        <v>61080000</v>
      </c>
    </row>
    <row r="2584" spans="1:4" ht="13.5" customHeight="1" x14ac:dyDescent="0.3">
      <c r="A2584" s="50">
        <v>2580</v>
      </c>
      <c r="B2584" s="51">
        <f t="shared" ca="1" si="40"/>
        <v>0.48493053470451075</v>
      </c>
      <c r="C2584" s="48">
        <f t="array" aca="1" ref="C2584" ca="1">MAX(0,ROUND(Inputs!$B$10*Inputs!$B$11+NORMSINV(B2584)*SQRT(Inputs!$B$10*Inputs!$B$11),0))</f>
        <v>499</v>
      </c>
      <c r="D2584" s="52">
        <f ca="1">C2584*Inputs!$B$12</f>
        <v>59880000</v>
      </c>
    </row>
    <row r="2585" spans="1:4" ht="13.5" customHeight="1" x14ac:dyDescent="0.3">
      <c r="A2585" s="46">
        <v>2581</v>
      </c>
      <c r="B2585" s="47">
        <f t="shared" ca="1" si="40"/>
        <v>0.78850549563098393</v>
      </c>
      <c r="C2585" s="48">
        <f t="array" aca="1" ref="C2585" ca="1">MAX(0,ROUND(Inputs!$B$10*Inputs!$B$11+NORMSINV(B2585)*SQRT(Inputs!$B$10*Inputs!$B$11),0))</f>
        <v>518</v>
      </c>
      <c r="D2585" s="49">
        <f ca="1">C2585*Inputs!$B$12</f>
        <v>62160000</v>
      </c>
    </row>
    <row r="2586" spans="1:4" ht="13.5" customHeight="1" x14ac:dyDescent="0.3">
      <c r="A2586" s="50">
        <v>2582</v>
      </c>
      <c r="B2586" s="51">
        <f t="shared" ca="1" si="40"/>
        <v>0.20025752839209554</v>
      </c>
      <c r="C2586" s="48">
        <f t="array" aca="1" ref="C2586" ca="1">MAX(0,ROUND(Inputs!$B$10*Inputs!$B$11+NORMSINV(B2586)*SQRT(Inputs!$B$10*Inputs!$B$11),0))</f>
        <v>481</v>
      </c>
      <c r="D2586" s="52">
        <f ca="1">C2586*Inputs!$B$12</f>
        <v>57720000</v>
      </c>
    </row>
    <row r="2587" spans="1:4" ht="13.5" customHeight="1" x14ac:dyDescent="0.3">
      <c r="A2587" s="46">
        <v>2583</v>
      </c>
      <c r="B2587" s="47">
        <f t="shared" ca="1" si="40"/>
        <v>0.26828836581328908</v>
      </c>
      <c r="C2587" s="48">
        <f t="array" aca="1" ref="C2587" ca="1">MAX(0,ROUND(Inputs!$B$10*Inputs!$B$11+NORMSINV(B2587)*SQRT(Inputs!$B$10*Inputs!$B$11),0))</f>
        <v>486</v>
      </c>
      <c r="D2587" s="49">
        <f ca="1">C2587*Inputs!$B$12</f>
        <v>58320000</v>
      </c>
    </row>
    <row r="2588" spans="1:4" ht="13.5" customHeight="1" x14ac:dyDescent="0.3">
      <c r="A2588" s="50">
        <v>2584</v>
      </c>
      <c r="B2588" s="51">
        <f t="shared" ca="1" si="40"/>
        <v>0.59367623871705288</v>
      </c>
      <c r="C2588" s="48">
        <f t="array" aca="1" ref="C2588" ca="1">MAX(0,ROUND(Inputs!$B$10*Inputs!$B$11+NORMSINV(B2588)*SQRT(Inputs!$B$10*Inputs!$B$11),0))</f>
        <v>505</v>
      </c>
      <c r="D2588" s="52">
        <f ca="1">C2588*Inputs!$B$12</f>
        <v>60600000</v>
      </c>
    </row>
    <row r="2589" spans="1:4" ht="13.5" customHeight="1" x14ac:dyDescent="0.3">
      <c r="A2589" s="46">
        <v>2585</v>
      </c>
      <c r="B2589" s="47">
        <f t="shared" ca="1" si="40"/>
        <v>3.3235384408910829E-2</v>
      </c>
      <c r="C2589" s="48">
        <f t="array" aca="1" ref="C2589" ca="1">MAX(0,ROUND(Inputs!$B$10*Inputs!$B$11+NORMSINV(B2589)*SQRT(Inputs!$B$10*Inputs!$B$11),0))</f>
        <v>459</v>
      </c>
      <c r="D2589" s="49">
        <f ca="1">C2589*Inputs!$B$12</f>
        <v>55080000</v>
      </c>
    </row>
    <row r="2590" spans="1:4" ht="13.5" customHeight="1" x14ac:dyDescent="0.3">
      <c r="A2590" s="50">
        <v>2586</v>
      </c>
      <c r="B2590" s="51">
        <f t="shared" ca="1" si="40"/>
        <v>0.24979527922639744</v>
      </c>
      <c r="C2590" s="48">
        <f t="array" aca="1" ref="C2590" ca="1">MAX(0,ROUND(Inputs!$B$10*Inputs!$B$11+NORMSINV(B2590)*SQRT(Inputs!$B$10*Inputs!$B$11),0))</f>
        <v>485</v>
      </c>
      <c r="D2590" s="52">
        <f ca="1">C2590*Inputs!$B$12</f>
        <v>58200000</v>
      </c>
    </row>
    <row r="2591" spans="1:4" ht="13.5" customHeight="1" x14ac:dyDescent="0.3">
      <c r="A2591" s="46">
        <v>2587</v>
      </c>
      <c r="B2591" s="47">
        <f t="shared" ca="1" si="40"/>
        <v>0.70317693173550466</v>
      </c>
      <c r="C2591" s="48">
        <f t="array" aca="1" ref="C2591" ca="1">MAX(0,ROUND(Inputs!$B$10*Inputs!$B$11+NORMSINV(B2591)*SQRT(Inputs!$B$10*Inputs!$B$11),0))</f>
        <v>512</v>
      </c>
      <c r="D2591" s="49">
        <f ca="1">C2591*Inputs!$B$12</f>
        <v>61440000</v>
      </c>
    </row>
    <row r="2592" spans="1:4" ht="13.5" customHeight="1" x14ac:dyDescent="0.3">
      <c r="A2592" s="50">
        <v>2588</v>
      </c>
      <c r="B2592" s="51">
        <f t="shared" ca="1" si="40"/>
        <v>4.6301299139466678E-2</v>
      </c>
      <c r="C2592" s="48">
        <f t="array" aca="1" ref="C2592" ca="1">MAX(0,ROUND(Inputs!$B$10*Inputs!$B$11+NORMSINV(B2592)*SQRT(Inputs!$B$10*Inputs!$B$11),0))</f>
        <v>462</v>
      </c>
      <c r="D2592" s="52">
        <f ca="1">C2592*Inputs!$B$12</f>
        <v>55440000</v>
      </c>
    </row>
    <row r="2593" spans="1:4" ht="13.5" customHeight="1" x14ac:dyDescent="0.3">
      <c r="A2593" s="46">
        <v>2589</v>
      </c>
      <c r="B2593" s="47">
        <f t="shared" ca="1" si="40"/>
        <v>0.84237495347370306</v>
      </c>
      <c r="C2593" s="48">
        <f t="array" aca="1" ref="C2593" ca="1">MAX(0,ROUND(Inputs!$B$10*Inputs!$B$11+NORMSINV(B2593)*SQRT(Inputs!$B$10*Inputs!$B$11),0))</f>
        <v>522</v>
      </c>
      <c r="D2593" s="49">
        <f ca="1">C2593*Inputs!$B$12</f>
        <v>62640000</v>
      </c>
    </row>
    <row r="2594" spans="1:4" ht="13.5" customHeight="1" x14ac:dyDescent="0.3">
      <c r="A2594" s="50">
        <v>2590</v>
      </c>
      <c r="B2594" s="51">
        <f t="shared" ca="1" si="40"/>
        <v>0.83694497666119327</v>
      </c>
      <c r="C2594" s="48">
        <f t="array" aca="1" ref="C2594" ca="1">MAX(0,ROUND(Inputs!$B$10*Inputs!$B$11+NORMSINV(B2594)*SQRT(Inputs!$B$10*Inputs!$B$11),0))</f>
        <v>522</v>
      </c>
      <c r="D2594" s="52">
        <f ca="1">C2594*Inputs!$B$12</f>
        <v>62640000</v>
      </c>
    </row>
    <row r="2595" spans="1:4" ht="13.5" customHeight="1" x14ac:dyDescent="0.3">
      <c r="A2595" s="46">
        <v>2591</v>
      </c>
      <c r="B2595" s="47">
        <f t="shared" ca="1" si="40"/>
        <v>0.72097516754500846</v>
      </c>
      <c r="C2595" s="48">
        <f t="array" aca="1" ref="C2595" ca="1">MAX(0,ROUND(Inputs!$B$10*Inputs!$B$11+NORMSINV(B2595)*SQRT(Inputs!$B$10*Inputs!$B$11),0))</f>
        <v>513</v>
      </c>
      <c r="D2595" s="49">
        <f ca="1">C2595*Inputs!$B$12</f>
        <v>61560000</v>
      </c>
    </row>
    <row r="2596" spans="1:4" ht="13.5" customHeight="1" x14ac:dyDescent="0.3">
      <c r="A2596" s="50">
        <v>2592</v>
      </c>
      <c r="B2596" s="51">
        <f t="shared" ca="1" si="40"/>
        <v>0.44197146131097365</v>
      </c>
      <c r="C2596" s="48">
        <f t="array" aca="1" ref="C2596" ca="1">MAX(0,ROUND(Inputs!$B$10*Inputs!$B$11+NORMSINV(B2596)*SQRT(Inputs!$B$10*Inputs!$B$11),0))</f>
        <v>497</v>
      </c>
      <c r="D2596" s="52">
        <f ca="1">C2596*Inputs!$B$12</f>
        <v>59640000</v>
      </c>
    </row>
    <row r="2597" spans="1:4" ht="13.5" customHeight="1" x14ac:dyDescent="0.3">
      <c r="A2597" s="46">
        <v>2593</v>
      </c>
      <c r="B2597" s="47">
        <f t="shared" ca="1" si="40"/>
        <v>0.81617790468350204</v>
      </c>
      <c r="C2597" s="48">
        <f t="array" aca="1" ref="C2597" ca="1">MAX(0,ROUND(Inputs!$B$10*Inputs!$B$11+NORMSINV(B2597)*SQRT(Inputs!$B$10*Inputs!$B$11),0))</f>
        <v>520</v>
      </c>
      <c r="D2597" s="49">
        <f ca="1">C2597*Inputs!$B$12</f>
        <v>62400000</v>
      </c>
    </row>
    <row r="2598" spans="1:4" ht="13.5" customHeight="1" x14ac:dyDescent="0.3">
      <c r="A2598" s="50">
        <v>2594</v>
      </c>
      <c r="B2598" s="51">
        <f t="shared" ca="1" si="40"/>
        <v>0.75889381156551261</v>
      </c>
      <c r="C2598" s="48">
        <f t="array" aca="1" ref="C2598" ca="1">MAX(0,ROUND(Inputs!$B$10*Inputs!$B$11+NORMSINV(B2598)*SQRT(Inputs!$B$10*Inputs!$B$11),0))</f>
        <v>516</v>
      </c>
      <c r="D2598" s="52">
        <f ca="1">C2598*Inputs!$B$12</f>
        <v>61920000</v>
      </c>
    </row>
    <row r="2599" spans="1:4" ht="13.5" customHeight="1" x14ac:dyDescent="0.3">
      <c r="A2599" s="46">
        <v>2595</v>
      </c>
      <c r="B2599" s="47">
        <f t="shared" ca="1" si="40"/>
        <v>7.0309924516229638E-2</v>
      </c>
      <c r="C2599" s="48">
        <f t="array" aca="1" ref="C2599" ca="1">MAX(0,ROUND(Inputs!$B$10*Inputs!$B$11+NORMSINV(B2599)*SQRT(Inputs!$B$10*Inputs!$B$11),0))</f>
        <v>467</v>
      </c>
      <c r="D2599" s="49">
        <f ca="1">C2599*Inputs!$B$12</f>
        <v>56040000</v>
      </c>
    </row>
    <row r="2600" spans="1:4" ht="13.5" customHeight="1" x14ac:dyDescent="0.3">
      <c r="A2600" s="50">
        <v>2596</v>
      </c>
      <c r="B2600" s="51">
        <f t="shared" ca="1" si="40"/>
        <v>0.52767801062802766</v>
      </c>
      <c r="C2600" s="48">
        <f t="array" aca="1" ref="C2600" ca="1">MAX(0,ROUND(Inputs!$B$10*Inputs!$B$11+NORMSINV(B2600)*SQRT(Inputs!$B$10*Inputs!$B$11),0))</f>
        <v>502</v>
      </c>
      <c r="D2600" s="52">
        <f ca="1">C2600*Inputs!$B$12</f>
        <v>60240000</v>
      </c>
    </row>
    <row r="2601" spans="1:4" ht="13.5" customHeight="1" x14ac:dyDescent="0.3">
      <c r="A2601" s="46">
        <v>2597</v>
      </c>
      <c r="B2601" s="47">
        <f t="shared" ca="1" si="40"/>
        <v>0.81956842532636198</v>
      </c>
      <c r="C2601" s="48">
        <f t="array" aca="1" ref="C2601" ca="1">MAX(0,ROUND(Inputs!$B$10*Inputs!$B$11+NORMSINV(B2601)*SQRT(Inputs!$B$10*Inputs!$B$11),0))</f>
        <v>520</v>
      </c>
      <c r="D2601" s="49">
        <f ca="1">C2601*Inputs!$B$12</f>
        <v>62400000</v>
      </c>
    </row>
    <row r="2602" spans="1:4" ht="13.5" customHeight="1" x14ac:dyDescent="0.3">
      <c r="A2602" s="50">
        <v>2598</v>
      </c>
      <c r="B2602" s="51">
        <f t="shared" ca="1" si="40"/>
        <v>0.78718749298221147</v>
      </c>
      <c r="C2602" s="48">
        <f t="array" aca="1" ref="C2602" ca="1">MAX(0,ROUND(Inputs!$B$10*Inputs!$B$11+NORMSINV(B2602)*SQRT(Inputs!$B$10*Inputs!$B$11),0))</f>
        <v>518</v>
      </c>
      <c r="D2602" s="52">
        <f ca="1">C2602*Inputs!$B$12</f>
        <v>62160000</v>
      </c>
    </row>
    <row r="2603" spans="1:4" ht="13.5" customHeight="1" x14ac:dyDescent="0.3">
      <c r="A2603" s="46">
        <v>2599</v>
      </c>
      <c r="B2603" s="47">
        <f t="shared" ca="1" si="40"/>
        <v>0.1431629361329414</v>
      </c>
      <c r="C2603" s="48">
        <f t="array" aca="1" ref="C2603" ca="1">MAX(0,ROUND(Inputs!$B$10*Inputs!$B$11+NORMSINV(B2603)*SQRT(Inputs!$B$10*Inputs!$B$11),0))</f>
        <v>476</v>
      </c>
      <c r="D2603" s="49">
        <f ca="1">C2603*Inputs!$B$12</f>
        <v>57120000</v>
      </c>
    </row>
    <row r="2604" spans="1:4" ht="13.5" customHeight="1" x14ac:dyDescent="0.3">
      <c r="A2604" s="50">
        <v>2600</v>
      </c>
      <c r="B2604" s="51">
        <f t="shared" ca="1" si="40"/>
        <v>0.18625538873549286</v>
      </c>
      <c r="C2604" s="48">
        <f t="array" aca="1" ref="C2604" ca="1">MAX(0,ROUND(Inputs!$B$10*Inputs!$B$11+NORMSINV(B2604)*SQRT(Inputs!$B$10*Inputs!$B$11),0))</f>
        <v>480</v>
      </c>
      <c r="D2604" s="52">
        <f ca="1">C2604*Inputs!$B$12</f>
        <v>57600000</v>
      </c>
    </row>
    <row r="2605" spans="1:4" ht="13.5" customHeight="1" x14ac:dyDescent="0.3">
      <c r="A2605" s="46">
        <v>2601</v>
      </c>
      <c r="B2605" s="47">
        <f t="shared" ca="1" si="40"/>
        <v>0.67931443669102243</v>
      </c>
      <c r="C2605" s="48">
        <f t="array" aca="1" ref="C2605" ca="1">MAX(0,ROUND(Inputs!$B$10*Inputs!$B$11+NORMSINV(B2605)*SQRT(Inputs!$B$10*Inputs!$B$11),0))</f>
        <v>510</v>
      </c>
      <c r="D2605" s="49">
        <f ca="1">C2605*Inputs!$B$12</f>
        <v>61200000</v>
      </c>
    </row>
    <row r="2606" spans="1:4" ht="13.5" customHeight="1" x14ac:dyDescent="0.3">
      <c r="A2606" s="50">
        <v>2602</v>
      </c>
      <c r="B2606" s="51">
        <f t="shared" ca="1" si="40"/>
        <v>0.45836727232730223</v>
      </c>
      <c r="C2606" s="48">
        <f t="array" aca="1" ref="C2606" ca="1">MAX(0,ROUND(Inputs!$B$10*Inputs!$B$11+NORMSINV(B2606)*SQRT(Inputs!$B$10*Inputs!$B$11),0))</f>
        <v>498</v>
      </c>
      <c r="D2606" s="52">
        <f ca="1">C2606*Inputs!$B$12</f>
        <v>59760000</v>
      </c>
    </row>
    <row r="2607" spans="1:4" ht="13.5" customHeight="1" x14ac:dyDescent="0.3">
      <c r="A2607" s="46">
        <v>2603</v>
      </c>
      <c r="B2607" s="47">
        <f t="shared" ca="1" si="40"/>
        <v>0.87664608362493168</v>
      </c>
      <c r="C2607" s="48">
        <f t="array" aca="1" ref="C2607" ca="1">MAX(0,ROUND(Inputs!$B$10*Inputs!$B$11+NORMSINV(B2607)*SQRT(Inputs!$B$10*Inputs!$B$11),0))</f>
        <v>526</v>
      </c>
      <c r="D2607" s="49">
        <f ca="1">C2607*Inputs!$B$12</f>
        <v>63120000</v>
      </c>
    </row>
    <row r="2608" spans="1:4" ht="13.5" customHeight="1" x14ac:dyDescent="0.3">
      <c r="A2608" s="50">
        <v>2604</v>
      </c>
      <c r="B2608" s="51">
        <f t="shared" ca="1" si="40"/>
        <v>0.83837516846101423</v>
      </c>
      <c r="C2608" s="48">
        <f t="array" aca="1" ref="C2608" ca="1">MAX(0,ROUND(Inputs!$B$10*Inputs!$B$11+NORMSINV(B2608)*SQRT(Inputs!$B$10*Inputs!$B$11),0))</f>
        <v>522</v>
      </c>
      <c r="D2608" s="52">
        <f ca="1">C2608*Inputs!$B$12</f>
        <v>62640000</v>
      </c>
    </row>
    <row r="2609" spans="1:4" ht="13.5" customHeight="1" x14ac:dyDescent="0.3">
      <c r="A2609" s="46">
        <v>2605</v>
      </c>
      <c r="B2609" s="47">
        <f t="shared" ca="1" si="40"/>
        <v>0.11448346263691866</v>
      </c>
      <c r="C2609" s="48">
        <f t="array" aca="1" ref="C2609" ca="1">MAX(0,ROUND(Inputs!$B$10*Inputs!$B$11+NORMSINV(B2609)*SQRT(Inputs!$B$10*Inputs!$B$11),0))</f>
        <v>473</v>
      </c>
      <c r="D2609" s="49">
        <f ca="1">C2609*Inputs!$B$12</f>
        <v>56760000</v>
      </c>
    </row>
    <row r="2610" spans="1:4" ht="13.5" customHeight="1" x14ac:dyDescent="0.3">
      <c r="A2610" s="50">
        <v>2606</v>
      </c>
      <c r="B2610" s="51">
        <f t="shared" ca="1" si="40"/>
        <v>0.80350118851315533</v>
      </c>
      <c r="C2610" s="48">
        <f t="array" aca="1" ref="C2610" ca="1">MAX(0,ROUND(Inputs!$B$10*Inputs!$B$11+NORMSINV(B2610)*SQRT(Inputs!$B$10*Inputs!$B$11),0))</f>
        <v>519</v>
      </c>
      <c r="D2610" s="52">
        <f ca="1">C2610*Inputs!$B$12</f>
        <v>62280000</v>
      </c>
    </row>
    <row r="2611" spans="1:4" ht="13.5" customHeight="1" x14ac:dyDescent="0.3">
      <c r="A2611" s="46">
        <v>2607</v>
      </c>
      <c r="B2611" s="47">
        <f t="shared" ca="1" si="40"/>
        <v>0.42812509496838913</v>
      </c>
      <c r="C2611" s="48">
        <f t="array" aca="1" ref="C2611" ca="1">MAX(0,ROUND(Inputs!$B$10*Inputs!$B$11+NORMSINV(B2611)*SQRT(Inputs!$B$10*Inputs!$B$11),0))</f>
        <v>496</v>
      </c>
      <c r="D2611" s="49">
        <f ca="1">C2611*Inputs!$B$12</f>
        <v>59520000</v>
      </c>
    </row>
    <row r="2612" spans="1:4" ht="13.5" customHeight="1" x14ac:dyDescent="0.3">
      <c r="A2612" s="50">
        <v>2608</v>
      </c>
      <c r="B2612" s="51">
        <f t="shared" ca="1" si="40"/>
        <v>0.19268725043398027</v>
      </c>
      <c r="C2612" s="48">
        <f t="array" aca="1" ref="C2612" ca="1">MAX(0,ROUND(Inputs!$B$10*Inputs!$B$11+NORMSINV(B2612)*SQRT(Inputs!$B$10*Inputs!$B$11),0))</f>
        <v>481</v>
      </c>
      <c r="D2612" s="52">
        <f ca="1">C2612*Inputs!$B$12</f>
        <v>57720000</v>
      </c>
    </row>
    <row r="2613" spans="1:4" ht="13.5" customHeight="1" x14ac:dyDescent="0.3">
      <c r="A2613" s="46">
        <v>2609</v>
      </c>
      <c r="B2613" s="47">
        <f t="shared" ca="1" si="40"/>
        <v>0.53718912273250619</v>
      </c>
      <c r="C2613" s="48">
        <f t="array" aca="1" ref="C2613" ca="1">MAX(0,ROUND(Inputs!$B$10*Inputs!$B$11+NORMSINV(B2613)*SQRT(Inputs!$B$10*Inputs!$B$11),0))</f>
        <v>502</v>
      </c>
      <c r="D2613" s="49">
        <f ca="1">C2613*Inputs!$B$12</f>
        <v>60240000</v>
      </c>
    </row>
    <row r="2614" spans="1:4" ht="13.5" customHeight="1" x14ac:dyDescent="0.3">
      <c r="A2614" s="50">
        <v>2610</v>
      </c>
      <c r="B2614" s="51">
        <f t="shared" ca="1" si="40"/>
        <v>0.51318569222286525</v>
      </c>
      <c r="C2614" s="48">
        <f t="array" aca="1" ref="C2614" ca="1">MAX(0,ROUND(Inputs!$B$10*Inputs!$B$11+NORMSINV(B2614)*SQRT(Inputs!$B$10*Inputs!$B$11),0))</f>
        <v>501</v>
      </c>
      <c r="D2614" s="52">
        <f ca="1">C2614*Inputs!$B$12</f>
        <v>60120000</v>
      </c>
    </row>
    <row r="2615" spans="1:4" ht="13.5" customHeight="1" x14ac:dyDescent="0.3">
      <c r="A2615" s="46">
        <v>2611</v>
      </c>
      <c r="B2615" s="47">
        <f t="shared" ca="1" si="40"/>
        <v>0.78426324713583062</v>
      </c>
      <c r="C2615" s="48">
        <f t="array" aca="1" ref="C2615" ca="1">MAX(0,ROUND(Inputs!$B$10*Inputs!$B$11+NORMSINV(B2615)*SQRT(Inputs!$B$10*Inputs!$B$11),0))</f>
        <v>518</v>
      </c>
      <c r="D2615" s="49">
        <f ca="1">C2615*Inputs!$B$12</f>
        <v>62160000</v>
      </c>
    </row>
    <row r="2616" spans="1:4" ht="13.5" customHeight="1" x14ac:dyDescent="0.3">
      <c r="A2616" s="50">
        <v>2612</v>
      </c>
      <c r="B2616" s="51">
        <f t="shared" ca="1" si="40"/>
        <v>0.5139680906766082</v>
      </c>
      <c r="C2616" s="48">
        <f t="array" aca="1" ref="C2616" ca="1">MAX(0,ROUND(Inputs!$B$10*Inputs!$B$11+NORMSINV(B2616)*SQRT(Inputs!$B$10*Inputs!$B$11),0))</f>
        <v>501</v>
      </c>
      <c r="D2616" s="52">
        <f ca="1">C2616*Inputs!$B$12</f>
        <v>60120000</v>
      </c>
    </row>
    <row r="2617" spans="1:4" ht="13.5" customHeight="1" x14ac:dyDescent="0.3">
      <c r="A2617" s="46">
        <v>2613</v>
      </c>
      <c r="B2617" s="47">
        <f t="shared" ca="1" si="40"/>
        <v>0.27983769765611599</v>
      </c>
      <c r="C2617" s="48">
        <f t="array" aca="1" ref="C2617" ca="1">MAX(0,ROUND(Inputs!$B$10*Inputs!$B$11+NORMSINV(B2617)*SQRT(Inputs!$B$10*Inputs!$B$11),0))</f>
        <v>487</v>
      </c>
      <c r="D2617" s="49">
        <f ca="1">C2617*Inputs!$B$12</f>
        <v>58440000</v>
      </c>
    </row>
    <row r="2618" spans="1:4" ht="13.5" customHeight="1" x14ac:dyDescent="0.3">
      <c r="A2618" s="50">
        <v>2614</v>
      </c>
      <c r="B2618" s="51">
        <f t="shared" ca="1" si="40"/>
        <v>0.2501406884972317</v>
      </c>
      <c r="C2618" s="48">
        <f t="array" aca="1" ref="C2618" ca="1">MAX(0,ROUND(Inputs!$B$10*Inputs!$B$11+NORMSINV(B2618)*SQRT(Inputs!$B$10*Inputs!$B$11),0))</f>
        <v>485</v>
      </c>
      <c r="D2618" s="52">
        <f ca="1">C2618*Inputs!$B$12</f>
        <v>58200000</v>
      </c>
    </row>
    <row r="2619" spans="1:4" ht="13.5" customHeight="1" x14ac:dyDescent="0.3">
      <c r="A2619" s="46">
        <v>2615</v>
      </c>
      <c r="B2619" s="47">
        <f t="shared" ca="1" si="40"/>
        <v>0.56222951972030377</v>
      </c>
      <c r="C2619" s="48">
        <f t="array" aca="1" ref="C2619" ca="1">MAX(0,ROUND(Inputs!$B$10*Inputs!$B$11+NORMSINV(B2619)*SQRT(Inputs!$B$10*Inputs!$B$11),0))</f>
        <v>504</v>
      </c>
      <c r="D2619" s="49">
        <f ca="1">C2619*Inputs!$B$12</f>
        <v>60480000</v>
      </c>
    </row>
    <row r="2620" spans="1:4" ht="13.5" customHeight="1" x14ac:dyDescent="0.3">
      <c r="A2620" s="50">
        <v>2616</v>
      </c>
      <c r="B2620" s="51">
        <f t="shared" ca="1" si="40"/>
        <v>0.91898991110548212</v>
      </c>
      <c r="C2620" s="48">
        <f t="array" aca="1" ref="C2620" ca="1">MAX(0,ROUND(Inputs!$B$10*Inputs!$B$11+NORMSINV(B2620)*SQRT(Inputs!$B$10*Inputs!$B$11),0))</f>
        <v>531</v>
      </c>
      <c r="D2620" s="52">
        <f ca="1">C2620*Inputs!$B$12</f>
        <v>63720000</v>
      </c>
    </row>
    <row r="2621" spans="1:4" ht="13.5" customHeight="1" x14ac:dyDescent="0.3">
      <c r="A2621" s="46">
        <v>2617</v>
      </c>
      <c r="B2621" s="47">
        <f t="shared" ca="1" si="40"/>
        <v>0.99940549961636005</v>
      </c>
      <c r="C2621" s="48">
        <f t="array" aca="1" ref="C2621" ca="1">MAX(0,ROUND(Inputs!$B$10*Inputs!$B$11+NORMSINV(B2621)*SQRT(Inputs!$B$10*Inputs!$B$11),0))</f>
        <v>572</v>
      </c>
      <c r="D2621" s="49">
        <f ca="1">C2621*Inputs!$B$12</f>
        <v>68640000</v>
      </c>
    </row>
    <row r="2622" spans="1:4" ht="13.5" customHeight="1" x14ac:dyDescent="0.3">
      <c r="A2622" s="50">
        <v>2618</v>
      </c>
      <c r="B2622" s="51">
        <f t="shared" ca="1" si="40"/>
        <v>0.46879910558841875</v>
      </c>
      <c r="C2622" s="48">
        <f t="array" aca="1" ref="C2622" ca="1">MAX(0,ROUND(Inputs!$B$10*Inputs!$B$11+NORMSINV(B2622)*SQRT(Inputs!$B$10*Inputs!$B$11),0))</f>
        <v>498</v>
      </c>
      <c r="D2622" s="52">
        <f ca="1">C2622*Inputs!$B$12</f>
        <v>59760000</v>
      </c>
    </row>
    <row r="2623" spans="1:4" ht="13.5" customHeight="1" x14ac:dyDescent="0.3">
      <c r="A2623" s="46">
        <v>2619</v>
      </c>
      <c r="B2623" s="47">
        <f t="shared" ca="1" si="40"/>
        <v>0.52836151409926579</v>
      </c>
      <c r="C2623" s="48">
        <f t="array" aca="1" ref="C2623" ca="1">MAX(0,ROUND(Inputs!$B$10*Inputs!$B$11+NORMSINV(B2623)*SQRT(Inputs!$B$10*Inputs!$B$11),0))</f>
        <v>502</v>
      </c>
      <c r="D2623" s="49">
        <f ca="1">C2623*Inputs!$B$12</f>
        <v>60240000</v>
      </c>
    </row>
    <row r="2624" spans="1:4" ht="13.5" customHeight="1" x14ac:dyDescent="0.3">
      <c r="A2624" s="50">
        <v>2620</v>
      </c>
      <c r="B2624" s="51">
        <f t="shared" ca="1" si="40"/>
        <v>3.6751154630215166E-2</v>
      </c>
      <c r="C2624" s="48">
        <f t="array" aca="1" ref="C2624" ca="1">MAX(0,ROUND(Inputs!$B$10*Inputs!$B$11+NORMSINV(B2624)*SQRT(Inputs!$B$10*Inputs!$B$11),0))</f>
        <v>460</v>
      </c>
      <c r="D2624" s="52">
        <f ca="1">C2624*Inputs!$B$12</f>
        <v>55200000</v>
      </c>
    </row>
    <row r="2625" spans="1:4" ht="13.5" customHeight="1" x14ac:dyDescent="0.3">
      <c r="A2625" s="46">
        <v>2621</v>
      </c>
      <c r="B2625" s="47">
        <f t="shared" ca="1" si="40"/>
        <v>0.56746759370607192</v>
      </c>
      <c r="C2625" s="48">
        <f t="array" aca="1" ref="C2625" ca="1">MAX(0,ROUND(Inputs!$B$10*Inputs!$B$11+NORMSINV(B2625)*SQRT(Inputs!$B$10*Inputs!$B$11),0))</f>
        <v>504</v>
      </c>
      <c r="D2625" s="49">
        <f ca="1">C2625*Inputs!$B$12</f>
        <v>60480000</v>
      </c>
    </row>
    <row r="2626" spans="1:4" ht="13.5" customHeight="1" x14ac:dyDescent="0.3">
      <c r="A2626" s="50">
        <v>2622</v>
      </c>
      <c r="B2626" s="51">
        <f t="shared" ca="1" si="40"/>
        <v>0.62159152934953366</v>
      </c>
      <c r="C2626" s="48">
        <f t="array" aca="1" ref="C2626" ca="1">MAX(0,ROUND(Inputs!$B$10*Inputs!$B$11+NORMSINV(B2626)*SQRT(Inputs!$B$10*Inputs!$B$11),0))</f>
        <v>507</v>
      </c>
      <c r="D2626" s="52">
        <f ca="1">C2626*Inputs!$B$12</f>
        <v>60840000</v>
      </c>
    </row>
    <row r="2627" spans="1:4" ht="13.5" customHeight="1" x14ac:dyDescent="0.3">
      <c r="A2627" s="46">
        <v>2623</v>
      </c>
      <c r="B2627" s="47">
        <f t="shared" ca="1" si="40"/>
        <v>0.48275268393755177</v>
      </c>
      <c r="C2627" s="48">
        <f t="array" aca="1" ref="C2627" ca="1">MAX(0,ROUND(Inputs!$B$10*Inputs!$B$11+NORMSINV(B2627)*SQRT(Inputs!$B$10*Inputs!$B$11),0))</f>
        <v>499</v>
      </c>
      <c r="D2627" s="49">
        <f ca="1">C2627*Inputs!$B$12</f>
        <v>59880000</v>
      </c>
    </row>
    <row r="2628" spans="1:4" ht="13.5" customHeight="1" x14ac:dyDescent="0.3">
      <c r="A2628" s="50">
        <v>2624</v>
      </c>
      <c r="B2628" s="51">
        <f t="shared" ca="1" si="40"/>
        <v>2.8124709329074848E-3</v>
      </c>
      <c r="C2628" s="48">
        <f t="array" aca="1" ref="C2628" ca="1">MAX(0,ROUND(Inputs!$B$10*Inputs!$B$11+NORMSINV(B2628)*SQRT(Inputs!$B$10*Inputs!$B$11),0))</f>
        <v>438</v>
      </c>
      <c r="D2628" s="52">
        <f ca="1">C2628*Inputs!$B$12</f>
        <v>52560000</v>
      </c>
    </row>
    <row r="2629" spans="1:4" ht="13.5" customHeight="1" x14ac:dyDescent="0.3">
      <c r="A2629" s="46">
        <v>2625</v>
      </c>
      <c r="B2629" s="47">
        <f t="shared" ref="B2629:B2692" ca="1" si="41">RAND()</f>
        <v>0.44042252532095583</v>
      </c>
      <c r="C2629" s="48">
        <f t="array" aca="1" ref="C2629" ca="1">MAX(0,ROUND(Inputs!$B$10*Inputs!$B$11+NORMSINV(B2629)*SQRT(Inputs!$B$10*Inputs!$B$11),0))</f>
        <v>497</v>
      </c>
      <c r="D2629" s="49">
        <f ca="1">C2629*Inputs!$B$12</f>
        <v>59640000</v>
      </c>
    </row>
    <row r="2630" spans="1:4" ht="13.5" customHeight="1" x14ac:dyDescent="0.3">
      <c r="A2630" s="50">
        <v>2626</v>
      </c>
      <c r="B2630" s="51">
        <f t="shared" ca="1" si="41"/>
        <v>0.82767207181209612</v>
      </c>
      <c r="C2630" s="48">
        <f t="array" aca="1" ref="C2630" ca="1">MAX(0,ROUND(Inputs!$B$10*Inputs!$B$11+NORMSINV(B2630)*SQRT(Inputs!$B$10*Inputs!$B$11),0))</f>
        <v>521</v>
      </c>
      <c r="D2630" s="52">
        <f ca="1">C2630*Inputs!$B$12</f>
        <v>62520000</v>
      </c>
    </row>
    <row r="2631" spans="1:4" ht="13.5" customHeight="1" x14ac:dyDescent="0.3">
      <c r="A2631" s="46">
        <v>2627</v>
      </c>
      <c r="B2631" s="47">
        <f t="shared" ca="1" si="41"/>
        <v>0.31896321164768626</v>
      </c>
      <c r="C2631" s="48">
        <f t="array" aca="1" ref="C2631" ca="1">MAX(0,ROUND(Inputs!$B$10*Inputs!$B$11+NORMSINV(B2631)*SQRT(Inputs!$B$10*Inputs!$B$11),0))</f>
        <v>489</v>
      </c>
      <c r="D2631" s="49">
        <f ca="1">C2631*Inputs!$B$12</f>
        <v>58680000</v>
      </c>
    </row>
    <row r="2632" spans="1:4" ht="13.5" customHeight="1" x14ac:dyDescent="0.3">
      <c r="A2632" s="50">
        <v>2628</v>
      </c>
      <c r="B2632" s="51">
        <f t="shared" ca="1" si="41"/>
        <v>0.69165424366348127</v>
      </c>
      <c r="C2632" s="48">
        <f t="array" aca="1" ref="C2632" ca="1">MAX(0,ROUND(Inputs!$B$10*Inputs!$B$11+NORMSINV(B2632)*SQRT(Inputs!$B$10*Inputs!$B$11),0))</f>
        <v>511</v>
      </c>
      <c r="D2632" s="52">
        <f ca="1">C2632*Inputs!$B$12</f>
        <v>61320000</v>
      </c>
    </row>
    <row r="2633" spans="1:4" ht="13.5" customHeight="1" x14ac:dyDescent="0.3">
      <c r="A2633" s="46">
        <v>2629</v>
      </c>
      <c r="B2633" s="47">
        <f t="shared" ca="1" si="41"/>
        <v>0.53266677135834595</v>
      </c>
      <c r="C2633" s="48">
        <f t="array" aca="1" ref="C2633" ca="1">MAX(0,ROUND(Inputs!$B$10*Inputs!$B$11+NORMSINV(B2633)*SQRT(Inputs!$B$10*Inputs!$B$11),0))</f>
        <v>502</v>
      </c>
      <c r="D2633" s="49">
        <f ca="1">C2633*Inputs!$B$12</f>
        <v>60240000</v>
      </c>
    </row>
    <row r="2634" spans="1:4" ht="13.5" customHeight="1" x14ac:dyDescent="0.3">
      <c r="A2634" s="50">
        <v>2630</v>
      </c>
      <c r="B2634" s="51">
        <f t="shared" ca="1" si="41"/>
        <v>2.1018680251652655E-2</v>
      </c>
      <c r="C2634" s="48">
        <f t="array" aca="1" ref="C2634" ca="1">MAX(0,ROUND(Inputs!$B$10*Inputs!$B$11+NORMSINV(B2634)*SQRT(Inputs!$B$10*Inputs!$B$11),0))</f>
        <v>455</v>
      </c>
      <c r="D2634" s="52">
        <f ca="1">C2634*Inputs!$B$12</f>
        <v>54600000</v>
      </c>
    </row>
    <row r="2635" spans="1:4" ht="13.5" customHeight="1" x14ac:dyDescent="0.3">
      <c r="A2635" s="46">
        <v>2631</v>
      </c>
      <c r="B2635" s="47">
        <f t="shared" ca="1" si="41"/>
        <v>0.85007268667466629</v>
      </c>
      <c r="C2635" s="48">
        <f t="array" aca="1" ref="C2635" ca="1">MAX(0,ROUND(Inputs!$B$10*Inputs!$B$11+NORMSINV(B2635)*SQRT(Inputs!$B$10*Inputs!$B$11),0))</f>
        <v>523</v>
      </c>
      <c r="D2635" s="49">
        <f ca="1">C2635*Inputs!$B$12</f>
        <v>62760000</v>
      </c>
    </row>
    <row r="2636" spans="1:4" ht="13.5" customHeight="1" x14ac:dyDescent="0.3">
      <c r="A2636" s="50">
        <v>2632</v>
      </c>
      <c r="B2636" s="51">
        <f t="shared" ca="1" si="41"/>
        <v>0.74903689107586058</v>
      </c>
      <c r="C2636" s="48">
        <f t="array" aca="1" ref="C2636" ca="1">MAX(0,ROUND(Inputs!$B$10*Inputs!$B$11+NORMSINV(B2636)*SQRT(Inputs!$B$10*Inputs!$B$11),0))</f>
        <v>515</v>
      </c>
      <c r="D2636" s="52">
        <f ca="1">C2636*Inputs!$B$12</f>
        <v>61800000</v>
      </c>
    </row>
    <row r="2637" spans="1:4" ht="13.5" customHeight="1" x14ac:dyDescent="0.3">
      <c r="A2637" s="46">
        <v>2633</v>
      </c>
      <c r="B2637" s="47">
        <f t="shared" ca="1" si="41"/>
        <v>0.93661565223021515</v>
      </c>
      <c r="C2637" s="48">
        <f t="array" aca="1" ref="C2637" ca="1">MAX(0,ROUND(Inputs!$B$10*Inputs!$B$11+NORMSINV(B2637)*SQRT(Inputs!$B$10*Inputs!$B$11),0))</f>
        <v>534</v>
      </c>
      <c r="D2637" s="49">
        <f ca="1">C2637*Inputs!$B$12</f>
        <v>64080000</v>
      </c>
    </row>
    <row r="2638" spans="1:4" ht="13.5" customHeight="1" x14ac:dyDescent="0.3">
      <c r="A2638" s="50">
        <v>2634</v>
      </c>
      <c r="B2638" s="51">
        <f t="shared" ca="1" si="41"/>
        <v>0.97048093762880139</v>
      </c>
      <c r="C2638" s="48">
        <f t="array" aca="1" ref="C2638" ca="1">MAX(0,ROUND(Inputs!$B$10*Inputs!$B$11+NORMSINV(B2638)*SQRT(Inputs!$B$10*Inputs!$B$11),0))</f>
        <v>542</v>
      </c>
      <c r="D2638" s="52">
        <f ca="1">C2638*Inputs!$B$12</f>
        <v>65040000</v>
      </c>
    </row>
    <row r="2639" spans="1:4" ht="13.5" customHeight="1" x14ac:dyDescent="0.3">
      <c r="A2639" s="46">
        <v>2635</v>
      </c>
      <c r="B2639" s="47">
        <f t="shared" ca="1" si="41"/>
        <v>0.86806001754930617</v>
      </c>
      <c r="C2639" s="48">
        <f t="array" aca="1" ref="C2639" ca="1">MAX(0,ROUND(Inputs!$B$10*Inputs!$B$11+NORMSINV(B2639)*SQRT(Inputs!$B$10*Inputs!$B$11),0))</f>
        <v>525</v>
      </c>
      <c r="D2639" s="49">
        <f ca="1">C2639*Inputs!$B$12</f>
        <v>63000000</v>
      </c>
    </row>
    <row r="2640" spans="1:4" ht="13.5" customHeight="1" x14ac:dyDescent="0.3">
      <c r="A2640" s="50">
        <v>2636</v>
      </c>
      <c r="B2640" s="51">
        <f t="shared" ca="1" si="41"/>
        <v>0.82350325227432808</v>
      </c>
      <c r="C2640" s="48">
        <f t="array" aca="1" ref="C2640" ca="1">MAX(0,ROUND(Inputs!$B$10*Inputs!$B$11+NORMSINV(B2640)*SQRT(Inputs!$B$10*Inputs!$B$11),0))</f>
        <v>521</v>
      </c>
      <c r="D2640" s="52">
        <f ca="1">C2640*Inputs!$B$12</f>
        <v>62520000</v>
      </c>
    </row>
    <row r="2641" spans="1:4" ht="13.5" customHeight="1" x14ac:dyDescent="0.3">
      <c r="A2641" s="46">
        <v>2637</v>
      </c>
      <c r="B2641" s="47">
        <f t="shared" ca="1" si="41"/>
        <v>3.4186392428278034E-2</v>
      </c>
      <c r="C2641" s="48">
        <f t="array" aca="1" ref="C2641" ca="1">MAX(0,ROUND(Inputs!$B$10*Inputs!$B$11+NORMSINV(B2641)*SQRT(Inputs!$B$10*Inputs!$B$11),0))</f>
        <v>459</v>
      </c>
      <c r="D2641" s="49">
        <f ca="1">C2641*Inputs!$B$12</f>
        <v>55080000</v>
      </c>
    </row>
    <row r="2642" spans="1:4" ht="13.5" customHeight="1" x14ac:dyDescent="0.3">
      <c r="A2642" s="50">
        <v>2638</v>
      </c>
      <c r="B2642" s="51">
        <f t="shared" ca="1" si="41"/>
        <v>0.12955147168506864</v>
      </c>
      <c r="C2642" s="48">
        <f t="array" aca="1" ref="C2642" ca="1">MAX(0,ROUND(Inputs!$B$10*Inputs!$B$11+NORMSINV(B2642)*SQRT(Inputs!$B$10*Inputs!$B$11),0))</f>
        <v>475</v>
      </c>
      <c r="D2642" s="52">
        <f ca="1">C2642*Inputs!$B$12</f>
        <v>57000000</v>
      </c>
    </row>
    <row r="2643" spans="1:4" ht="13.5" customHeight="1" x14ac:dyDescent="0.3">
      <c r="A2643" s="46">
        <v>2639</v>
      </c>
      <c r="B2643" s="47">
        <f t="shared" ca="1" si="41"/>
        <v>0.59540206614925906</v>
      </c>
      <c r="C2643" s="48">
        <f t="array" aca="1" ref="C2643" ca="1">MAX(0,ROUND(Inputs!$B$10*Inputs!$B$11+NORMSINV(B2643)*SQRT(Inputs!$B$10*Inputs!$B$11),0))</f>
        <v>505</v>
      </c>
      <c r="D2643" s="49">
        <f ca="1">C2643*Inputs!$B$12</f>
        <v>60600000</v>
      </c>
    </row>
    <row r="2644" spans="1:4" ht="13.5" customHeight="1" x14ac:dyDescent="0.3">
      <c r="A2644" s="50">
        <v>2640</v>
      </c>
      <c r="B2644" s="51">
        <f t="shared" ca="1" si="41"/>
        <v>0.13117611075097213</v>
      </c>
      <c r="C2644" s="48">
        <f t="array" aca="1" ref="C2644" ca="1">MAX(0,ROUND(Inputs!$B$10*Inputs!$B$11+NORMSINV(B2644)*SQRT(Inputs!$B$10*Inputs!$B$11),0))</f>
        <v>475</v>
      </c>
      <c r="D2644" s="52">
        <f ca="1">C2644*Inputs!$B$12</f>
        <v>57000000</v>
      </c>
    </row>
    <row r="2645" spans="1:4" ht="13.5" customHeight="1" x14ac:dyDescent="0.3">
      <c r="A2645" s="46">
        <v>2641</v>
      </c>
      <c r="B2645" s="47">
        <f t="shared" ca="1" si="41"/>
        <v>0.45026190552781475</v>
      </c>
      <c r="C2645" s="48">
        <f t="array" aca="1" ref="C2645" ca="1">MAX(0,ROUND(Inputs!$B$10*Inputs!$B$11+NORMSINV(B2645)*SQRT(Inputs!$B$10*Inputs!$B$11),0))</f>
        <v>497</v>
      </c>
      <c r="D2645" s="49">
        <f ca="1">C2645*Inputs!$B$12</f>
        <v>59640000</v>
      </c>
    </row>
    <row r="2646" spans="1:4" ht="13.5" customHeight="1" x14ac:dyDescent="0.3">
      <c r="A2646" s="50">
        <v>2642</v>
      </c>
      <c r="B2646" s="51">
        <f t="shared" ca="1" si="41"/>
        <v>0.36520065851416628</v>
      </c>
      <c r="C2646" s="48">
        <f t="array" aca="1" ref="C2646" ca="1">MAX(0,ROUND(Inputs!$B$10*Inputs!$B$11+NORMSINV(B2646)*SQRT(Inputs!$B$10*Inputs!$B$11),0))</f>
        <v>492</v>
      </c>
      <c r="D2646" s="52">
        <f ca="1">C2646*Inputs!$B$12</f>
        <v>59040000</v>
      </c>
    </row>
    <row r="2647" spans="1:4" ht="13.5" customHeight="1" x14ac:dyDescent="0.3">
      <c r="A2647" s="46">
        <v>2643</v>
      </c>
      <c r="B2647" s="47">
        <f t="shared" ca="1" si="41"/>
        <v>0.39979593190544482</v>
      </c>
      <c r="C2647" s="48">
        <f t="array" aca="1" ref="C2647" ca="1">MAX(0,ROUND(Inputs!$B$10*Inputs!$B$11+NORMSINV(B2647)*SQRT(Inputs!$B$10*Inputs!$B$11),0))</f>
        <v>494</v>
      </c>
      <c r="D2647" s="49">
        <f ca="1">C2647*Inputs!$B$12</f>
        <v>59280000</v>
      </c>
    </row>
    <row r="2648" spans="1:4" ht="13.5" customHeight="1" x14ac:dyDescent="0.3">
      <c r="A2648" s="50">
        <v>2644</v>
      </c>
      <c r="B2648" s="51">
        <f t="shared" ca="1" si="41"/>
        <v>0.18805736123643058</v>
      </c>
      <c r="C2648" s="48">
        <f t="array" aca="1" ref="C2648" ca="1">MAX(0,ROUND(Inputs!$B$10*Inputs!$B$11+NORMSINV(B2648)*SQRT(Inputs!$B$10*Inputs!$B$11),0))</f>
        <v>480</v>
      </c>
      <c r="D2648" s="52">
        <f ca="1">C2648*Inputs!$B$12</f>
        <v>57600000</v>
      </c>
    </row>
    <row r="2649" spans="1:4" ht="13.5" customHeight="1" x14ac:dyDescent="0.3">
      <c r="A2649" s="46">
        <v>2645</v>
      </c>
      <c r="B2649" s="47">
        <f t="shared" ca="1" si="41"/>
        <v>0.40092025446539081</v>
      </c>
      <c r="C2649" s="48">
        <f t="array" aca="1" ref="C2649" ca="1">MAX(0,ROUND(Inputs!$B$10*Inputs!$B$11+NORMSINV(B2649)*SQRT(Inputs!$B$10*Inputs!$B$11),0))</f>
        <v>494</v>
      </c>
      <c r="D2649" s="49">
        <f ca="1">C2649*Inputs!$B$12</f>
        <v>59280000</v>
      </c>
    </row>
    <row r="2650" spans="1:4" ht="13.5" customHeight="1" x14ac:dyDescent="0.3">
      <c r="A2650" s="50">
        <v>2646</v>
      </c>
      <c r="B2650" s="51">
        <f t="shared" ca="1" si="41"/>
        <v>0.28291754394989088</v>
      </c>
      <c r="C2650" s="48">
        <f t="array" aca="1" ref="C2650" ca="1">MAX(0,ROUND(Inputs!$B$10*Inputs!$B$11+NORMSINV(B2650)*SQRT(Inputs!$B$10*Inputs!$B$11),0))</f>
        <v>487</v>
      </c>
      <c r="D2650" s="52">
        <f ca="1">C2650*Inputs!$B$12</f>
        <v>58440000</v>
      </c>
    </row>
    <row r="2651" spans="1:4" ht="13.5" customHeight="1" x14ac:dyDescent="0.3">
      <c r="A2651" s="46">
        <v>2647</v>
      </c>
      <c r="B2651" s="47">
        <f t="shared" ca="1" si="41"/>
        <v>0.15804305951462683</v>
      </c>
      <c r="C2651" s="48">
        <f t="array" aca="1" ref="C2651" ca="1">MAX(0,ROUND(Inputs!$B$10*Inputs!$B$11+NORMSINV(B2651)*SQRT(Inputs!$B$10*Inputs!$B$11),0))</f>
        <v>478</v>
      </c>
      <c r="D2651" s="49">
        <f ca="1">C2651*Inputs!$B$12</f>
        <v>57360000</v>
      </c>
    </row>
    <row r="2652" spans="1:4" ht="13.5" customHeight="1" x14ac:dyDescent="0.3">
      <c r="A2652" s="50">
        <v>2648</v>
      </c>
      <c r="B2652" s="51">
        <f t="shared" ca="1" si="41"/>
        <v>0.4079206033053453</v>
      </c>
      <c r="C2652" s="48">
        <f t="array" aca="1" ref="C2652" ca="1">MAX(0,ROUND(Inputs!$B$10*Inputs!$B$11+NORMSINV(B2652)*SQRT(Inputs!$B$10*Inputs!$B$11),0))</f>
        <v>495</v>
      </c>
      <c r="D2652" s="52">
        <f ca="1">C2652*Inputs!$B$12</f>
        <v>59400000</v>
      </c>
    </row>
    <row r="2653" spans="1:4" ht="13.5" customHeight="1" x14ac:dyDescent="0.3">
      <c r="A2653" s="46">
        <v>2649</v>
      </c>
      <c r="B2653" s="47">
        <f t="shared" ca="1" si="41"/>
        <v>0.60560052760676497</v>
      </c>
      <c r="C2653" s="48">
        <f t="array" aca="1" ref="C2653" ca="1">MAX(0,ROUND(Inputs!$B$10*Inputs!$B$11+NORMSINV(B2653)*SQRT(Inputs!$B$10*Inputs!$B$11),0))</f>
        <v>506</v>
      </c>
      <c r="D2653" s="49">
        <f ca="1">C2653*Inputs!$B$12</f>
        <v>60720000</v>
      </c>
    </row>
    <row r="2654" spans="1:4" ht="13.5" customHeight="1" x14ac:dyDescent="0.3">
      <c r="A2654" s="50">
        <v>2650</v>
      </c>
      <c r="B2654" s="51">
        <f t="shared" ca="1" si="41"/>
        <v>0.15872750261466073</v>
      </c>
      <c r="C2654" s="48">
        <f t="array" aca="1" ref="C2654" ca="1">MAX(0,ROUND(Inputs!$B$10*Inputs!$B$11+NORMSINV(B2654)*SQRT(Inputs!$B$10*Inputs!$B$11),0))</f>
        <v>478</v>
      </c>
      <c r="D2654" s="52">
        <f ca="1">C2654*Inputs!$B$12</f>
        <v>57360000</v>
      </c>
    </row>
    <row r="2655" spans="1:4" ht="13.5" customHeight="1" x14ac:dyDescent="0.3">
      <c r="A2655" s="46">
        <v>2651</v>
      </c>
      <c r="B2655" s="47">
        <f t="shared" ca="1" si="41"/>
        <v>0.7858065989207712</v>
      </c>
      <c r="C2655" s="48">
        <f t="array" aca="1" ref="C2655" ca="1">MAX(0,ROUND(Inputs!$B$10*Inputs!$B$11+NORMSINV(B2655)*SQRT(Inputs!$B$10*Inputs!$B$11),0))</f>
        <v>518</v>
      </c>
      <c r="D2655" s="49">
        <f ca="1">C2655*Inputs!$B$12</f>
        <v>62160000</v>
      </c>
    </row>
    <row r="2656" spans="1:4" ht="13.5" customHeight="1" x14ac:dyDescent="0.3">
      <c r="A2656" s="50">
        <v>2652</v>
      </c>
      <c r="B2656" s="51">
        <f t="shared" ca="1" si="41"/>
        <v>3.7995154518539742E-2</v>
      </c>
      <c r="C2656" s="48">
        <f t="array" aca="1" ref="C2656" ca="1">MAX(0,ROUND(Inputs!$B$10*Inputs!$B$11+NORMSINV(B2656)*SQRT(Inputs!$B$10*Inputs!$B$11),0))</f>
        <v>460</v>
      </c>
      <c r="D2656" s="52">
        <f ca="1">C2656*Inputs!$B$12</f>
        <v>55200000</v>
      </c>
    </row>
    <row r="2657" spans="1:4" ht="13.5" customHeight="1" x14ac:dyDescent="0.3">
      <c r="A2657" s="46">
        <v>2653</v>
      </c>
      <c r="B2657" s="47">
        <f t="shared" ca="1" si="41"/>
        <v>0.16195147441020796</v>
      </c>
      <c r="C2657" s="48">
        <f t="array" aca="1" ref="C2657" ca="1">MAX(0,ROUND(Inputs!$B$10*Inputs!$B$11+NORMSINV(B2657)*SQRT(Inputs!$B$10*Inputs!$B$11),0))</f>
        <v>478</v>
      </c>
      <c r="D2657" s="49">
        <f ca="1">C2657*Inputs!$B$12</f>
        <v>57360000</v>
      </c>
    </row>
    <row r="2658" spans="1:4" ht="13.5" customHeight="1" x14ac:dyDescent="0.3">
      <c r="A2658" s="50">
        <v>2654</v>
      </c>
      <c r="B2658" s="51">
        <f t="shared" ca="1" si="41"/>
        <v>0.11257665028328223</v>
      </c>
      <c r="C2658" s="48">
        <f t="array" aca="1" ref="C2658" ca="1">MAX(0,ROUND(Inputs!$B$10*Inputs!$B$11+NORMSINV(B2658)*SQRT(Inputs!$B$10*Inputs!$B$11),0))</f>
        <v>473</v>
      </c>
      <c r="D2658" s="52">
        <f ca="1">C2658*Inputs!$B$12</f>
        <v>56760000</v>
      </c>
    </row>
    <row r="2659" spans="1:4" ht="13.5" customHeight="1" x14ac:dyDescent="0.3">
      <c r="A2659" s="46">
        <v>2655</v>
      </c>
      <c r="B2659" s="47">
        <f t="shared" ca="1" si="41"/>
        <v>0.85815081254986625</v>
      </c>
      <c r="C2659" s="48">
        <f t="array" aca="1" ref="C2659" ca="1">MAX(0,ROUND(Inputs!$B$10*Inputs!$B$11+NORMSINV(B2659)*SQRT(Inputs!$B$10*Inputs!$B$11),0))</f>
        <v>524</v>
      </c>
      <c r="D2659" s="49">
        <f ca="1">C2659*Inputs!$B$12</f>
        <v>62880000</v>
      </c>
    </row>
    <row r="2660" spans="1:4" ht="13.5" customHeight="1" x14ac:dyDescent="0.3">
      <c r="A2660" s="50">
        <v>2656</v>
      </c>
      <c r="B2660" s="51">
        <f t="shared" ca="1" si="41"/>
        <v>0.48384260796768697</v>
      </c>
      <c r="C2660" s="48">
        <f t="array" aca="1" ref="C2660" ca="1">MAX(0,ROUND(Inputs!$B$10*Inputs!$B$11+NORMSINV(B2660)*SQRT(Inputs!$B$10*Inputs!$B$11),0))</f>
        <v>499</v>
      </c>
      <c r="D2660" s="52">
        <f ca="1">C2660*Inputs!$B$12</f>
        <v>59880000</v>
      </c>
    </row>
    <row r="2661" spans="1:4" ht="13.5" customHeight="1" x14ac:dyDescent="0.3">
      <c r="A2661" s="46">
        <v>2657</v>
      </c>
      <c r="B2661" s="47">
        <f t="shared" ca="1" si="41"/>
        <v>0.89451387222114143</v>
      </c>
      <c r="C2661" s="48">
        <f t="array" aca="1" ref="C2661" ca="1">MAX(0,ROUND(Inputs!$B$10*Inputs!$B$11+NORMSINV(B2661)*SQRT(Inputs!$B$10*Inputs!$B$11),0))</f>
        <v>528</v>
      </c>
      <c r="D2661" s="49">
        <f ca="1">C2661*Inputs!$B$12</f>
        <v>63360000</v>
      </c>
    </row>
    <row r="2662" spans="1:4" ht="13.5" customHeight="1" x14ac:dyDescent="0.3">
      <c r="A2662" s="50">
        <v>2658</v>
      </c>
      <c r="B2662" s="51">
        <f t="shared" ca="1" si="41"/>
        <v>0.65341323967508469</v>
      </c>
      <c r="C2662" s="48">
        <f t="array" aca="1" ref="C2662" ca="1">MAX(0,ROUND(Inputs!$B$10*Inputs!$B$11+NORMSINV(B2662)*SQRT(Inputs!$B$10*Inputs!$B$11),0))</f>
        <v>509</v>
      </c>
      <c r="D2662" s="52">
        <f ca="1">C2662*Inputs!$B$12</f>
        <v>61080000</v>
      </c>
    </row>
    <row r="2663" spans="1:4" ht="13.5" customHeight="1" x14ac:dyDescent="0.3">
      <c r="A2663" s="46">
        <v>2659</v>
      </c>
      <c r="B2663" s="47">
        <f t="shared" ca="1" si="41"/>
        <v>0.68166573647902617</v>
      </c>
      <c r="C2663" s="48">
        <f t="array" aca="1" ref="C2663" ca="1">MAX(0,ROUND(Inputs!$B$10*Inputs!$B$11+NORMSINV(B2663)*SQRT(Inputs!$B$10*Inputs!$B$11),0))</f>
        <v>511</v>
      </c>
      <c r="D2663" s="49">
        <f ca="1">C2663*Inputs!$B$12</f>
        <v>61320000</v>
      </c>
    </row>
    <row r="2664" spans="1:4" ht="13.5" customHeight="1" x14ac:dyDescent="0.3">
      <c r="A2664" s="50">
        <v>2660</v>
      </c>
      <c r="B2664" s="51">
        <f t="shared" ca="1" si="41"/>
        <v>6.9983425470744653E-2</v>
      </c>
      <c r="C2664" s="48">
        <f t="array" aca="1" ref="C2664" ca="1">MAX(0,ROUND(Inputs!$B$10*Inputs!$B$11+NORMSINV(B2664)*SQRT(Inputs!$B$10*Inputs!$B$11),0))</f>
        <v>467</v>
      </c>
      <c r="D2664" s="52">
        <f ca="1">C2664*Inputs!$B$12</f>
        <v>56040000</v>
      </c>
    </row>
    <row r="2665" spans="1:4" ht="13.5" customHeight="1" x14ac:dyDescent="0.3">
      <c r="A2665" s="46">
        <v>2661</v>
      </c>
      <c r="B2665" s="47">
        <f t="shared" ca="1" si="41"/>
        <v>0.37790455529597688</v>
      </c>
      <c r="C2665" s="48">
        <f t="array" aca="1" ref="C2665" ca="1">MAX(0,ROUND(Inputs!$B$10*Inputs!$B$11+NORMSINV(B2665)*SQRT(Inputs!$B$10*Inputs!$B$11),0))</f>
        <v>493</v>
      </c>
      <c r="D2665" s="49">
        <f ca="1">C2665*Inputs!$B$12</f>
        <v>59160000</v>
      </c>
    </row>
    <row r="2666" spans="1:4" ht="13.5" customHeight="1" x14ac:dyDescent="0.3">
      <c r="A2666" s="50">
        <v>2662</v>
      </c>
      <c r="B2666" s="51">
        <f t="shared" ca="1" si="41"/>
        <v>0.96281531461690384</v>
      </c>
      <c r="C2666" s="48">
        <f t="array" aca="1" ref="C2666" ca="1">MAX(0,ROUND(Inputs!$B$10*Inputs!$B$11+NORMSINV(B2666)*SQRT(Inputs!$B$10*Inputs!$B$11),0))</f>
        <v>540</v>
      </c>
      <c r="D2666" s="52">
        <f ca="1">C2666*Inputs!$B$12</f>
        <v>64800000</v>
      </c>
    </row>
    <row r="2667" spans="1:4" ht="13.5" customHeight="1" x14ac:dyDescent="0.3">
      <c r="A2667" s="46">
        <v>2663</v>
      </c>
      <c r="B2667" s="47">
        <f t="shared" ca="1" si="41"/>
        <v>0.88089485898666919</v>
      </c>
      <c r="C2667" s="48">
        <f t="array" aca="1" ref="C2667" ca="1">MAX(0,ROUND(Inputs!$B$10*Inputs!$B$11+NORMSINV(B2667)*SQRT(Inputs!$B$10*Inputs!$B$11),0))</f>
        <v>526</v>
      </c>
      <c r="D2667" s="49">
        <f ca="1">C2667*Inputs!$B$12</f>
        <v>63120000</v>
      </c>
    </row>
    <row r="2668" spans="1:4" ht="13.5" customHeight="1" x14ac:dyDescent="0.3">
      <c r="A2668" s="50">
        <v>2664</v>
      </c>
      <c r="B2668" s="51">
        <f t="shared" ca="1" si="41"/>
        <v>0.86649541157869814</v>
      </c>
      <c r="C2668" s="48">
        <f t="array" aca="1" ref="C2668" ca="1">MAX(0,ROUND(Inputs!$B$10*Inputs!$B$11+NORMSINV(B2668)*SQRT(Inputs!$B$10*Inputs!$B$11),0))</f>
        <v>525</v>
      </c>
      <c r="D2668" s="52">
        <f ca="1">C2668*Inputs!$B$12</f>
        <v>63000000</v>
      </c>
    </row>
    <row r="2669" spans="1:4" ht="13.5" customHeight="1" x14ac:dyDescent="0.3">
      <c r="A2669" s="46">
        <v>2665</v>
      </c>
      <c r="B2669" s="47">
        <f t="shared" ca="1" si="41"/>
        <v>0.37201603209297318</v>
      </c>
      <c r="C2669" s="48">
        <f t="array" aca="1" ref="C2669" ca="1">MAX(0,ROUND(Inputs!$B$10*Inputs!$B$11+NORMSINV(B2669)*SQRT(Inputs!$B$10*Inputs!$B$11),0))</f>
        <v>493</v>
      </c>
      <c r="D2669" s="49">
        <f ca="1">C2669*Inputs!$B$12</f>
        <v>59160000</v>
      </c>
    </row>
    <row r="2670" spans="1:4" ht="13.5" customHeight="1" x14ac:dyDescent="0.3">
      <c r="A2670" s="50">
        <v>2666</v>
      </c>
      <c r="B2670" s="51">
        <f t="shared" ca="1" si="41"/>
        <v>0.84766680687962959</v>
      </c>
      <c r="C2670" s="48">
        <f t="array" aca="1" ref="C2670" ca="1">MAX(0,ROUND(Inputs!$B$10*Inputs!$B$11+NORMSINV(B2670)*SQRT(Inputs!$B$10*Inputs!$B$11),0))</f>
        <v>523</v>
      </c>
      <c r="D2670" s="52">
        <f ca="1">C2670*Inputs!$B$12</f>
        <v>62760000</v>
      </c>
    </row>
    <row r="2671" spans="1:4" ht="13.5" customHeight="1" x14ac:dyDescent="0.3">
      <c r="A2671" s="46">
        <v>2667</v>
      </c>
      <c r="B2671" s="47">
        <f t="shared" ca="1" si="41"/>
        <v>0.92687416990648663</v>
      </c>
      <c r="C2671" s="48">
        <f t="array" aca="1" ref="C2671" ca="1">MAX(0,ROUND(Inputs!$B$10*Inputs!$B$11+NORMSINV(B2671)*SQRT(Inputs!$B$10*Inputs!$B$11),0))</f>
        <v>532</v>
      </c>
      <c r="D2671" s="49">
        <f ca="1">C2671*Inputs!$B$12</f>
        <v>63840000</v>
      </c>
    </row>
    <row r="2672" spans="1:4" ht="13.5" customHeight="1" x14ac:dyDescent="0.3">
      <c r="A2672" s="50">
        <v>2668</v>
      </c>
      <c r="B2672" s="51">
        <f t="shared" ca="1" si="41"/>
        <v>0.20746146567307</v>
      </c>
      <c r="C2672" s="48">
        <f t="array" aca="1" ref="C2672" ca="1">MAX(0,ROUND(Inputs!$B$10*Inputs!$B$11+NORMSINV(B2672)*SQRT(Inputs!$B$10*Inputs!$B$11),0))</f>
        <v>482</v>
      </c>
      <c r="D2672" s="52">
        <f ca="1">C2672*Inputs!$B$12</f>
        <v>57840000</v>
      </c>
    </row>
    <row r="2673" spans="1:4" ht="13.5" customHeight="1" x14ac:dyDescent="0.3">
      <c r="A2673" s="46">
        <v>2669</v>
      </c>
      <c r="B2673" s="47">
        <f t="shared" ca="1" si="41"/>
        <v>0.86174672457996482</v>
      </c>
      <c r="C2673" s="48">
        <f t="array" aca="1" ref="C2673" ca="1">MAX(0,ROUND(Inputs!$B$10*Inputs!$B$11+NORMSINV(B2673)*SQRT(Inputs!$B$10*Inputs!$B$11),0))</f>
        <v>524</v>
      </c>
      <c r="D2673" s="49">
        <f ca="1">C2673*Inputs!$B$12</f>
        <v>62880000</v>
      </c>
    </row>
    <row r="2674" spans="1:4" ht="13.5" customHeight="1" x14ac:dyDescent="0.3">
      <c r="A2674" s="50">
        <v>2670</v>
      </c>
      <c r="B2674" s="51">
        <f t="shared" ca="1" si="41"/>
        <v>0.36289541417733262</v>
      </c>
      <c r="C2674" s="48">
        <f t="array" aca="1" ref="C2674" ca="1">MAX(0,ROUND(Inputs!$B$10*Inputs!$B$11+NORMSINV(B2674)*SQRT(Inputs!$B$10*Inputs!$B$11),0))</f>
        <v>492</v>
      </c>
      <c r="D2674" s="52">
        <f ca="1">C2674*Inputs!$B$12</f>
        <v>59040000</v>
      </c>
    </row>
    <row r="2675" spans="1:4" ht="13.5" customHeight="1" x14ac:dyDescent="0.3">
      <c r="A2675" s="46">
        <v>2671</v>
      </c>
      <c r="B2675" s="47">
        <f t="shared" ca="1" si="41"/>
        <v>0.46281261643353921</v>
      </c>
      <c r="C2675" s="48">
        <f t="array" aca="1" ref="C2675" ca="1">MAX(0,ROUND(Inputs!$B$10*Inputs!$B$11+NORMSINV(B2675)*SQRT(Inputs!$B$10*Inputs!$B$11),0))</f>
        <v>498</v>
      </c>
      <c r="D2675" s="49">
        <f ca="1">C2675*Inputs!$B$12</f>
        <v>59760000</v>
      </c>
    </row>
    <row r="2676" spans="1:4" ht="13.5" customHeight="1" x14ac:dyDescent="0.3">
      <c r="A2676" s="50">
        <v>2672</v>
      </c>
      <c r="B2676" s="51">
        <f t="shared" ca="1" si="41"/>
        <v>0.73399838502205828</v>
      </c>
      <c r="C2676" s="48">
        <f t="array" aca="1" ref="C2676" ca="1">MAX(0,ROUND(Inputs!$B$10*Inputs!$B$11+NORMSINV(B2676)*SQRT(Inputs!$B$10*Inputs!$B$11),0))</f>
        <v>514</v>
      </c>
      <c r="D2676" s="52">
        <f ca="1">C2676*Inputs!$B$12</f>
        <v>61680000</v>
      </c>
    </row>
    <row r="2677" spans="1:4" ht="13.5" customHeight="1" x14ac:dyDescent="0.3">
      <c r="A2677" s="46">
        <v>2673</v>
      </c>
      <c r="B2677" s="47">
        <f t="shared" ca="1" si="41"/>
        <v>0.71319619938162326</v>
      </c>
      <c r="C2677" s="48">
        <f t="array" aca="1" ref="C2677" ca="1">MAX(0,ROUND(Inputs!$B$10*Inputs!$B$11+NORMSINV(B2677)*SQRT(Inputs!$B$10*Inputs!$B$11),0))</f>
        <v>513</v>
      </c>
      <c r="D2677" s="49">
        <f ca="1">C2677*Inputs!$B$12</f>
        <v>61560000</v>
      </c>
    </row>
    <row r="2678" spans="1:4" ht="13.5" customHeight="1" x14ac:dyDescent="0.3">
      <c r="A2678" s="50">
        <v>2674</v>
      </c>
      <c r="B2678" s="51">
        <f t="shared" ca="1" si="41"/>
        <v>7.5837657112045043E-2</v>
      </c>
      <c r="C2678" s="48">
        <f t="array" aca="1" ref="C2678" ca="1">MAX(0,ROUND(Inputs!$B$10*Inputs!$B$11+NORMSINV(B2678)*SQRT(Inputs!$B$10*Inputs!$B$11),0))</f>
        <v>468</v>
      </c>
      <c r="D2678" s="52">
        <f ca="1">C2678*Inputs!$B$12</f>
        <v>56160000</v>
      </c>
    </row>
    <row r="2679" spans="1:4" ht="13.5" customHeight="1" x14ac:dyDescent="0.3">
      <c r="A2679" s="46">
        <v>2675</v>
      </c>
      <c r="B2679" s="47">
        <f t="shared" ca="1" si="41"/>
        <v>0.65976485832844611</v>
      </c>
      <c r="C2679" s="48">
        <f t="array" aca="1" ref="C2679" ca="1">MAX(0,ROUND(Inputs!$B$10*Inputs!$B$11+NORMSINV(B2679)*SQRT(Inputs!$B$10*Inputs!$B$11),0))</f>
        <v>509</v>
      </c>
      <c r="D2679" s="49">
        <f ca="1">C2679*Inputs!$B$12</f>
        <v>61080000</v>
      </c>
    </row>
    <row r="2680" spans="1:4" ht="13.5" customHeight="1" x14ac:dyDescent="0.3">
      <c r="A2680" s="50">
        <v>2676</v>
      </c>
      <c r="B2680" s="51">
        <f t="shared" ca="1" si="41"/>
        <v>0.38065350882594173</v>
      </c>
      <c r="C2680" s="48">
        <f t="array" aca="1" ref="C2680" ca="1">MAX(0,ROUND(Inputs!$B$10*Inputs!$B$11+NORMSINV(B2680)*SQRT(Inputs!$B$10*Inputs!$B$11),0))</f>
        <v>493</v>
      </c>
      <c r="D2680" s="52">
        <f ca="1">C2680*Inputs!$B$12</f>
        <v>59160000</v>
      </c>
    </row>
    <row r="2681" spans="1:4" ht="13.5" customHeight="1" x14ac:dyDescent="0.3">
      <c r="A2681" s="46">
        <v>2677</v>
      </c>
      <c r="B2681" s="47">
        <f t="shared" ca="1" si="41"/>
        <v>0.16724894102040644</v>
      </c>
      <c r="C2681" s="48">
        <f t="array" aca="1" ref="C2681" ca="1">MAX(0,ROUND(Inputs!$B$10*Inputs!$B$11+NORMSINV(B2681)*SQRT(Inputs!$B$10*Inputs!$B$11),0))</f>
        <v>478</v>
      </c>
      <c r="D2681" s="49">
        <f ca="1">C2681*Inputs!$B$12</f>
        <v>57360000</v>
      </c>
    </row>
    <row r="2682" spans="1:4" ht="13.5" customHeight="1" x14ac:dyDescent="0.3">
      <c r="A2682" s="50">
        <v>2678</v>
      </c>
      <c r="B2682" s="51">
        <f t="shared" ca="1" si="41"/>
        <v>0.61311729376105284</v>
      </c>
      <c r="C2682" s="48">
        <f t="array" aca="1" ref="C2682" ca="1">MAX(0,ROUND(Inputs!$B$10*Inputs!$B$11+NORMSINV(B2682)*SQRT(Inputs!$B$10*Inputs!$B$11),0))</f>
        <v>506</v>
      </c>
      <c r="D2682" s="52">
        <f ca="1">C2682*Inputs!$B$12</f>
        <v>60720000</v>
      </c>
    </row>
    <row r="2683" spans="1:4" ht="13.5" customHeight="1" x14ac:dyDescent="0.3">
      <c r="A2683" s="46">
        <v>2679</v>
      </c>
      <c r="B2683" s="47">
        <f t="shared" ca="1" si="41"/>
        <v>0.29101206474793806</v>
      </c>
      <c r="C2683" s="48">
        <f t="array" aca="1" ref="C2683" ca="1">MAX(0,ROUND(Inputs!$B$10*Inputs!$B$11+NORMSINV(B2683)*SQRT(Inputs!$B$10*Inputs!$B$11),0))</f>
        <v>488</v>
      </c>
      <c r="D2683" s="49">
        <f ca="1">C2683*Inputs!$B$12</f>
        <v>58560000</v>
      </c>
    </row>
    <row r="2684" spans="1:4" ht="13.5" customHeight="1" x14ac:dyDescent="0.3">
      <c r="A2684" s="50">
        <v>2680</v>
      </c>
      <c r="B2684" s="51">
        <f t="shared" ca="1" si="41"/>
        <v>4.0347550405198218E-2</v>
      </c>
      <c r="C2684" s="48">
        <f t="array" aca="1" ref="C2684" ca="1">MAX(0,ROUND(Inputs!$B$10*Inputs!$B$11+NORMSINV(B2684)*SQRT(Inputs!$B$10*Inputs!$B$11),0))</f>
        <v>461</v>
      </c>
      <c r="D2684" s="52">
        <f ca="1">C2684*Inputs!$B$12</f>
        <v>55320000</v>
      </c>
    </row>
    <row r="2685" spans="1:4" ht="13.5" customHeight="1" x14ac:dyDescent="0.3">
      <c r="A2685" s="46">
        <v>2681</v>
      </c>
      <c r="B2685" s="47">
        <f t="shared" ca="1" si="41"/>
        <v>0.11772294197388511</v>
      </c>
      <c r="C2685" s="48">
        <f t="array" aca="1" ref="C2685" ca="1">MAX(0,ROUND(Inputs!$B$10*Inputs!$B$11+NORMSINV(B2685)*SQRT(Inputs!$B$10*Inputs!$B$11),0))</f>
        <v>473</v>
      </c>
      <c r="D2685" s="49">
        <f ca="1">C2685*Inputs!$B$12</f>
        <v>56760000</v>
      </c>
    </row>
    <row r="2686" spans="1:4" ht="13.5" customHeight="1" x14ac:dyDescent="0.3">
      <c r="A2686" s="50">
        <v>2682</v>
      </c>
      <c r="B2686" s="51">
        <f t="shared" ca="1" si="41"/>
        <v>0.28597000054341204</v>
      </c>
      <c r="C2686" s="48">
        <f t="array" aca="1" ref="C2686" ca="1">MAX(0,ROUND(Inputs!$B$10*Inputs!$B$11+NORMSINV(B2686)*SQRT(Inputs!$B$10*Inputs!$B$11),0))</f>
        <v>487</v>
      </c>
      <c r="D2686" s="52">
        <f ca="1">C2686*Inputs!$B$12</f>
        <v>58440000</v>
      </c>
    </row>
    <row r="2687" spans="1:4" ht="13.5" customHeight="1" x14ac:dyDescent="0.3">
      <c r="A2687" s="46">
        <v>2683</v>
      </c>
      <c r="B2687" s="47">
        <f t="shared" ca="1" si="41"/>
        <v>0.8782398709360697</v>
      </c>
      <c r="C2687" s="48">
        <f t="array" aca="1" ref="C2687" ca="1">MAX(0,ROUND(Inputs!$B$10*Inputs!$B$11+NORMSINV(B2687)*SQRT(Inputs!$B$10*Inputs!$B$11),0))</f>
        <v>526</v>
      </c>
      <c r="D2687" s="49">
        <f ca="1">C2687*Inputs!$B$12</f>
        <v>63120000</v>
      </c>
    </row>
    <row r="2688" spans="1:4" ht="13.5" customHeight="1" x14ac:dyDescent="0.3">
      <c r="A2688" s="50">
        <v>2684</v>
      </c>
      <c r="B2688" s="51">
        <f t="shared" ca="1" si="41"/>
        <v>0.7206036177213343</v>
      </c>
      <c r="C2688" s="48">
        <f t="array" aca="1" ref="C2688" ca="1">MAX(0,ROUND(Inputs!$B$10*Inputs!$B$11+NORMSINV(B2688)*SQRT(Inputs!$B$10*Inputs!$B$11),0))</f>
        <v>513</v>
      </c>
      <c r="D2688" s="52">
        <f ca="1">C2688*Inputs!$B$12</f>
        <v>61560000</v>
      </c>
    </row>
    <row r="2689" spans="1:4" ht="13.5" customHeight="1" x14ac:dyDescent="0.3">
      <c r="A2689" s="46">
        <v>2685</v>
      </c>
      <c r="B2689" s="47">
        <f t="shared" ca="1" si="41"/>
        <v>0.73504972129564916</v>
      </c>
      <c r="C2689" s="48">
        <f t="array" aca="1" ref="C2689" ca="1">MAX(0,ROUND(Inputs!$B$10*Inputs!$B$11+NORMSINV(B2689)*SQRT(Inputs!$B$10*Inputs!$B$11),0))</f>
        <v>514</v>
      </c>
      <c r="D2689" s="49">
        <f ca="1">C2689*Inputs!$B$12</f>
        <v>61680000</v>
      </c>
    </row>
    <row r="2690" spans="1:4" ht="13.5" customHeight="1" x14ac:dyDescent="0.3">
      <c r="A2690" s="50">
        <v>2686</v>
      </c>
      <c r="B2690" s="51">
        <f t="shared" ca="1" si="41"/>
        <v>8.9022691601793547E-2</v>
      </c>
      <c r="C2690" s="48">
        <f t="array" aca="1" ref="C2690" ca="1">MAX(0,ROUND(Inputs!$B$10*Inputs!$B$11+NORMSINV(B2690)*SQRT(Inputs!$B$10*Inputs!$B$11),0))</f>
        <v>470</v>
      </c>
      <c r="D2690" s="52">
        <f ca="1">C2690*Inputs!$B$12</f>
        <v>56400000</v>
      </c>
    </row>
    <row r="2691" spans="1:4" ht="13.5" customHeight="1" x14ac:dyDescent="0.3">
      <c r="A2691" s="46">
        <v>2687</v>
      </c>
      <c r="B2691" s="47">
        <f t="shared" ca="1" si="41"/>
        <v>0.66550839539699991</v>
      </c>
      <c r="C2691" s="48">
        <f t="array" aca="1" ref="C2691" ca="1">MAX(0,ROUND(Inputs!$B$10*Inputs!$B$11+NORMSINV(B2691)*SQRT(Inputs!$B$10*Inputs!$B$11),0))</f>
        <v>510</v>
      </c>
      <c r="D2691" s="49">
        <f ca="1">C2691*Inputs!$B$12</f>
        <v>61200000</v>
      </c>
    </row>
    <row r="2692" spans="1:4" ht="13.5" customHeight="1" x14ac:dyDescent="0.3">
      <c r="A2692" s="50">
        <v>2688</v>
      </c>
      <c r="B2692" s="51">
        <f t="shared" ca="1" si="41"/>
        <v>0.31289696284007951</v>
      </c>
      <c r="C2692" s="48">
        <f t="array" aca="1" ref="C2692" ca="1">MAX(0,ROUND(Inputs!$B$10*Inputs!$B$11+NORMSINV(B2692)*SQRT(Inputs!$B$10*Inputs!$B$11),0))</f>
        <v>489</v>
      </c>
      <c r="D2692" s="52">
        <f ca="1">C2692*Inputs!$B$12</f>
        <v>58680000</v>
      </c>
    </row>
    <row r="2693" spans="1:4" ht="13.5" customHeight="1" x14ac:dyDescent="0.3">
      <c r="A2693" s="46">
        <v>2689</v>
      </c>
      <c r="B2693" s="47">
        <f t="shared" ref="B2693:B2756" ca="1" si="42">RAND()</f>
        <v>0.36534046529838871</v>
      </c>
      <c r="C2693" s="48">
        <f t="array" aca="1" ref="C2693" ca="1">MAX(0,ROUND(Inputs!$B$10*Inputs!$B$11+NORMSINV(B2693)*SQRT(Inputs!$B$10*Inputs!$B$11),0))</f>
        <v>492</v>
      </c>
      <c r="D2693" s="49">
        <f ca="1">C2693*Inputs!$B$12</f>
        <v>59040000</v>
      </c>
    </row>
    <row r="2694" spans="1:4" ht="13.5" customHeight="1" x14ac:dyDescent="0.3">
      <c r="A2694" s="50">
        <v>2690</v>
      </c>
      <c r="B2694" s="51">
        <f t="shared" ca="1" si="42"/>
        <v>0.24271545231995284</v>
      </c>
      <c r="C2694" s="48">
        <f t="array" aca="1" ref="C2694" ca="1">MAX(0,ROUND(Inputs!$B$10*Inputs!$B$11+NORMSINV(B2694)*SQRT(Inputs!$B$10*Inputs!$B$11),0))</f>
        <v>484</v>
      </c>
      <c r="D2694" s="52">
        <f ca="1">C2694*Inputs!$B$12</f>
        <v>58080000</v>
      </c>
    </row>
    <row r="2695" spans="1:4" ht="13.5" customHeight="1" x14ac:dyDescent="0.3">
      <c r="A2695" s="46">
        <v>2691</v>
      </c>
      <c r="B2695" s="47">
        <f t="shared" ca="1" si="42"/>
        <v>0.94962881185222281</v>
      </c>
      <c r="C2695" s="48">
        <f t="array" aca="1" ref="C2695" ca="1">MAX(0,ROUND(Inputs!$B$10*Inputs!$B$11+NORMSINV(B2695)*SQRT(Inputs!$B$10*Inputs!$B$11),0))</f>
        <v>537</v>
      </c>
      <c r="D2695" s="49">
        <f ca="1">C2695*Inputs!$B$12</f>
        <v>64440000</v>
      </c>
    </row>
    <row r="2696" spans="1:4" ht="13.5" customHeight="1" x14ac:dyDescent="0.3">
      <c r="A2696" s="50">
        <v>2692</v>
      </c>
      <c r="B2696" s="51">
        <f t="shared" ca="1" si="42"/>
        <v>0.50946283546689641</v>
      </c>
      <c r="C2696" s="48">
        <f t="array" aca="1" ref="C2696" ca="1">MAX(0,ROUND(Inputs!$B$10*Inputs!$B$11+NORMSINV(B2696)*SQRT(Inputs!$B$10*Inputs!$B$11),0))</f>
        <v>501</v>
      </c>
      <c r="D2696" s="52">
        <f ca="1">C2696*Inputs!$B$12</f>
        <v>60120000</v>
      </c>
    </row>
    <row r="2697" spans="1:4" ht="13.5" customHeight="1" x14ac:dyDescent="0.3">
      <c r="A2697" s="46">
        <v>2693</v>
      </c>
      <c r="B2697" s="47">
        <f t="shared" ca="1" si="42"/>
        <v>0.17389795457038426</v>
      </c>
      <c r="C2697" s="48">
        <f t="array" aca="1" ref="C2697" ca="1">MAX(0,ROUND(Inputs!$B$10*Inputs!$B$11+NORMSINV(B2697)*SQRT(Inputs!$B$10*Inputs!$B$11),0))</f>
        <v>479</v>
      </c>
      <c r="D2697" s="49">
        <f ca="1">C2697*Inputs!$B$12</f>
        <v>57480000</v>
      </c>
    </row>
    <row r="2698" spans="1:4" ht="13.5" customHeight="1" x14ac:dyDescent="0.3">
      <c r="A2698" s="50">
        <v>2694</v>
      </c>
      <c r="B2698" s="51">
        <f t="shared" ca="1" si="42"/>
        <v>0.22107683155995361</v>
      </c>
      <c r="C2698" s="48">
        <f t="array" aca="1" ref="C2698" ca="1">MAX(0,ROUND(Inputs!$B$10*Inputs!$B$11+NORMSINV(B2698)*SQRT(Inputs!$B$10*Inputs!$B$11),0))</f>
        <v>483</v>
      </c>
      <c r="D2698" s="52">
        <f ca="1">C2698*Inputs!$B$12</f>
        <v>57960000</v>
      </c>
    </row>
    <row r="2699" spans="1:4" ht="13.5" customHeight="1" x14ac:dyDescent="0.3">
      <c r="A2699" s="46">
        <v>2695</v>
      </c>
      <c r="B2699" s="47">
        <f t="shared" ca="1" si="42"/>
        <v>6.5867880305541249E-2</v>
      </c>
      <c r="C2699" s="48">
        <f t="array" aca="1" ref="C2699" ca="1">MAX(0,ROUND(Inputs!$B$10*Inputs!$B$11+NORMSINV(B2699)*SQRT(Inputs!$B$10*Inputs!$B$11),0))</f>
        <v>466</v>
      </c>
      <c r="D2699" s="49">
        <f ca="1">C2699*Inputs!$B$12</f>
        <v>55920000</v>
      </c>
    </row>
    <row r="2700" spans="1:4" ht="13.5" customHeight="1" x14ac:dyDescent="0.3">
      <c r="A2700" s="50">
        <v>2696</v>
      </c>
      <c r="B2700" s="51">
        <f t="shared" ca="1" si="42"/>
        <v>8.0824743734489335E-2</v>
      </c>
      <c r="C2700" s="48">
        <f t="array" aca="1" ref="C2700" ca="1">MAX(0,ROUND(Inputs!$B$10*Inputs!$B$11+NORMSINV(B2700)*SQRT(Inputs!$B$10*Inputs!$B$11),0))</f>
        <v>469</v>
      </c>
      <c r="D2700" s="52">
        <f ca="1">C2700*Inputs!$B$12</f>
        <v>56280000</v>
      </c>
    </row>
    <row r="2701" spans="1:4" ht="13.5" customHeight="1" x14ac:dyDescent="0.3">
      <c r="A2701" s="46">
        <v>2697</v>
      </c>
      <c r="B2701" s="47">
        <f t="shared" ca="1" si="42"/>
        <v>0.65453225381764579</v>
      </c>
      <c r="C2701" s="48">
        <f t="array" aca="1" ref="C2701" ca="1">MAX(0,ROUND(Inputs!$B$10*Inputs!$B$11+NORMSINV(B2701)*SQRT(Inputs!$B$10*Inputs!$B$11),0))</f>
        <v>509</v>
      </c>
      <c r="D2701" s="49">
        <f ca="1">C2701*Inputs!$B$12</f>
        <v>61080000</v>
      </c>
    </row>
    <row r="2702" spans="1:4" ht="13.5" customHeight="1" x14ac:dyDescent="0.3">
      <c r="A2702" s="50">
        <v>2698</v>
      </c>
      <c r="B2702" s="51">
        <f t="shared" ca="1" si="42"/>
        <v>0.51461901630813101</v>
      </c>
      <c r="C2702" s="48">
        <f t="array" aca="1" ref="C2702" ca="1">MAX(0,ROUND(Inputs!$B$10*Inputs!$B$11+NORMSINV(B2702)*SQRT(Inputs!$B$10*Inputs!$B$11),0))</f>
        <v>501</v>
      </c>
      <c r="D2702" s="52">
        <f ca="1">C2702*Inputs!$B$12</f>
        <v>60120000</v>
      </c>
    </row>
    <row r="2703" spans="1:4" ht="13.5" customHeight="1" x14ac:dyDescent="0.3">
      <c r="A2703" s="46">
        <v>2699</v>
      </c>
      <c r="B2703" s="47">
        <f t="shared" ca="1" si="42"/>
        <v>0.35757651068956509</v>
      </c>
      <c r="C2703" s="48">
        <f t="array" aca="1" ref="C2703" ca="1">MAX(0,ROUND(Inputs!$B$10*Inputs!$B$11+NORMSINV(B2703)*SQRT(Inputs!$B$10*Inputs!$B$11),0))</f>
        <v>492</v>
      </c>
      <c r="D2703" s="49">
        <f ca="1">C2703*Inputs!$B$12</f>
        <v>59040000</v>
      </c>
    </row>
    <row r="2704" spans="1:4" ht="13.5" customHeight="1" x14ac:dyDescent="0.3">
      <c r="A2704" s="50">
        <v>2700</v>
      </c>
      <c r="B2704" s="51">
        <f t="shared" ca="1" si="42"/>
        <v>0.4750727523176721</v>
      </c>
      <c r="C2704" s="48">
        <f t="array" aca="1" ref="C2704" ca="1">MAX(0,ROUND(Inputs!$B$10*Inputs!$B$11+NORMSINV(B2704)*SQRT(Inputs!$B$10*Inputs!$B$11),0))</f>
        <v>499</v>
      </c>
      <c r="D2704" s="52">
        <f ca="1">C2704*Inputs!$B$12</f>
        <v>59880000</v>
      </c>
    </row>
    <row r="2705" spans="1:4" ht="13.5" customHeight="1" x14ac:dyDescent="0.3">
      <c r="A2705" s="46">
        <v>2701</v>
      </c>
      <c r="B2705" s="47">
        <f t="shared" ca="1" si="42"/>
        <v>0.78102534191784312</v>
      </c>
      <c r="C2705" s="48">
        <f t="array" aca="1" ref="C2705" ca="1">MAX(0,ROUND(Inputs!$B$10*Inputs!$B$11+NORMSINV(B2705)*SQRT(Inputs!$B$10*Inputs!$B$11),0))</f>
        <v>517</v>
      </c>
      <c r="D2705" s="49">
        <f ca="1">C2705*Inputs!$B$12</f>
        <v>62040000</v>
      </c>
    </row>
    <row r="2706" spans="1:4" ht="13.5" customHeight="1" x14ac:dyDescent="0.3">
      <c r="A2706" s="50">
        <v>2702</v>
      </c>
      <c r="B2706" s="51">
        <f t="shared" ca="1" si="42"/>
        <v>0.38447432794034297</v>
      </c>
      <c r="C2706" s="48">
        <f t="array" aca="1" ref="C2706" ca="1">MAX(0,ROUND(Inputs!$B$10*Inputs!$B$11+NORMSINV(B2706)*SQRT(Inputs!$B$10*Inputs!$B$11),0))</f>
        <v>493</v>
      </c>
      <c r="D2706" s="52">
        <f ca="1">C2706*Inputs!$B$12</f>
        <v>59160000</v>
      </c>
    </row>
    <row r="2707" spans="1:4" ht="13.5" customHeight="1" x14ac:dyDescent="0.3">
      <c r="A2707" s="46">
        <v>2703</v>
      </c>
      <c r="B2707" s="47">
        <f t="shared" ca="1" si="42"/>
        <v>0.66755127968306704</v>
      </c>
      <c r="C2707" s="48">
        <f t="array" aca="1" ref="C2707" ca="1">MAX(0,ROUND(Inputs!$B$10*Inputs!$B$11+NORMSINV(B2707)*SQRT(Inputs!$B$10*Inputs!$B$11),0))</f>
        <v>510</v>
      </c>
      <c r="D2707" s="49">
        <f ca="1">C2707*Inputs!$B$12</f>
        <v>61200000</v>
      </c>
    </row>
    <row r="2708" spans="1:4" ht="13.5" customHeight="1" x14ac:dyDescent="0.3">
      <c r="A2708" s="50">
        <v>2704</v>
      </c>
      <c r="B2708" s="51">
        <f t="shared" ca="1" si="42"/>
        <v>4.9531012867027879E-2</v>
      </c>
      <c r="C2708" s="48">
        <f t="array" aca="1" ref="C2708" ca="1">MAX(0,ROUND(Inputs!$B$10*Inputs!$B$11+NORMSINV(B2708)*SQRT(Inputs!$B$10*Inputs!$B$11),0))</f>
        <v>463</v>
      </c>
      <c r="D2708" s="52">
        <f ca="1">C2708*Inputs!$B$12</f>
        <v>55560000</v>
      </c>
    </row>
    <row r="2709" spans="1:4" ht="13.5" customHeight="1" x14ac:dyDescent="0.3">
      <c r="A2709" s="46">
        <v>2705</v>
      </c>
      <c r="B2709" s="47">
        <f t="shared" ca="1" si="42"/>
        <v>0.35481173445954339</v>
      </c>
      <c r="C2709" s="48">
        <f t="array" aca="1" ref="C2709" ca="1">MAX(0,ROUND(Inputs!$B$10*Inputs!$B$11+NORMSINV(B2709)*SQRT(Inputs!$B$10*Inputs!$B$11),0))</f>
        <v>492</v>
      </c>
      <c r="D2709" s="49">
        <f ca="1">C2709*Inputs!$B$12</f>
        <v>59040000</v>
      </c>
    </row>
    <row r="2710" spans="1:4" ht="13.5" customHeight="1" x14ac:dyDescent="0.3">
      <c r="A2710" s="50">
        <v>2706</v>
      </c>
      <c r="B2710" s="51">
        <f t="shared" ca="1" si="42"/>
        <v>0.5440397565280769</v>
      </c>
      <c r="C2710" s="48">
        <f t="array" aca="1" ref="C2710" ca="1">MAX(0,ROUND(Inputs!$B$10*Inputs!$B$11+NORMSINV(B2710)*SQRT(Inputs!$B$10*Inputs!$B$11),0))</f>
        <v>502</v>
      </c>
      <c r="D2710" s="52">
        <f ca="1">C2710*Inputs!$B$12</f>
        <v>60240000</v>
      </c>
    </row>
    <row r="2711" spans="1:4" ht="13.5" customHeight="1" x14ac:dyDescent="0.3">
      <c r="A2711" s="46">
        <v>2707</v>
      </c>
      <c r="B2711" s="47">
        <f t="shared" ca="1" si="42"/>
        <v>0.84478802752398996</v>
      </c>
      <c r="C2711" s="48">
        <f t="array" aca="1" ref="C2711" ca="1">MAX(0,ROUND(Inputs!$B$10*Inputs!$B$11+NORMSINV(B2711)*SQRT(Inputs!$B$10*Inputs!$B$11),0))</f>
        <v>523</v>
      </c>
      <c r="D2711" s="49">
        <f ca="1">C2711*Inputs!$B$12</f>
        <v>62760000</v>
      </c>
    </row>
    <row r="2712" spans="1:4" ht="13.5" customHeight="1" x14ac:dyDescent="0.3">
      <c r="A2712" s="50">
        <v>2708</v>
      </c>
      <c r="B2712" s="51">
        <f t="shared" ca="1" si="42"/>
        <v>0.98674146809588259</v>
      </c>
      <c r="C2712" s="48">
        <f t="array" aca="1" ref="C2712" ca="1">MAX(0,ROUND(Inputs!$B$10*Inputs!$B$11+NORMSINV(B2712)*SQRT(Inputs!$B$10*Inputs!$B$11),0))</f>
        <v>550</v>
      </c>
      <c r="D2712" s="52">
        <f ca="1">C2712*Inputs!$B$12</f>
        <v>66000000</v>
      </c>
    </row>
    <row r="2713" spans="1:4" ht="13.5" customHeight="1" x14ac:dyDescent="0.3">
      <c r="A2713" s="46">
        <v>2709</v>
      </c>
      <c r="B2713" s="47">
        <f t="shared" ca="1" si="42"/>
        <v>9.4421967111570027E-2</v>
      </c>
      <c r="C2713" s="48">
        <f t="array" aca="1" ref="C2713" ca="1">MAX(0,ROUND(Inputs!$B$10*Inputs!$B$11+NORMSINV(B2713)*SQRT(Inputs!$B$10*Inputs!$B$11),0))</f>
        <v>471</v>
      </c>
      <c r="D2713" s="49">
        <f ca="1">C2713*Inputs!$B$12</f>
        <v>56520000</v>
      </c>
    </row>
    <row r="2714" spans="1:4" ht="13.5" customHeight="1" x14ac:dyDescent="0.3">
      <c r="A2714" s="50">
        <v>2710</v>
      </c>
      <c r="B2714" s="51">
        <f t="shared" ca="1" si="42"/>
        <v>0.78288028664837839</v>
      </c>
      <c r="C2714" s="48">
        <f t="array" aca="1" ref="C2714" ca="1">MAX(0,ROUND(Inputs!$B$10*Inputs!$B$11+NORMSINV(B2714)*SQRT(Inputs!$B$10*Inputs!$B$11),0))</f>
        <v>517</v>
      </c>
      <c r="D2714" s="52">
        <f ca="1">C2714*Inputs!$B$12</f>
        <v>62040000</v>
      </c>
    </row>
    <row r="2715" spans="1:4" ht="13.5" customHeight="1" x14ac:dyDescent="0.3">
      <c r="A2715" s="46">
        <v>2711</v>
      </c>
      <c r="B2715" s="47">
        <f t="shared" ca="1" si="42"/>
        <v>0.46377788153302557</v>
      </c>
      <c r="C2715" s="48">
        <f t="array" aca="1" ref="C2715" ca="1">MAX(0,ROUND(Inputs!$B$10*Inputs!$B$11+NORMSINV(B2715)*SQRT(Inputs!$B$10*Inputs!$B$11),0))</f>
        <v>498</v>
      </c>
      <c r="D2715" s="49">
        <f ca="1">C2715*Inputs!$B$12</f>
        <v>59760000</v>
      </c>
    </row>
    <row r="2716" spans="1:4" ht="13.5" customHeight="1" x14ac:dyDescent="0.3">
      <c r="A2716" s="50">
        <v>2712</v>
      </c>
      <c r="B2716" s="51">
        <f t="shared" ca="1" si="42"/>
        <v>3.0176002573614302E-2</v>
      </c>
      <c r="C2716" s="48">
        <f t="array" aca="1" ref="C2716" ca="1">MAX(0,ROUND(Inputs!$B$10*Inputs!$B$11+NORMSINV(B2716)*SQRT(Inputs!$B$10*Inputs!$B$11),0))</f>
        <v>458</v>
      </c>
      <c r="D2716" s="52">
        <f ca="1">C2716*Inputs!$B$12</f>
        <v>54960000</v>
      </c>
    </row>
    <row r="2717" spans="1:4" ht="13.5" customHeight="1" x14ac:dyDescent="0.3">
      <c r="A2717" s="46">
        <v>2713</v>
      </c>
      <c r="B2717" s="47">
        <f t="shared" ca="1" si="42"/>
        <v>0.17935488070654193</v>
      </c>
      <c r="C2717" s="48">
        <f t="array" aca="1" ref="C2717" ca="1">MAX(0,ROUND(Inputs!$B$10*Inputs!$B$11+NORMSINV(B2717)*SQRT(Inputs!$B$10*Inputs!$B$11),0))</f>
        <v>479</v>
      </c>
      <c r="D2717" s="49">
        <f ca="1">C2717*Inputs!$B$12</f>
        <v>57480000</v>
      </c>
    </row>
    <row r="2718" spans="1:4" ht="13.5" customHeight="1" x14ac:dyDescent="0.3">
      <c r="A2718" s="50">
        <v>2714</v>
      </c>
      <c r="B2718" s="51">
        <f t="shared" ca="1" si="42"/>
        <v>0.16983324013630607</v>
      </c>
      <c r="C2718" s="48">
        <f t="array" aca="1" ref="C2718" ca="1">MAX(0,ROUND(Inputs!$B$10*Inputs!$B$11+NORMSINV(B2718)*SQRT(Inputs!$B$10*Inputs!$B$11),0))</f>
        <v>479</v>
      </c>
      <c r="D2718" s="52">
        <f ca="1">C2718*Inputs!$B$12</f>
        <v>57480000</v>
      </c>
    </row>
    <row r="2719" spans="1:4" ht="13.5" customHeight="1" x14ac:dyDescent="0.3">
      <c r="A2719" s="46">
        <v>2715</v>
      </c>
      <c r="B2719" s="47">
        <f t="shared" ca="1" si="42"/>
        <v>0.96483207143073635</v>
      </c>
      <c r="C2719" s="48">
        <f t="array" aca="1" ref="C2719" ca="1">MAX(0,ROUND(Inputs!$B$10*Inputs!$B$11+NORMSINV(B2719)*SQRT(Inputs!$B$10*Inputs!$B$11),0))</f>
        <v>540</v>
      </c>
      <c r="D2719" s="49">
        <f ca="1">C2719*Inputs!$B$12</f>
        <v>64800000</v>
      </c>
    </row>
    <row r="2720" spans="1:4" ht="13.5" customHeight="1" x14ac:dyDescent="0.3">
      <c r="A2720" s="50">
        <v>2716</v>
      </c>
      <c r="B2720" s="51">
        <f t="shared" ca="1" si="42"/>
        <v>0.12849664418792528</v>
      </c>
      <c r="C2720" s="48">
        <f t="array" aca="1" ref="C2720" ca="1">MAX(0,ROUND(Inputs!$B$10*Inputs!$B$11+NORMSINV(B2720)*SQRT(Inputs!$B$10*Inputs!$B$11),0))</f>
        <v>475</v>
      </c>
      <c r="D2720" s="52">
        <f ca="1">C2720*Inputs!$B$12</f>
        <v>57000000</v>
      </c>
    </row>
    <row r="2721" spans="1:4" ht="13.5" customHeight="1" x14ac:dyDescent="0.3">
      <c r="A2721" s="46">
        <v>2717</v>
      </c>
      <c r="B2721" s="47">
        <f t="shared" ca="1" si="42"/>
        <v>0.93526622240858204</v>
      </c>
      <c r="C2721" s="48">
        <f t="array" aca="1" ref="C2721" ca="1">MAX(0,ROUND(Inputs!$B$10*Inputs!$B$11+NORMSINV(B2721)*SQRT(Inputs!$B$10*Inputs!$B$11),0))</f>
        <v>534</v>
      </c>
      <c r="D2721" s="49">
        <f ca="1">C2721*Inputs!$B$12</f>
        <v>64080000</v>
      </c>
    </row>
    <row r="2722" spans="1:4" ht="13.5" customHeight="1" x14ac:dyDescent="0.3">
      <c r="A2722" s="50">
        <v>2718</v>
      </c>
      <c r="B2722" s="51">
        <f t="shared" ca="1" si="42"/>
        <v>9.4720230327193566E-2</v>
      </c>
      <c r="C2722" s="48">
        <f t="array" aca="1" ref="C2722" ca="1">MAX(0,ROUND(Inputs!$B$10*Inputs!$B$11+NORMSINV(B2722)*SQRT(Inputs!$B$10*Inputs!$B$11),0))</f>
        <v>471</v>
      </c>
      <c r="D2722" s="52">
        <f ca="1">C2722*Inputs!$B$12</f>
        <v>56520000</v>
      </c>
    </row>
    <row r="2723" spans="1:4" ht="13.5" customHeight="1" x14ac:dyDescent="0.3">
      <c r="A2723" s="46">
        <v>2719</v>
      </c>
      <c r="B2723" s="47">
        <f t="shared" ca="1" si="42"/>
        <v>3.0398084304830042E-2</v>
      </c>
      <c r="C2723" s="48">
        <f t="array" aca="1" ref="C2723" ca="1">MAX(0,ROUND(Inputs!$B$10*Inputs!$B$11+NORMSINV(B2723)*SQRT(Inputs!$B$10*Inputs!$B$11),0))</f>
        <v>458</v>
      </c>
      <c r="D2723" s="49">
        <f ca="1">C2723*Inputs!$B$12</f>
        <v>54960000</v>
      </c>
    </row>
    <row r="2724" spans="1:4" ht="13.5" customHeight="1" x14ac:dyDescent="0.3">
      <c r="A2724" s="50">
        <v>2720</v>
      </c>
      <c r="B2724" s="51">
        <f t="shared" ca="1" si="42"/>
        <v>8.7633094165936454E-2</v>
      </c>
      <c r="C2724" s="48">
        <f t="array" aca="1" ref="C2724" ca="1">MAX(0,ROUND(Inputs!$B$10*Inputs!$B$11+NORMSINV(B2724)*SQRT(Inputs!$B$10*Inputs!$B$11),0))</f>
        <v>470</v>
      </c>
      <c r="D2724" s="52">
        <f ca="1">C2724*Inputs!$B$12</f>
        <v>56400000</v>
      </c>
    </row>
    <row r="2725" spans="1:4" ht="13.5" customHeight="1" x14ac:dyDescent="0.3">
      <c r="A2725" s="46">
        <v>2721</v>
      </c>
      <c r="B2725" s="47">
        <f t="shared" ca="1" si="42"/>
        <v>0.10000411004053189</v>
      </c>
      <c r="C2725" s="48">
        <f t="array" aca="1" ref="C2725" ca="1">MAX(0,ROUND(Inputs!$B$10*Inputs!$B$11+NORMSINV(B2725)*SQRT(Inputs!$B$10*Inputs!$B$11),0))</f>
        <v>471</v>
      </c>
      <c r="D2725" s="49">
        <f ca="1">C2725*Inputs!$B$12</f>
        <v>56520000</v>
      </c>
    </row>
    <row r="2726" spans="1:4" ht="13.5" customHeight="1" x14ac:dyDescent="0.3">
      <c r="A2726" s="50">
        <v>2722</v>
      </c>
      <c r="B2726" s="51">
        <f t="shared" ca="1" si="42"/>
        <v>0.84298190442303333</v>
      </c>
      <c r="C2726" s="48">
        <f t="array" aca="1" ref="C2726" ca="1">MAX(0,ROUND(Inputs!$B$10*Inputs!$B$11+NORMSINV(B2726)*SQRT(Inputs!$B$10*Inputs!$B$11),0))</f>
        <v>523</v>
      </c>
      <c r="D2726" s="52">
        <f ca="1">C2726*Inputs!$B$12</f>
        <v>62760000</v>
      </c>
    </row>
    <row r="2727" spans="1:4" ht="13.5" customHeight="1" x14ac:dyDescent="0.3">
      <c r="A2727" s="46">
        <v>2723</v>
      </c>
      <c r="B2727" s="47">
        <f t="shared" ca="1" si="42"/>
        <v>0.81901040772531319</v>
      </c>
      <c r="C2727" s="48">
        <f t="array" aca="1" ref="C2727" ca="1">MAX(0,ROUND(Inputs!$B$10*Inputs!$B$11+NORMSINV(B2727)*SQRT(Inputs!$B$10*Inputs!$B$11),0))</f>
        <v>520</v>
      </c>
      <c r="D2727" s="49">
        <f ca="1">C2727*Inputs!$B$12</f>
        <v>62400000</v>
      </c>
    </row>
    <row r="2728" spans="1:4" ht="13.5" customHeight="1" x14ac:dyDescent="0.3">
      <c r="A2728" s="50">
        <v>2724</v>
      </c>
      <c r="B2728" s="51">
        <f t="shared" ca="1" si="42"/>
        <v>0.20862294811165893</v>
      </c>
      <c r="C2728" s="48">
        <f t="array" aca="1" ref="C2728" ca="1">MAX(0,ROUND(Inputs!$B$10*Inputs!$B$11+NORMSINV(B2728)*SQRT(Inputs!$B$10*Inputs!$B$11),0))</f>
        <v>482</v>
      </c>
      <c r="D2728" s="52">
        <f ca="1">C2728*Inputs!$B$12</f>
        <v>57840000</v>
      </c>
    </row>
    <row r="2729" spans="1:4" ht="13.5" customHeight="1" x14ac:dyDescent="0.3">
      <c r="A2729" s="46">
        <v>2725</v>
      </c>
      <c r="B2729" s="47">
        <f t="shared" ca="1" si="42"/>
        <v>0.59244021054078611</v>
      </c>
      <c r="C2729" s="48">
        <f t="array" aca="1" ref="C2729" ca="1">MAX(0,ROUND(Inputs!$B$10*Inputs!$B$11+NORMSINV(B2729)*SQRT(Inputs!$B$10*Inputs!$B$11),0))</f>
        <v>505</v>
      </c>
      <c r="D2729" s="49">
        <f ca="1">C2729*Inputs!$B$12</f>
        <v>60600000</v>
      </c>
    </row>
    <row r="2730" spans="1:4" ht="13.5" customHeight="1" x14ac:dyDescent="0.3">
      <c r="A2730" s="50">
        <v>2726</v>
      </c>
      <c r="B2730" s="51">
        <f t="shared" ca="1" si="42"/>
        <v>9.6646748488789402E-2</v>
      </c>
      <c r="C2730" s="48">
        <f t="array" aca="1" ref="C2730" ca="1">MAX(0,ROUND(Inputs!$B$10*Inputs!$B$11+NORMSINV(B2730)*SQRT(Inputs!$B$10*Inputs!$B$11),0))</f>
        <v>471</v>
      </c>
      <c r="D2730" s="52">
        <f ca="1">C2730*Inputs!$B$12</f>
        <v>56520000</v>
      </c>
    </row>
    <row r="2731" spans="1:4" ht="13.5" customHeight="1" x14ac:dyDescent="0.3">
      <c r="A2731" s="46">
        <v>2727</v>
      </c>
      <c r="B2731" s="47">
        <f t="shared" ca="1" si="42"/>
        <v>0.82749659222211036</v>
      </c>
      <c r="C2731" s="48">
        <f t="array" aca="1" ref="C2731" ca="1">MAX(0,ROUND(Inputs!$B$10*Inputs!$B$11+NORMSINV(B2731)*SQRT(Inputs!$B$10*Inputs!$B$11),0))</f>
        <v>521</v>
      </c>
      <c r="D2731" s="49">
        <f ca="1">C2731*Inputs!$B$12</f>
        <v>62520000</v>
      </c>
    </row>
    <row r="2732" spans="1:4" ht="13.5" customHeight="1" x14ac:dyDescent="0.3">
      <c r="A2732" s="50">
        <v>2728</v>
      </c>
      <c r="B2732" s="51">
        <f t="shared" ca="1" si="42"/>
        <v>0.58279789171599383</v>
      </c>
      <c r="C2732" s="48">
        <f t="array" aca="1" ref="C2732" ca="1">MAX(0,ROUND(Inputs!$B$10*Inputs!$B$11+NORMSINV(B2732)*SQRT(Inputs!$B$10*Inputs!$B$11),0))</f>
        <v>505</v>
      </c>
      <c r="D2732" s="52">
        <f ca="1">C2732*Inputs!$B$12</f>
        <v>60600000</v>
      </c>
    </row>
    <row r="2733" spans="1:4" ht="13.5" customHeight="1" x14ac:dyDescent="0.3">
      <c r="A2733" s="46">
        <v>2729</v>
      </c>
      <c r="B2733" s="47">
        <f t="shared" ca="1" si="42"/>
        <v>0.94388990539926165</v>
      </c>
      <c r="C2733" s="48">
        <f t="array" aca="1" ref="C2733" ca="1">MAX(0,ROUND(Inputs!$B$10*Inputs!$B$11+NORMSINV(B2733)*SQRT(Inputs!$B$10*Inputs!$B$11),0))</f>
        <v>536</v>
      </c>
      <c r="D2733" s="49">
        <f ca="1">C2733*Inputs!$B$12</f>
        <v>64320000</v>
      </c>
    </row>
    <row r="2734" spans="1:4" ht="13.5" customHeight="1" x14ac:dyDescent="0.3">
      <c r="A2734" s="50">
        <v>2730</v>
      </c>
      <c r="B2734" s="51">
        <f t="shared" ca="1" si="42"/>
        <v>0.77006648971289604</v>
      </c>
      <c r="C2734" s="48">
        <f t="array" aca="1" ref="C2734" ca="1">MAX(0,ROUND(Inputs!$B$10*Inputs!$B$11+NORMSINV(B2734)*SQRT(Inputs!$B$10*Inputs!$B$11),0))</f>
        <v>517</v>
      </c>
      <c r="D2734" s="52">
        <f ca="1">C2734*Inputs!$B$12</f>
        <v>62040000</v>
      </c>
    </row>
    <row r="2735" spans="1:4" ht="13.5" customHeight="1" x14ac:dyDescent="0.3">
      <c r="A2735" s="46">
        <v>2731</v>
      </c>
      <c r="B2735" s="47">
        <f t="shared" ca="1" si="42"/>
        <v>0.12842875561137435</v>
      </c>
      <c r="C2735" s="48">
        <f t="array" aca="1" ref="C2735" ca="1">MAX(0,ROUND(Inputs!$B$10*Inputs!$B$11+NORMSINV(B2735)*SQRT(Inputs!$B$10*Inputs!$B$11),0))</f>
        <v>475</v>
      </c>
      <c r="D2735" s="49">
        <f ca="1">C2735*Inputs!$B$12</f>
        <v>57000000</v>
      </c>
    </row>
    <row r="2736" spans="1:4" ht="13.5" customHeight="1" x14ac:dyDescent="0.3">
      <c r="A2736" s="50">
        <v>2732</v>
      </c>
      <c r="B2736" s="51">
        <f t="shared" ca="1" si="42"/>
        <v>0.34093685671949669</v>
      </c>
      <c r="C2736" s="48">
        <f t="array" aca="1" ref="C2736" ca="1">MAX(0,ROUND(Inputs!$B$10*Inputs!$B$11+NORMSINV(B2736)*SQRT(Inputs!$B$10*Inputs!$B$11),0))</f>
        <v>491</v>
      </c>
      <c r="D2736" s="52">
        <f ca="1">C2736*Inputs!$B$12</f>
        <v>58920000</v>
      </c>
    </row>
    <row r="2737" spans="1:4" ht="13.5" customHeight="1" x14ac:dyDescent="0.3">
      <c r="A2737" s="46">
        <v>2733</v>
      </c>
      <c r="B2737" s="47">
        <f t="shared" ca="1" si="42"/>
        <v>9.4937516424056234E-2</v>
      </c>
      <c r="C2737" s="48">
        <f t="array" aca="1" ref="C2737" ca="1">MAX(0,ROUND(Inputs!$B$10*Inputs!$B$11+NORMSINV(B2737)*SQRT(Inputs!$B$10*Inputs!$B$11),0))</f>
        <v>471</v>
      </c>
      <c r="D2737" s="49">
        <f ca="1">C2737*Inputs!$B$12</f>
        <v>56520000</v>
      </c>
    </row>
    <row r="2738" spans="1:4" ht="13.5" customHeight="1" x14ac:dyDescent="0.3">
      <c r="A2738" s="50">
        <v>2734</v>
      </c>
      <c r="B2738" s="51">
        <f t="shared" ca="1" si="42"/>
        <v>0.41289792122218683</v>
      </c>
      <c r="C2738" s="48">
        <f t="array" aca="1" ref="C2738" ca="1">MAX(0,ROUND(Inputs!$B$10*Inputs!$B$11+NORMSINV(B2738)*SQRT(Inputs!$B$10*Inputs!$B$11),0))</f>
        <v>495</v>
      </c>
      <c r="D2738" s="52">
        <f ca="1">C2738*Inputs!$B$12</f>
        <v>59400000</v>
      </c>
    </row>
    <row r="2739" spans="1:4" ht="13.5" customHeight="1" x14ac:dyDescent="0.3">
      <c r="A2739" s="46">
        <v>2735</v>
      </c>
      <c r="B2739" s="47">
        <f t="shared" ca="1" si="42"/>
        <v>0.69737620657104604</v>
      </c>
      <c r="C2739" s="48">
        <f t="array" aca="1" ref="C2739" ca="1">MAX(0,ROUND(Inputs!$B$10*Inputs!$B$11+NORMSINV(B2739)*SQRT(Inputs!$B$10*Inputs!$B$11),0))</f>
        <v>512</v>
      </c>
      <c r="D2739" s="49">
        <f ca="1">C2739*Inputs!$B$12</f>
        <v>61440000</v>
      </c>
    </row>
    <row r="2740" spans="1:4" ht="13.5" customHeight="1" x14ac:dyDescent="0.3">
      <c r="A2740" s="50">
        <v>2736</v>
      </c>
      <c r="B2740" s="51">
        <f t="shared" ca="1" si="42"/>
        <v>3.2939079934341087E-2</v>
      </c>
      <c r="C2740" s="48">
        <f t="array" aca="1" ref="C2740" ca="1">MAX(0,ROUND(Inputs!$B$10*Inputs!$B$11+NORMSINV(B2740)*SQRT(Inputs!$B$10*Inputs!$B$11),0))</f>
        <v>459</v>
      </c>
      <c r="D2740" s="52">
        <f ca="1">C2740*Inputs!$B$12</f>
        <v>55080000</v>
      </c>
    </row>
    <row r="2741" spans="1:4" ht="13.5" customHeight="1" x14ac:dyDescent="0.3">
      <c r="A2741" s="46">
        <v>2737</v>
      </c>
      <c r="B2741" s="47">
        <f t="shared" ca="1" si="42"/>
        <v>0.29968524712457145</v>
      </c>
      <c r="C2741" s="48">
        <f t="array" aca="1" ref="C2741" ca="1">MAX(0,ROUND(Inputs!$B$10*Inputs!$B$11+NORMSINV(B2741)*SQRT(Inputs!$B$10*Inputs!$B$11),0))</f>
        <v>488</v>
      </c>
      <c r="D2741" s="49">
        <f ca="1">C2741*Inputs!$B$12</f>
        <v>58560000</v>
      </c>
    </row>
    <row r="2742" spans="1:4" ht="13.5" customHeight="1" x14ac:dyDescent="0.3">
      <c r="A2742" s="50">
        <v>2738</v>
      </c>
      <c r="B2742" s="51">
        <f t="shared" ca="1" si="42"/>
        <v>0.41907814401808829</v>
      </c>
      <c r="C2742" s="48">
        <f t="array" aca="1" ref="C2742" ca="1">MAX(0,ROUND(Inputs!$B$10*Inputs!$B$11+NORMSINV(B2742)*SQRT(Inputs!$B$10*Inputs!$B$11),0))</f>
        <v>495</v>
      </c>
      <c r="D2742" s="52">
        <f ca="1">C2742*Inputs!$B$12</f>
        <v>59400000</v>
      </c>
    </row>
    <row r="2743" spans="1:4" ht="13.5" customHeight="1" x14ac:dyDescent="0.3">
      <c r="A2743" s="46">
        <v>2739</v>
      </c>
      <c r="B2743" s="47">
        <f t="shared" ca="1" si="42"/>
        <v>0.97755027451329779</v>
      </c>
      <c r="C2743" s="48">
        <f t="array" aca="1" ref="C2743" ca="1">MAX(0,ROUND(Inputs!$B$10*Inputs!$B$11+NORMSINV(B2743)*SQRT(Inputs!$B$10*Inputs!$B$11),0))</f>
        <v>545</v>
      </c>
      <c r="D2743" s="49">
        <f ca="1">C2743*Inputs!$B$12</f>
        <v>65400000</v>
      </c>
    </row>
    <row r="2744" spans="1:4" ht="13.5" customHeight="1" x14ac:dyDescent="0.3">
      <c r="A2744" s="50">
        <v>2740</v>
      </c>
      <c r="B2744" s="51">
        <f t="shared" ca="1" si="42"/>
        <v>0.32974547920863717</v>
      </c>
      <c r="C2744" s="48">
        <f t="array" aca="1" ref="C2744" ca="1">MAX(0,ROUND(Inputs!$B$10*Inputs!$B$11+NORMSINV(B2744)*SQRT(Inputs!$B$10*Inputs!$B$11),0))</f>
        <v>490</v>
      </c>
      <c r="D2744" s="52">
        <f ca="1">C2744*Inputs!$B$12</f>
        <v>58800000</v>
      </c>
    </row>
    <row r="2745" spans="1:4" ht="13.5" customHeight="1" x14ac:dyDescent="0.3">
      <c r="A2745" s="46">
        <v>2741</v>
      </c>
      <c r="B2745" s="47">
        <f t="shared" ca="1" si="42"/>
        <v>0.76729563823929015</v>
      </c>
      <c r="C2745" s="48">
        <f t="array" aca="1" ref="C2745" ca="1">MAX(0,ROUND(Inputs!$B$10*Inputs!$B$11+NORMSINV(B2745)*SQRT(Inputs!$B$10*Inputs!$B$11),0))</f>
        <v>516</v>
      </c>
      <c r="D2745" s="49">
        <f ca="1">C2745*Inputs!$B$12</f>
        <v>61920000</v>
      </c>
    </row>
    <row r="2746" spans="1:4" ht="13.5" customHeight="1" x14ac:dyDescent="0.3">
      <c r="A2746" s="50">
        <v>2742</v>
      </c>
      <c r="B2746" s="51">
        <f t="shared" ca="1" si="42"/>
        <v>0.13304669181576601</v>
      </c>
      <c r="C2746" s="48">
        <f t="array" aca="1" ref="C2746" ca="1">MAX(0,ROUND(Inputs!$B$10*Inputs!$B$11+NORMSINV(B2746)*SQRT(Inputs!$B$10*Inputs!$B$11),0))</f>
        <v>475</v>
      </c>
      <c r="D2746" s="52">
        <f ca="1">C2746*Inputs!$B$12</f>
        <v>57000000</v>
      </c>
    </row>
    <row r="2747" spans="1:4" ht="13.5" customHeight="1" x14ac:dyDescent="0.3">
      <c r="A2747" s="46">
        <v>2743</v>
      </c>
      <c r="B2747" s="47">
        <f t="shared" ca="1" si="42"/>
        <v>5.6265669054738177E-2</v>
      </c>
      <c r="C2747" s="48">
        <f t="array" aca="1" ref="C2747" ca="1">MAX(0,ROUND(Inputs!$B$10*Inputs!$B$11+NORMSINV(B2747)*SQRT(Inputs!$B$10*Inputs!$B$11),0))</f>
        <v>465</v>
      </c>
      <c r="D2747" s="49">
        <f ca="1">C2747*Inputs!$B$12</f>
        <v>55800000</v>
      </c>
    </row>
    <row r="2748" spans="1:4" ht="13.5" customHeight="1" x14ac:dyDescent="0.3">
      <c r="A2748" s="50">
        <v>2744</v>
      </c>
      <c r="B2748" s="51">
        <f t="shared" ca="1" si="42"/>
        <v>0.51438659748805016</v>
      </c>
      <c r="C2748" s="48">
        <f t="array" aca="1" ref="C2748" ca="1">MAX(0,ROUND(Inputs!$B$10*Inputs!$B$11+NORMSINV(B2748)*SQRT(Inputs!$B$10*Inputs!$B$11),0))</f>
        <v>501</v>
      </c>
      <c r="D2748" s="52">
        <f ca="1">C2748*Inputs!$B$12</f>
        <v>60120000</v>
      </c>
    </row>
    <row r="2749" spans="1:4" ht="13.5" customHeight="1" x14ac:dyDescent="0.3">
      <c r="A2749" s="46">
        <v>2745</v>
      </c>
      <c r="B2749" s="47">
        <f t="shared" ca="1" si="42"/>
        <v>0.67136871383274233</v>
      </c>
      <c r="C2749" s="48">
        <f t="array" aca="1" ref="C2749" ca="1">MAX(0,ROUND(Inputs!$B$10*Inputs!$B$11+NORMSINV(B2749)*SQRT(Inputs!$B$10*Inputs!$B$11),0))</f>
        <v>510</v>
      </c>
      <c r="D2749" s="49">
        <f ca="1">C2749*Inputs!$B$12</f>
        <v>61200000</v>
      </c>
    </row>
    <row r="2750" spans="1:4" ht="13.5" customHeight="1" x14ac:dyDescent="0.3">
      <c r="A2750" s="50">
        <v>2746</v>
      </c>
      <c r="B2750" s="51">
        <f t="shared" ca="1" si="42"/>
        <v>8.7385435238327425E-3</v>
      </c>
      <c r="C2750" s="48">
        <f t="array" aca="1" ref="C2750" ca="1">MAX(0,ROUND(Inputs!$B$10*Inputs!$B$11+NORMSINV(B2750)*SQRT(Inputs!$B$10*Inputs!$B$11),0))</f>
        <v>447</v>
      </c>
      <c r="D2750" s="52">
        <f ca="1">C2750*Inputs!$B$12</f>
        <v>53640000</v>
      </c>
    </row>
    <row r="2751" spans="1:4" ht="13.5" customHeight="1" x14ac:dyDescent="0.3">
      <c r="A2751" s="46">
        <v>2747</v>
      </c>
      <c r="B2751" s="47">
        <f t="shared" ca="1" si="42"/>
        <v>0.61217794791597857</v>
      </c>
      <c r="C2751" s="48">
        <f t="array" aca="1" ref="C2751" ca="1">MAX(0,ROUND(Inputs!$B$10*Inputs!$B$11+NORMSINV(B2751)*SQRT(Inputs!$B$10*Inputs!$B$11),0))</f>
        <v>506</v>
      </c>
      <c r="D2751" s="49">
        <f ca="1">C2751*Inputs!$B$12</f>
        <v>60720000</v>
      </c>
    </row>
    <row r="2752" spans="1:4" ht="13.5" customHeight="1" x14ac:dyDescent="0.3">
      <c r="A2752" s="50">
        <v>2748</v>
      </c>
      <c r="B2752" s="51">
        <f t="shared" ca="1" si="42"/>
        <v>0.98510543896767777</v>
      </c>
      <c r="C2752" s="48">
        <f t="array" aca="1" ref="C2752" ca="1">MAX(0,ROUND(Inputs!$B$10*Inputs!$B$11+NORMSINV(B2752)*SQRT(Inputs!$B$10*Inputs!$B$11),0))</f>
        <v>549</v>
      </c>
      <c r="D2752" s="52">
        <f ca="1">C2752*Inputs!$B$12</f>
        <v>65880000</v>
      </c>
    </row>
    <row r="2753" spans="1:4" ht="13.5" customHeight="1" x14ac:dyDescent="0.3">
      <c r="A2753" s="46">
        <v>2749</v>
      </c>
      <c r="B2753" s="47">
        <f t="shared" ca="1" si="42"/>
        <v>0.48735449084348648</v>
      </c>
      <c r="C2753" s="48">
        <f t="array" aca="1" ref="C2753" ca="1">MAX(0,ROUND(Inputs!$B$10*Inputs!$B$11+NORMSINV(B2753)*SQRT(Inputs!$B$10*Inputs!$B$11),0))</f>
        <v>499</v>
      </c>
      <c r="D2753" s="49">
        <f ca="1">C2753*Inputs!$B$12</f>
        <v>59880000</v>
      </c>
    </row>
    <row r="2754" spans="1:4" ht="13.5" customHeight="1" x14ac:dyDescent="0.3">
      <c r="A2754" s="50">
        <v>2750</v>
      </c>
      <c r="B2754" s="51">
        <f t="shared" ca="1" si="42"/>
        <v>0.45200531080615303</v>
      </c>
      <c r="C2754" s="48">
        <f t="array" aca="1" ref="C2754" ca="1">MAX(0,ROUND(Inputs!$B$10*Inputs!$B$11+NORMSINV(B2754)*SQRT(Inputs!$B$10*Inputs!$B$11),0))</f>
        <v>497</v>
      </c>
      <c r="D2754" s="52">
        <f ca="1">C2754*Inputs!$B$12</f>
        <v>59640000</v>
      </c>
    </row>
    <row r="2755" spans="1:4" ht="13.5" customHeight="1" x14ac:dyDescent="0.3">
      <c r="A2755" s="46">
        <v>2751</v>
      </c>
      <c r="B2755" s="47">
        <f t="shared" ca="1" si="42"/>
        <v>0.45405801328522721</v>
      </c>
      <c r="C2755" s="48">
        <f t="array" aca="1" ref="C2755" ca="1">MAX(0,ROUND(Inputs!$B$10*Inputs!$B$11+NORMSINV(B2755)*SQRT(Inputs!$B$10*Inputs!$B$11),0))</f>
        <v>497</v>
      </c>
      <c r="D2755" s="49">
        <f ca="1">C2755*Inputs!$B$12</f>
        <v>59640000</v>
      </c>
    </row>
    <row r="2756" spans="1:4" ht="13.5" customHeight="1" x14ac:dyDescent="0.3">
      <c r="A2756" s="50">
        <v>2752</v>
      </c>
      <c r="B2756" s="51">
        <f t="shared" ca="1" si="42"/>
        <v>0.95336863350471912</v>
      </c>
      <c r="C2756" s="48">
        <f t="array" aca="1" ref="C2756" ca="1">MAX(0,ROUND(Inputs!$B$10*Inputs!$B$11+NORMSINV(B2756)*SQRT(Inputs!$B$10*Inputs!$B$11),0))</f>
        <v>538</v>
      </c>
      <c r="D2756" s="52">
        <f ca="1">C2756*Inputs!$B$12</f>
        <v>64560000</v>
      </c>
    </row>
    <row r="2757" spans="1:4" ht="13.5" customHeight="1" x14ac:dyDescent="0.3">
      <c r="A2757" s="46">
        <v>2753</v>
      </c>
      <c r="B2757" s="47">
        <f t="shared" ref="B2757:B2820" ca="1" si="43">RAND()</f>
        <v>0.47293683936124775</v>
      </c>
      <c r="C2757" s="48">
        <f t="array" aca="1" ref="C2757" ca="1">MAX(0,ROUND(Inputs!$B$10*Inputs!$B$11+NORMSINV(B2757)*SQRT(Inputs!$B$10*Inputs!$B$11),0))</f>
        <v>498</v>
      </c>
      <c r="D2757" s="49">
        <f ca="1">C2757*Inputs!$B$12</f>
        <v>59760000</v>
      </c>
    </row>
    <row r="2758" spans="1:4" ht="13.5" customHeight="1" x14ac:dyDescent="0.3">
      <c r="A2758" s="50">
        <v>2754</v>
      </c>
      <c r="B2758" s="51">
        <f t="shared" ca="1" si="43"/>
        <v>0.57258386339002743</v>
      </c>
      <c r="C2758" s="48">
        <f t="array" aca="1" ref="C2758" ca="1">MAX(0,ROUND(Inputs!$B$10*Inputs!$B$11+NORMSINV(B2758)*SQRT(Inputs!$B$10*Inputs!$B$11),0))</f>
        <v>504</v>
      </c>
      <c r="D2758" s="52">
        <f ca="1">C2758*Inputs!$B$12</f>
        <v>60480000</v>
      </c>
    </row>
    <row r="2759" spans="1:4" ht="13.5" customHeight="1" x14ac:dyDescent="0.3">
      <c r="A2759" s="46">
        <v>2755</v>
      </c>
      <c r="B2759" s="47">
        <f t="shared" ca="1" si="43"/>
        <v>0.37343541335369002</v>
      </c>
      <c r="C2759" s="48">
        <f t="array" aca="1" ref="C2759" ca="1">MAX(0,ROUND(Inputs!$B$10*Inputs!$B$11+NORMSINV(B2759)*SQRT(Inputs!$B$10*Inputs!$B$11),0))</f>
        <v>493</v>
      </c>
      <c r="D2759" s="49">
        <f ca="1">C2759*Inputs!$B$12</f>
        <v>59160000</v>
      </c>
    </row>
    <row r="2760" spans="1:4" ht="13.5" customHeight="1" x14ac:dyDescent="0.3">
      <c r="A2760" s="50">
        <v>2756</v>
      </c>
      <c r="B2760" s="51">
        <f t="shared" ca="1" si="43"/>
        <v>0.56323535439269812</v>
      </c>
      <c r="C2760" s="48">
        <f t="array" aca="1" ref="C2760" ca="1">MAX(0,ROUND(Inputs!$B$10*Inputs!$B$11+NORMSINV(B2760)*SQRT(Inputs!$B$10*Inputs!$B$11),0))</f>
        <v>504</v>
      </c>
      <c r="D2760" s="52">
        <f ca="1">C2760*Inputs!$B$12</f>
        <v>60480000</v>
      </c>
    </row>
    <row r="2761" spans="1:4" ht="13.5" customHeight="1" x14ac:dyDescent="0.3">
      <c r="A2761" s="46">
        <v>2757</v>
      </c>
      <c r="B2761" s="47">
        <f t="shared" ca="1" si="43"/>
        <v>0.71057073885638988</v>
      </c>
      <c r="C2761" s="48">
        <f t="array" aca="1" ref="C2761" ca="1">MAX(0,ROUND(Inputs!$B$10*Inputs!$B$11+NORMSINV(B2761)*SQRT(Inputs!$B$10*Inputs!$B$11),0))</f>
        <v>512</v>
      </c>
      <c r="D2761" s="49">
        <f ca="1">C2761*Inputs!$B$12</f>
        <v>61440000</v>
      </c>
    </row>
    <row r="2762" spans="1:4" ht="13.5" customHeight="1" x14ac:dyDescent="0.3">
      <c r="A2762" s="50">
        <v>2758</v>
      </c>
      <c r="B2762" s="51">
        <f t="shared" ca="1" si="43"/>
        <v>0.90871563176013748</v>
      </c>
      <c r="C2762" s="48">
        <f t="array" aca="1" ref="C2762" ca="1">MAX(0,ROUND(Inputs!$B$10*Inputs!$B$11+NORMSINV(B2762)*SQRT(Inputs!$B$10*Inputs!$B$11),0))</f>
        <v>530</v>
      </c>
      <c r="D2762" s="52">
        <f ca="1">C2762*Inputs!$B$12</f>
        <v>63600000</v>
      </c>
    </row>
    <row r="2763" spans="1:4" ht="13.5" customHeight="1" x14ac:dyDescent="0.3">
      <c r="A2763" s="46">
        <v>2759</v>
      </c>
      <c r="B2763" s="47">
        <f t="shared" ca="1" si="43"/>
        <v>0.753250320204506</v>
      </c>
      <c r="C2763" s="48">
        <f t="array" aca="1" ref="C2763" ca="1">MAX(0,ROUND(Inputs!$B$10*Inputs!$B$11+NORMSINV(B2763)*SQRT(Inputs!$B$10*Inputs!$B$11),0))</f>
        <v>515</v>
      </c>
      <c r="D2763" s="49">
        <f ca="1">C2763*Inputs!$B$12</f>
        <v>61800000</v>
      </c>
    </row>
    <row r="2764" spans="1:4" ht="13.5" customHeight="1" x14ac:dyDescent="0.3">
      <c r="A2764" s="50">
        <v>2760</v>
      </c>
      <c r="B2764" s="51">
        <f t="shared" ca="1" si="43"/>
        <v>0.78960049921790476</v>
      </c>
      <c r="C2764" s="48">
        <f t="array" aca="1" ref="C2764" ca="1">MAX(0,ROUND(Inputs!$B$10*Inputs!$B$11+NORMSINV(B2764)*SQRT(Inputs!$B$10*Inputs!$B$11),0))</f>
        <v>518</v>
      </c>
      <c r="D2764" s="52">
        <f ca="1">C2764*Inputs!$B$12</f>
        <v>62160000</v>
      </c>
    </row>
    <row r="2765" spans="1:4" ht="13.5" customHeight="1" x14ac:dyDescent="0.3">
      <c r="A2765" s="46">
        <v>2761</v>
      </c>
      <c r="B2765" s="47">
        <f t="shared" ca="1" si="43"/>
        <v>0.16931203248013038</v>
      </c>
      <c r="C2765" s="48">
        <f t="array" aca="1" ref="C2765" ca="1">MAX(0,ROUND(Inputs!$B$10*Inputs!$B$11+NORMSINV(B2765)*SQRT(Inputs!$B$10*Inputs!$B$11),0))</f>
        <v>479</v>
      </c>
      <c r="D2765" s="49">
        <f ca="1">C2765*Inputs!$B$12</f>
        <v>57480000</v>
      </c>
    </row>
    <row r="2766" spans="1:4" ht="13.5" customHeight="1" x14ac:dyDescent="0.3">
      <c r="A2766" s="50">
        <v>2762</v>
      </c>
      <c r="B2766" s="51">
        <f t="shared" ca="1" si="43"/>
        <v>2.9341559574997622E-2</v>
      </c>
      <c r="C2766" s="48">
        <f t="array" aca="1" ref="C2766" ca="1">MAX(0,ROUND(Inputs!$B$10*Inputs!$B$11+NORMSINV(B2766)*SQRT(Inputs!$B$10*Inputs!$B$11),0))</f>
        <v>458</v>
      </c>
      <c r="D2766" s="52">
        <f ca="1">C2766*Inputs!$B$12</f>
        <v>54960000</v>
      </c>
    </row>
    <row r="2767" spans="1:4" ht="13.5" customHeight="1" x14ac:dyDescent="0.3">
      <c r="A2767" s="46">
        <v>2763</v>
      </c>
      <c r="B2767" s="47">
        <f t="shared" ca="1" si="43"/>
        <v>0.47769145591968309</v>
      </c>
      <c r="C2767" s="48">
        <f t="array" aca="1" ref="C2767" ca="1">MAX(0,ROUND(Inputs!$B$10*Inputs!$B$11+NORMSINV(B2767)*SQRT(Inputs!$B$10*Inputs!$B$11),0))</f>
        <v>499</v>
      </c>
      <c r="D2767" s="49">
        <f ca="1">C2767*Inputs!$B$12</f>
        <v>59880000</v>
      </c>
    </row>
    <row r="2768" spans="1:4" ht="13.5" customHeight="1" x14ac:dyDescent="0.3">
      <c r="A2768" s="50">
        <v>2764</v>
      </c>
      <c r="B2768" s="51">
        <f t="shared" ca="1" si="43"/>
        <v>3.1450728458962462E-2</v>
      </c>
      <c r="C2768" s="48">
        <f t="array" aca="1" ref="C2768" ca="1">MAX(0,ROUND(Inputs!$B$10*Inputs!$B$11+NORMSINV(B2768)*SQRT(Inputs!$B$10*Inputs!$B$11),0))</f>
        <v>458</v>
      </c>
      <c r="D2768" s="52">
        <f ca="1">C2768*Inputs!$B$12</f>
        <v>54960000</v>
      </c>
    </row>
    <row r="2769" spans="1:4" ht="13.5" customHeight="1" x14ac:dyDescent="0.3">
      <c r="A2769" s="46">
        <v>2765</v>
      </c>
      <c r="B2769" s="47">
        <f t="shared" ca="1" si="43"/>
        <v>0.47691349947809281</v>
      </c>
      <c r="C2769" s="48">
        <f t="array" aca="1" ref="C2769" ca="1">MAX(0,ROUND(Inputs!$B$10*Inputs!$B$11+NORMSINV(B2769)*SQRT(Inputs!$B$10*Inputs!$B$11),0))</f>
        <v>499</v>
      </c>
      <c r="D2769" s="49">
        <f ca="1">C2769*Inputs!$B$12</f>
        <v>59880000</v>
      </c>
    </row>
    <row r="2770" spans="1:4" ht="13.5" customHeight="1" x14ac:dyDescent="0.3">
      <c r="A2770" s="50">
        <v>2766</v>
      </c>
      <c r="B2770" s="51">
        <f t="shared" ca="1" si="43"/>
        <v>0.76640695262224312</v>
      </c>
      <c r="C2770" s="48">
        <f t="array" aca="1" ref="C2770" ca="1">MAX(0,ROUND(Inputs!$B$10*Inputs!$B$11+NORMSINV(B2770)*SQRT(Inputs!$B$10*Inputs!$B$11),0))</f>
        <v>516</v>
      </c>
      <c r="D2770" s="52">
        <f ca="1">C2770*Inputs!$B$12</f>
        <v>61920000</v>
      </c>
    </row>
    <row r="2771" spans="1:4" ht="13.5" customHeight="1" x14ac:dyDescent="0.3">
      <c r="A2771" s="46">
        <v>2767</v>
      </c>
      <c r="B2771" s="47">
        <f t="shared" ca="1" si="43"/>
        <v>0.85992397426169764</v>
      </c>
      <c r="C2771" s="48">
        <f t="array" aca="1" ref="C2771" ca="1">MAX(0,ROUND(Inputs!$B$10*Inputs!$B$11+NORMSINV(B2771)*SQRT(Inputs!$B$10*Inputs!$B$11),0))</f>
        <v>524</v>
      </c>
      <c r="D2771" s="49">
        <f ca="1">C2771*Inputs!$B$12</f>
        <v>62880000</v>
      </c>
    </row>
    <row r="2772" spans="1:4" ht="13.5" customHeight="1" x14ac:dyDescent="0.3">
      <c r="A2772" s="50">
        <v>2768</v>
      </c>
      <c r="B2772" s="51">
        <f t="shared" ca="1" si="43"/>
        <v>0.15406385817849344</v>
      </c>
      <c r="C2772" s="48">
        <f t="array" aca="1" ref="C2772" ca="1">MAX(0,ROUND(Inputs!$B$10*Inputs!$B$11+NORMSINV(B2772)*SQRT(Inputs!$B$10*Inputs!$B$11),0))</f>
        <v>477</v>
      </c>
      <c r="D2772" s="52">
        <f ca="1">C2772*Inputs!$B$12</f>
        <v>57240000</v>
      </c>
    </row>
    <row r="2773" spans="1:4" ht="13.5" customHeight="1" x14ac:dyDescent="0.3">
      <c r="A2773" s="46">
        <v>2769</v>
      </c>
      <c r="B2773" s="47">
        <f t="shared" ca="1" si="43"/>
        <v>9.9492406475495287E-2</v>
      </c>
      <c r="C2773" s="48">
        <f t="array" aca="1" ref="C2773" ca="1">MAX(0,ROUND(Inputs!$B$10*Inputs!$B$11+NORMSINV(B2773)*SQRT(Inputs!$B$10*Inputs!$B$11),0))</f>
        <v>471</v>
      </c>
      <c r="D2773" s="49">
        <f ca="1">C2773*Inputs!$B$12</f>
        <v>56520000</v>
      </c>
    </row>
    <row r="2774" spans="1:4" ht="13.5" customHeight="1" x14ac:dyDescent="0.3">
      <c r="A2774" s="50">
        <v>2770</v>
      </c>
      <c r="B2774" s="51">
        <f t="shared" ca="1" si="43"/>
        <v>0.95464044127282732</v>
      </c>
      <c r="C2774" s="48">
        <f t="array" aca="1" ref="C2774" ca="1">MAX(0,ROUND(Inputs!$B$10*Inputs!$B$11+NORMSINV(B2774)*SQRT(Inputs!$B$10*Inputs!$B$11),0))</f>
        <v>538</v>
      </c>
      <c r="D2774" s="52">
        <f ca="1">C2774*Inputs!$B$12</f>
        <v>64560000</v>
      </c>
    </row>
    <row r="2775" spans="1:4" ht="13.5" customHeight="1" x14ac:dyDescent="0.3">
      <c r="A2775" s="46">
        <v>2771</v>
      </c>
      <c r="B2775" s="47">
        <f t="shared" ca="1" si="43"/>
        <v>0.76354958833762698</v>
      </c>
      <c r="C2775" s="48">
        <f t="array" aca="1" ref="C2775" ca="1">MAX(0,ROUND(Inputs!$B$10*Inputs!$B$11+NORMSINV(B2775)*SQRT(Inputs!$B$10*Inputs!$B$11),0))</f>
        <v>516</v>
      </c>
      <c r="D2775" s="49">
        <f ca="1">C2775*Inputs!$B$12</f>
        <v>61920000</v>
      </c>
    </row>
    <row r="2776" spans="1:4" ht="13.5" customHeight="1" x14ac:dyDescent="0.3">
      <c r="A2776" s="50">
        <v>2772</v>
      </c>
      <c r="B2776" s="51">
        <f t="shared" ca="1" si="43"/>
        <v>0.64831479097272204</v>
      </c>
      <c r="C2776" s="48">
        <f t="array" aca="1" ref="C2776" ca="1">MAX(0,ROUND(Inputs!$B$10*Inputs!$B$11+NORMSINV(B2776)*SQRT(Inputs!$B$10*Inputs!$B$11),0))</f>
        <v>509</v>
      </c>
      <c r="D2776" s="52">
        <f ca="1">C2776*Inputs!$B$12</f>
        <v>61080000</v>
      </c>
    </row>
    <row r="2777" spans="1:4" ht="13.5" customHeight="1" x14ac:dyDescent="0.3">
      <c r="A2777" s="46">
        <v>2773</v>
      </c>
      <c r="B2777" s="47">
        <f t="shared" ca="1" si="43"/>
        <v>0.51116323481350823</v>
      </c>
      <c r="C2777" s="48">
        <f t="array" aca="1" ref="C2777" ca="1">MAX(0,ROUND(Inputs!$B$10*Inputs!$B$11+NORMSINV(B2777)*SQRT(Inputs!$B$10*Inputs!$B$11),0))</f>
        <v>501</v>
      </c>
      <c r="D2777" s="49">
        <f ca="1">C2777*Inputs!$B$12</f>
        <v>60120000</v>
      </c>
    </row>
    <row r="2778" spans="1:4" ht="13.5" customHeight="1" x14ac:dyDescent="0.3">
      <c r="A2778" s="50">
        <v>2774</v>
      </c>
      <c r="B2778" s="51">
        <f t="shared" ca="1" si="43"/>
        <v>0.6257926750564079</v>
      </c>
      <c r="C2778" s="48">
        <f t="array" aca="1" ref="C2778" ca="1">MAX(0,ROUND(Inputs!$B$10*Inputs!$B$11+NORMSINV(B2778)*SQRT(Inputs!$B$10*Inputs!$B$11),0))</f>
        <v>507</v>
      </c>
      <c r="D2778" s="52">
        <f ca="1">C2778*Inputs!$B$12</f>
        <v>60840000</v>
      </c>
    </row>
    <row r="2779" spans="1:4" ht="13.5" customHeight="1" x14ac:dyDescent="0.3">
      <c r="A2779" s="46">
        <v>2775</v>
      </c>
      <c r="B2779" s="47">
        <f t="shared" ca="1" si="43"/>
        <v>0.86069197305559264</v>
      </c>
      <c r="C2779" s="48">
        <f t="array" aca="1" ref="C2779" ca="1">MAX(0,ROUND(Inputs!$B$10*Inputs!$B$11+NORMSINV(B2779)*SQRT(Inputs!$B$10*Inputs!$B$11),0))</f>
        <v>524</v>
      </c>
      <c r="D2779" s="49">
        <f ca="1">C2779*Inputs!$B$12</f>
        <v>62880000</v>
      </c>
    </row>
    <row r="2780" spans="1:4" ht="13.5" customHeight="1" x14ac:dyDescent="0.3">
      <c r="A2780" s="50">
        <v>2776</v>
      </c>
      <c r="B2780" s="51">
        <f t="shared" ca="1" si="43"/>
        <v>0.89560834398454048</v>
      </c>
      <c r="C2780" s="48">
        <f t="array" aca="1" ref="C2780" ca="1">MAX(0,ROUND(Inputs!$B$10*Inputs!$B$11+NORMSINV(B2780)*SQRT(Inputs!$B$10*Inputs!$B$11),0))</f>
        <v>528</v>
      </c>
      <c r="D2780" s="52">
        <f ca="1">C2780*Inputs!$B$12</f>
        <v>63360000</v>
      </c>
    </row>
    <row r="2781" spans="1:4" ht="13.5" customHeight="1" x14ac:dyDescent="0.3">
      <c r="A2781" s="46">
        <v>2777</v>
      </c>
      <c r="B2781" s="47">
        <f t="shared" ca="1" si="43"/>
        <v>0.33735454815424459</v>
      </c>
      <c r="C2781" s="48">
        <f t="array" aca="1" ref="C2781" ca="1">MAX(0,ROUND(Inputs!$B$10*Inputs!$B$11+NORMSINV(B2781)*SQRT(Inputs!$B$10*Inputs!$B$11),0))</f>
        <v>491</v>
      </c>
      <c r="D2781" s="49">
        <f ca="1">C2781*Inputs!$B$12</f>
        <v>58920000</v>
      </c>
    </row>
    <row r="2782" spans="1:4" ht="13.5" customHeight="1" x14ac:dyDescent="0.3">
      <c r="A2782" s="50">
        <v>2778</v>
      </c>
      <c r="B2782" s="51">
        <f t="shared" ca="1" si="43"/>
        <v>0.42751814154136991</v>
      </c>
      <c r="C2782" s="48">
        <f t="array" aca="1" ref="C2782" ca="1">MAX(0,ROUND(Inputs!$B$10*Inputs!$B$11+NORMSINV(B2782)*SQRT(Inputs!$B$10*Inputs!$B$11),0))</f>
        <v>496</v>
      </c>
      <c r="D2782" s="52">
        <f ca="1">C2782*Inputs!$B$12</f>
        <v>59520000</v>
      </c>
    </row>
    <row r="2783" spans="1:4" ht="13.5" customHeight="1" x14ac:dyDescent="0.3">
      <c r="A2783" s="46">
        <v>2779</v>
      </c>
      <c r="B2783" s="47">
        <f t="shared" ca="1" si="43"/>
        <v>0.64260472160706894</v>
      </c>
      <c r="C2783" s="48">
        <f t="array" aca="1" ref="C2783" ca="1">MAX(0,ROUND(Inputs!$B$10*Inputs!$B$11+NORMSINV(B2783)*SQRT(Inputs!$B$10*Inputs!$B$11),0))</f>
        <v>508</v>
      </c>
      <c r="D2783" s="49">
        <f ca="1">C2783*Inputs!$B$12</f>
        <v>60960000</v>
      </c>
    </row>
    <row r="2784" spans="1:4" ht="13.5" customHeight="1" x14ac:dyDescent="0.3">
      <c r="A2784" s="50">
        <v>2780</v>
      </c>
      <c r="B2784" s="51">
        <f t="shared" ca="1" si="43"/>
        <v>0.78626045155348001</v>
      </c>
      <c r="C2784" s="48">
        <f t="array" aca="1" ref="C2784" ca="1">MAX(0,ROUND(Inputs!$B$10*Inputs!$B$11+NORMSINV(B2784)*SQRT(Inputs!$B$10*Inputs!$B$11),0))</f>
        <v>518</v>
      </c>
      <c r="D2784" s="52">
        <f ca="1">C2784*Inputs!$B$12</f>
        <v>62160000</v>
      </c>
    </row>
    <row r="2785" spans="1:4" ht="13.5" customHeight="1" x14ac:dyDescent="0.3">
      <c r="A2785" s="46">
        <v>2781</v>
      </c>
      <c r="B2785" s="47">
        <f t="shared" ca="1" si="43"/>
        <v>0.6452310319935094</v>
      </c>
      <c r="C2785" s="48">
        <f t="array" aca="1" ref="C2785" ca="1">MAX(0,ROUND(Inputs!$B$10*Inputs!$B$11+NORMSINV(B2785)*SQRT(Inputs!$B$10*Inputs!$B$11),0))</f>
        <v>508</v>
      </c>
      <c r="D2785" s="49">
        <f ca="1">C2785*Inputs!$B$12</f>
        <v>60960000</v>
      </c>
    </row>
    <row r="2786" spans="1:4" ht="13.5" customHeight="1" x14ac:dyDescent="0.3">
      <c r="A2786" s="50">
        <v>2782</v>
      </c>
      <c r="B2786" s="51">
        <f t="shared" ca="1" si="43"/>
        <v>0.57280022825436638</v>
      </c>
      <c r="C2786" s="48">
        <f t="array" aca="1" ref="C2786" ca="1">MAX(0,ROUND(Inputs!$B$10*Inputs!$B$11+NORMSINV(B2786)*SQRT(Inputs!$B$10*Inputs!$B$11),0))</f>
        <v>504</v>
      </c>
      <c r="D2786" s="52">
        <f ca="1">C2786*Inputs!$B$12</f>
        <v>60480000</v>
      </c>
    </row>
    <row r="2787" spans="1:4" ht="13.5" customHeight="1" x14ac:dyDescent="0.3">
      <c r="A2787" s="46">
        <v>2783</v>
      </c>
      <c r="B2787" s="47">
        <f t="shared" ca="1" si="43"/>
        <v>0.13783276259155841</v>
      </c>
      <c r="C2787" s="48">
        <f t="array" aca="1" ref="C2787" ca="1">MAX(0,ROUND(Inputs!$B$10*Inputs!$B$11+NORMSINV(B2787)*SQRT(Inputs!$B$10*Inputs!$B$11),0))</f>
        <v>476</v>
      </c>
      <c r="D2787" s="49">
        <f ca="1">C2787*Inputs!$B$12</f>
        <v>57120000</v>
      </c>
    </row>
    <row r="2788" spans="1:4" ht="13.5" customHeight="1" x14ac:dyDescent="0.3">
      <c r="A2788" s="50">
        <v>2784</v>
      </c>
      <c r="B2788" s="51">
        <f t="shared" ca="1" si="43"/>
        <v>0.74496771188289646</v>
      </c>
      <c r="C2788" s="48">
        <f t="array" aca="1" ref="C2788" ca="1">MAX(0,ROUND(Inputs!$B$10*Inputs!$B$11+NORMSINV(B2788)*SQRT(Inputs!$B$10*Inputs!$B$11),0))</f>
        <v>515</v>
      </c>
      <c r="D2788" s="52">
        <f ca="1">C2788*Inputs!$B$12</f>
        <v>61800000</v>
      </c>
    </row>
    <row r="2789" spans="1:4" ht="13.5" customHeight="1" x14ac:dyDescent="0.3">
      <c r="A2789" s="46">
        <v>2785</v>
      </c>
      <c r="B2789" s="47">
        <f t="shared" ca="1" si="43"/>
        <v>2.3216576914075748E-2</v>
      </c>
      <c r="C2789" s="48">
        <f t="array" aca="1" ref="C2789" ca="1">MAX(0,ROUND(Inputs!$B$10*Inputs!$B$11+NORMSINV(B2789)*SQRT(Inputs!$B$10*Inputs!$B$11),0))</f>
        <v>455</v>
      </c>
      <c r="D2789" s="49">
        <f ca="1">C2789*Inputs!$B$12</f>
        <v>54600000</v>
      </c>
    </row>
    <row r="2790" spans="1:4" ht="13.5" customHeight="1" x14ac:dyDescent="0.3">
      <c r="A2790" s="50">
        <v>2786</v>
      </c>
      <c r="B2790" s="51">
        <f t="shared" ca="1" si="43"/>
        <v>0.92171386515871156</v>
      </c>
      <c r="C2790" s="48">
        <f t="array" aca="1" ref="C2790" ca="1">MAX(0,ROUND(Inputs!$B$10*Inputs!$B$11+NORMSINV(B2790)*SQRT(Inputs!$B$10*Inputs!$B$11),0))</f>
        <v>532</v>
      </c>
      <c r="D2790" s="52">
        <f ca="1">C2790*Inputs!$B$12</f>
        <v>63840000</v>
      </c>
    </row>
    <row r="2791" spans="1:4" ht="13.5" customHeight="1" x14ac:dyDescent="0.3">
      <c r="A2791" s="46">
        <v>2787</v>
      </c>
      <c r="B2791" s="47">
        <f t="shared" ca="1" si="43"/>
        <v>0.28508633217838275</v>
      </c>
      <c r="C2791" s="48">
        <f t="array" aca="1" ref="C2791" ca="1">MAX(0,ROUND(Inputs!$B$10*Inputs!$B$11+NORMSINV(B2791)*SQRT(Inputs!$B$10*Inputs!$B$11),0))</f>
        <v>487</v>
      </c>
      <c r="D2791" s="49">
        <f ca="1">C2791*Inputs!$B$12</f>
        <v>58440000</v>
      </c>
    </row>
    <row r="2792" spans="1:4" ht="13.5" customHeight="1" x14ac:dyDescent="0.3">
      <c r="A2792" s="50">
        <v>2788</v>
      </c>
      <c r="B2792" s="51">
        <f t="shared" ca="1" si="43"/>
        <v>0.62879867703006764</v>
      </c>
      <c r="C2792" s="48">
        <f t="array" aca="1" ref="C2792" ca="1">MAX(0,ROUND(Inputs!$B$10*Inputs!$B$11+NORMSINV(B2792)*SQRT(Inputs!$B$10*Inputs!$B$11),0))</f>
        <v>507</v>
      </c>
      <c r="D2792" s="52">
        <f ca="1">C2792*Inputs!$B$12</f>
        <v>60840000</v>
      </c>
    </row>
    <row r="2793" spans="1:4" ht="13.5" customHeight="1" x14ac:dyDescent="0.3">
      <c r="A2793" s="46">
        <v>2789</v>
      </c>
      <c r="B2793" s="47">
        <f t="shared" ca="1" si="43"/>
        <v>0.21903491906290695</v>
      </c>
      <c r="C2793" s="48">
        <f t="array" aca="1" ref="C2793" ca="1">MAX(0,ROUND(Inputs!$B$10*Inputs!$B$11+NORMSINV(B2793)*SQRT(Inputs!$B$10*Inputs!$B$11),0))</f>
        <v>483</v>
      </c>
      <c r="D2793" s="49">
        <f ca="1">C2793*Inputs!$B$12</f>
        <v>57960000</v>
      </c>
    </row>
    <row r="2794" spans="1:4" ht="13.5" customHeight="1" x14ac:dyDescent="0.3">
      <c r="A2794" s="50">
        <v>2790</v>
      </c>
      <c r="B2794" s="51">
        <f t="shared" ca="1" si="43"/>
        <v>0.65530549545812133</v>
      </c>
      <c r="C2794" s="48">
        <f t="array" aca="1" ref="C2794" ca="1">MAX(0,ROUND(Inputs!$B$10*Inputs!$B$11+NORMSINV(B2794)*SQRT(Inputs!$B$10*Inputs!$B$11),0))</f>
        <v>509</v>
      </c>
      <c r="D2794" s="52">
        <f ca="1">C2794*Inputs!$B$12</f>
        <v>61080000</v>
      </c>
    </row>
    <row r="2795" spans="1:4" ht="13.5" customHeight="1" x14ac:dyDescent="0.3">
      <c r="A2795" s="46">
        <v>2791</v>
      </c>
      <c r="B2795" s="47">
        <f t="shared" ca="1" si="43"/>
        <v>0.35618050684190172</v>
      </c>
      <c r="C2795" s="48">
        <f t="array" aca="1" ref="C2795" ca="1">MAX(0,ROUND(Inputs!$B$10*Inputs!$B$11+NORMSINV(B2795)*SQRT(Inputs!$B$10*Inputs!$B$11),0))</f>
        <v>492</v>
      </c>
      <c r="D2795" s="49">
        <f ca="1">C2795*Inputs!$B$12</f>
        <v>59040000</v>
      </c>
    </row>
    <row r="2796" spans="1:4" ht="13.5" customHeight="1" x14ac:dyDescent="0.3">
      <c r="A2796" s="50">
        <v>2792</v>
      </c>
      <c r="B2796" s="51">
        <f t="shared" ca="1" si="43"/>
        <v>0.58913974816086978</v>
      </c>
      <c r="C2796" s="48">
        <f t="array" aca="1" ref="C2796" ca="1">MAX(0,ROUND(Inputs!$B$10*Inputs!$B$11+NORMSINV(B2796)*SQRT(Inputs!$B$10*Inputs!$B$11),0))</f>
        <v>505</v>
      </c>
      <c r="D2796" s="52">
        <f ca="1">C2796*Inputs!$B$12</f>
        <v>60600000</v>
      </c>
    </row>
    <row r="2797" spans="1:4" ht="13.5" customHeight="1" x14ac:dyDescent="0.3">
      <c r="A2797" s="46">
        <v>2793</v>
      </c>
      <c r="B2797" s="47">
        <f t="shared" ca="1" si="43"/>
        <v>0.34898503049420426</v>
      </c>
      <c r="C2797" s="48">
        <f t="array" aca="1" ref="C2797" ca="1">MAX(0,ROUND(Inputs!$B$10*Inputs!$B$11+NORMSINV(B2797)*SQRT(Inputs!$B$10*Inputs!$B$11),0))</f>
        <v>491</v>
      </c>
      <c r="D2797" s="49">
        <f ca="1">C2797*Inputs!$B$12</f>
        <v>58920000</v>
      </c>
    </row>
    <row r="2798" spans="1:4" ht="13.5" customHeight="1" x14ac:dyDescent="0.3">
      <c r="A2798" s="50">
        <v>2794</v>
      </c>
      <c r="B2798" s="51">
        <f t="shared" ca="1" si="43"/>
        <v>8.2041881494341662E-2</v>
      </c>
      <c r="C2798" s="48">
        <f t="array" aca="1" ref="C2798" ca="1">MAX(0,ROUND(Inputs!$B$10*Inputs!$B$11+NORMSINV(B2798)*SQRT(Inputs!$B$10*Inputs!$B$11),0))</f>
        <v>469</v>
      </c>
      <c r="D2798" s="52">
        <f ca="1">C2798*Inputs!$B$12</f>
        <v>56280000</v>
      </c>
    </row>
    <row r="2799" spans="1:4" ht="13.5" customHeight="1" x14ac:dyDescent="0.3">
      <c r="A2799" s="46">
        <v>2795</v>
      </c>
      <c r="B2799" s="47">
        <f t="shared" ca="1" si="43"/>
        <v>0.22226980275671082</v>
      </c>
      <c r="C2799" s="48">
        <f t="array" aca="1" ref="C2799" ca="1">MAX(0,ROUND(Inputs!$B$10*Inputs!$B$11+NORMSINV(B2799)*SQRT(Inputs!$B$10*Inputs!$B$11),0))</f>
        <v>483</v>
      </c>
      <c r="D2799" s="49">
        <f ca="1">C2799*Inputs!$B$12</f>
        <v>57960000</v>
      </c>
    </row>
    <row r="2800" spans="1:4" ht="13.5" customHeight="1" x14ac:dyDescent="0.3">
      <c r="A2800" s="50">
        <v>2796</v>
      </c>
      <c r="B2800" s="51">
        <f t="shared" ca="1" si="43"/>
        <v>0.828842548715501</v>
      </c>
      <c r="C2800" s="48">
        <f t="array" aca="1" ref="C2800" ca="1">MAX(0,ROUND(Inputs!$B$10*Inputs!$B$11+NORMSINV(B2800)*SQRT(Inputs!$B$10*Inputs!$B$11),0))</f>
        <v>521</v>
      </c>
      <c r="D2800" s="52">
        <f ca="1">C2800*Inputs!$B$12</f>
        <v>62520000</v>
      </c>
    </row>
    <row r="2801" spans="1:4" ht="13.5" customHeight="1" x14ac:dyDescent="0.3">
      <c r="A2801" s="46">
        <v>2797</v>
      </c>
      <c r="B2801" s="47">
        <f t="shared" ca="1" si="43"/>
        <v>0.95030416977912746</v>
      </c>
      <c r="C2801" s="48">
        <f t="array" aca="1" ref="C2801" ca="1">MAX(0,ROUND(Inputs!$B$10*Inputs!$B$11+NORMSINV(B2801)*SQRT(Inputs!$B$10*Inputs!$B$11),0))</f>
        <v>537</v>
      </c>
      <c r="D2801" s="49">
        <f ca="1">C2801*Inputs!$B$12</f>
        <v>64440000</v>
      </c>
    </row>
    <row r="2802" spans="1:4" ht="13.5" customHeight="1" x14ac:dyDescent="0.3">
      <c r="A2802" s="50">
        <v>2798</v>
      </c>
      <c r="B2802" s="51">
        <f t="shared" ca="1" si="43"/>
        <v>0.5414127499475373</v>
      </c>
      <c r="C2802" s="48">
        <f t="array" aca="1" ref="C2802" ca="1">MAX(0,ROUND(Inputs!$B$10*Inputs!$B$11+NORMSINV(B2802)*SQRT(Inputs!$B$10*Inputs!$B$11),0))</f>
        <v>502</v>
      </c>
      <c r="D2802" s="52">
        <f ca="1">C2802*Inputs!$B$12</f>
        <v>60240000</v>
      </c>
    </row>
    <row r="2803" spans="1:4" ht="13.5" customHeight="1" x14ac:dyDescent="0.3">
      <c r="A2803" s="46">
        <v>2799</v>
      </c>
      <c r="B2803" s="47">
        <f t="shared" ca="1" si="43"/>
        <v>0.59583985828378594</v>
      </c>
      <c r="C2803" s="48">
        <f t="array" aca="1" ref="C2803" ca="1">MAX(0,ROUND(Inputs!$B$10*Inputs!$B$11+NORMSINV(B2803)*SQRT(Inputs!$B$10*Inputs!$B$11),0))</f>
        <v>505</v>
      </c>
      <c r="D2803" s="49">
        <f ca="1">C2803*Inputs!$B$12</f>
        <v>60600000</v>
      </c>
    </row>
    <row r="2804" spans="1:4" ht="13.5" customHeight="1" x14ac:dyDescent="0.3">
      <c r="A2804" s="50">
        <v>2800</v>
      </c>
      <c r="B2804" s="51">
        <f t="shared" ca="1" si="43"/>
        <v>0.61836045208355905</v>
      </c>
      <c r="C2804" s="48">
        <f t="array" aca="1" ref="C2804" ca="1">MAX(0,ROUND(Inputs!$B$10*Inputs!$B$11+NORMSINV(B2804)*SQRT(Inputs!$B$10*Inputs!$B$11),0))</f>
        <v>507</v>
      </c>
      <c r="D2804" s="52">
        <f ca="1">C2804*Inputs!$B$12</f>
        <v>60840000</v>
      </c>
    </row>
    <row r="2805" spans="1:4" ht="13.5" customHeight="1" x14ac:dyDescent="0.3">
      <c r="A2805" s="46">
        <v>2801</v>
      </c>
      <c r="B2805" s="47">
        <f t="shared" ca="1" si="43"/>
        <v>0.49896246120951826</v>
      </c>
      <c r="C2805" s="48">
        <f t="array" aca="1" ref="C2805" ca="1">MAX(0,ROUND(Inputs!$B$10*Inputs!$B$11+NORMSINV(B2805)*SQRT(Inputs!$B$10*Inputs!$B$11),0))</f>
        <v>500</v>
      </c>
      <c r="D2805" s="49">
        <f ca="1">C2805*Inputs!$B$12</f>
        <v>60000000</v>
      </c>
    </row>
    <row r="2806" spans="1:4" ht="13.5" customHeight="1" x14ac:dyDescent="0.3">
      <c r="A2806" s="50">
        <v>2802</v>
      </c>
      <c r="B2806" s="51">
        <f t="shared" ca="1" si="43"/>
        <v>0.97595880251681888</v>
      </c>
      <c r="C2806" s="48">
        <f t="array" aca="1" ref="C2806" ca="1">MAX(0,ROUND(Inputs!$B$10*Inputs!$B$11+NORMSINV(B2806)*SQRT(Inputs!$B$10*Inputs!$B$11),0))</f>
        <v>544</v>
      </c>
      <c r="D2806" s="52">
        <f ca="1">C2806*Inputs!$B$12</f>
        <v>65280000</v>
      </c>
    </row>
    <row r="2807" spans="1:4" ht="13.5" customHeight="1" x14ac:dyDescent="0.3">
      <c r="A2807" s="46">
        <v>2803</v>
      </c>
      <c r="B2807" s="47">
        <f t="shared" ca="1" si="43"/>
        <v>0.25526306490623951</v>
      </c>
      <c r="C2807" s="48">
        <f t="array" aca="1" ref="C2807" ca="1">MAX(0,ROUND(Inputs!$B$10*Inputs!$B$11+NORMSINV(B2807)*SQRT(Inputs!$B$10*Inputs!$B$11),0))</f>
        <v>485</v>
      </c>
      <c r="D2807" s="49">
        <f ca="1">C2807*Inputs!$B$12</f>
        <v>58200000</v>
      </c>
    </row>
    <row r="2808" spans="1:4" ht="13.5" customHeight="1" x14ac:dyDescent="0.3">
      <c r="A2808" s="50">
        <v>2804</v>
      </c>
      <c r="B2808" s="51">
        <f t="shared" ca="1" si="43"/>
        <v>0.24456255790207448</v>
      </c>
      <c r="C2808" s="48">
        <f t="array" aca="1" ref="C2808" ca="1">MAX(0,ROUND(Inputs!$B$10*Inputs!$B$11+NORMSINV(B2808)*SQRT(Inputs!$B$10*Inputs!$B$11),0))</f>
        <v>485</v>
      </c>
      <c r="D2808" s="52">
        <f ca="1">C2808*Inputs!$B$12</f>
        <v>58200000</v>
      </c>
    </row>
    <row r="2809" spans="1:4" ht="13.5" customHeight="1" x14ac:dyDescent="0.3">
      <c r="A2809" s="46">
        <v>2805</v>
      </c>
      <c r="B2809" s="47">
        <f t="shared" ca="1" si="43"/>
        <v>4.5772524311362472E-2</v>
      </c>
      <c r="C2809" s="48">
        <f t="array" aca="1" ref="C2809" ca="1">MAX(0,ROUND(Inputs!$B$10*Inputs!$B$11+NORMSINV(B2809)*SQRT(Inputs!$B$10*Inputs!$B$11),0))</f>
        <v>462</v>
      </c>
      <c r="D2809" s="49">
        <f ca="1">C2809*Inputs!$B$12</f>
        <v>55440000</v>
      </c>
    </row>
    <row r="2810" spans="1:4" ht="13.5" customHeight="1" x14ac:dyDescent="0.3">
      <c r="A2810" s="50">
        <v>2806</v>
      </c>
      <c r="B2810" s="51">
        <f t="shared" ca="1" si="43"/>
        <v>0.16259936517273177</v>
      </c>
      <c r="C2810" s="48">
        <f t="array" aca="1" ref="C2810" ca="1">MAX(0,ROUND(Inputs!$B$10*Inputs!$B$11+NORMSINV(B2810)*SQRT(Inputs!$B$10*Inputs!$B$11),0))</f>
        <v>478</v>
      </c>
      <c r="D2810" s="52">
        <f ca="1">C2810*Inputs!$B$12</f>
        <v>57360000</v>
      </c>
    </row>
    <row r="2811" spans="1:4" ht="13.5" customHeight="1" x14ac:dyDescent="0.3">
      <c r="A2811" s="46">
        <v>2807</v>
      </c>
      <c r="B2811" s="47">
        <f t="shared" ca="1" si="43"/>
        <v>0.86302642943700025</v>
      </c>
      <c r="C2811" s="48">
        <f t="array" aca="1" ref="C2811" ca="1">MAX(0,ROUND(Inputs!$B$10*Inputs!$B$11+NORMSINV(B2811)*SQRT(Inputs!$B$10*Inputs!$B$11),0))</f>
        <v>524</v>
      </c>
      <c r="D2811" s="49">
        <f ca="1">C2811*Inputs!$B$12</f>
        <v>62880000</v>
      </c>
    </row>
    <row r="2812" spans="1:4" ht="13.5" customHeight="1" x14ac:dyDescent="0.3">
      <c r="A2812" s="50">
        <v>2808</v>
      </c>
      <c r="B2812" s="51">
        <f t="shared" ca="1" si="43"/>
        <v>0.41578757038068537</v>
      </c>
      <c r="C2812" s="48">
        <f t="array" aca="1" ref="C2812" ca="1">MAX(0,ROUND(Inputs!$B$10*Inputs!$B$11+NORMSINV(B2812)*SQRT(Inputs!$B$10*Inputs!$B$11),0))</f>
        <v>495</v>
      </c>
      <c r="D2812" s="52">
        <f ca="1">C2812*Inputs!$B$12</f>
        <v>59400000</v>
      </c>
    </row>
    <row r="2813" spans="1:4" ht="13.5" customHeight="1" x14ac:dyDescent="0.3">
      <c r="A2813" s="46">
        <v>2809</v>
      </c>
      <c r="B2813" s="47">
        <f t="shared" ca="1" si="43"/>
        <v>0.67240761309426444</v>
      </c>
      <c r="C2813" s="48">
        <f t="array" aca="1" ref="C2813" ca="1">MAX(0,ROUND(Inputs!$B$10*Inputs!$B$11+NORMSINV(B2813)*SQRT(Inputs!$B$10*Inputs!$B$11),0))</f>
        <v>510</v>
      </c>
      <c r="D2813" s="49">
        <f ca="1">C2813*Inputs!$B$12</f>
        <v>61200000</v>
      </c>
    </row>
    <row r="2814" spans="1:4" ht="13.5" customHeight="1" x14ac:dyDescent="0.3">
      <c r="A2814" s="50">
        <v>2810</v>
      </c>
      <c r="B2814" s="51">
        <f t="shared" ca="1" si="43"/>
        <v>0.62955034851335678</v>
      </c>
      <c r="C2814" s="48">
        <f t="array" aca="1" ref="C2814" ca="1">MAX(0,ROUND(Inputs!$B$10*Inputs!$B$11+NORMSINV(B2814)*SQRT(Inputs!$B$10*Inputs!$B$11),0))</f>
        <v>507</v>
      </c>
      <c r="D2814" s="52">
        <f ca="1">C2814*Inputs!$B$12</f>
        <v>60840000</v>
      </c>
    </row>
    <row r="2815" spans="1:4" ht="13.5" customHeight="1" x14ac:dyDescent="0.3">
      <c r="A2815" s="46">
        <v>2811</v>
      </c>
      <c r="B2815" s="47">
        <f t="shared" ca="1" si="43"/>
        <v>0.38870809632973669</v>
      </c>
      <c r="C2815" s="48">
        <f t="array" aca="1" ref="C2815" ca="1">MAX(0,ROUND(Inputs!$B$10*Inputs!$B$11+NORMSINV(B2815)*SQRT(Inputs!$B$10*Inputs!$B$11),0))</f>
        <v>494</v>
      </c>
      <c r="D2815" s="49">
        <f ca="1">C2815*Inputs!$B$12</f>
        <v>59280000</v>
      </c>
    </row>
    <row r="2816" spans="1:4" ht="13.5" customHeight="1" x14ac:dyDescent="0.3">
      <c r="A2816" s="50">
        <v>2812</v>
      </c>
      <c r="B2816" s="51">
        <f t="shared" ca="1" si="43"/>
        <v>0.4073532707839862</v>
      </c>
      <c r="C2816" s="48">
        <f t="array" aca="1" ref="C2816" ca="1">MAX(0,ROUND(Inputs!$B$10*Inputs!$B$11+NORMSINV(B2816)*SQRT(Inputs!$B$10*Inputs!$B$11),0))</f>
        <v>495</v>
      </c>
      <c r="D2816" s="52">
        <f ca="1">C2816*Inputs!$B$12</f>
        <v>59400000</v>
      </c>
    </row>
    <row r="2817" spans="1:4" ht="13.5" customHeight="1" x14ac:dyDescent="0.3">
      <c r="A2817" s="46">
        <v>2813</v>
      </c>
      <c r="B2817" s="47">
        <f t="shared" ca="1" si="43"/>
        <v>0.29035672564535753</v>
      </c>
      <c r="C2817" s="48">
        <f t="array" aca="1" ref="C2817" ca="1">MAX(0,ROUND(Inputs!$B$10*Inputs!$B$11+NORMSINV(B2817)*SQRT(Inputs!$B$10*Inputs!$B$11),0))</f>
        <v>488</v>
      </c>
      <c r="D2817" s="49">
        <f ca="1">C2817*Inputs!$B$12</f>
        <v>58560000</v>
      </c>
    </row>
    <row r="2818" spans="1:4" ht="13.5" customHeight="1" x14ac:dyDescent="0.3">
      <c r="A2818" s="50">
        <v>2814</v>
      </c>
      <c r="B2818" s="51">
        <f t="shared" ca="1" si="43"/>
        <v>0.95541673656207748</v>
      </c>
      <c r="C2818" s="48">
        <f t="array" aca="1" ref="C2818" ca="1">MAX(0,ROUND(Inputs!$B$10*Inputs!$B$11+NORMSINV(B2818)*SQRT(Inputs!$B$10*Inputs!$B$11),0))</f>
        <v>538</v>
      </c>
      <c r="D2818" s="52">
        <f ca="1">C2818*Inputs!$B$12</f>
        <v>64560000</v>
      </c>
    </row>
    <row r="2819" spans="1:4" ht="13.5" customHeight="1" x14ac:dyDescent="0.3">
      <c r="A2819" s="46">
        <v>2815</v>
      </c>
      <c r="B2819" s="47">
        <f t="shared" ca="1" si="43"/>
        <v>0.17719305867675561</v>
      </c>
      <c r="C2819" s="48">
        <f t="array" aca="1" ref="C2819" ca="1">MAX(0,ROUND(Inputs!$B$10*Inputs!$B$11+NORMSINV(B2819)*SQRT(Inputs!$B$10*Inputs!$B$11),0))</f>
        <v>479</v>
      </c>
      <c r="D2819" s="49">
        <f ca="1">C2819*Inputs!$B$12</f>
        <v>57480000</v>
      </c>
    </row>
    <row r="2820" spans="1:4" ht="13.5" customHeight="1" x14ac:dyDescent="0.3">
      <c r="A2820" s="50">
        <v>2816</v>
      </c>
      <c r="B2820" s="51">
        <f t="shared" ca="1" si="43"/>
        <v>0.9435908480126397</v>
      </c>
      <c r="C2820" s="48">
        <f t="array" aca="1" ref="C2820" ca="1">MAX(0,ROUND(Inputs!$B$10*Inputs!$B$11+NORMSINV(B2820)*SQRT(Inputs!$B$10*Inputs!$B$11),0))</f>
        <v>535</v>
      </c>
      <c r="D2820" s="52">
        <f ca="1">C2820*Inputs!$B$12</f>
        <v>64200000</v>
      </c>
    </row>
    <row r="2821" spans="1:4" ht="13.5" customHeight="1" x14ac:dyDescent="0.3">
      <c r="A2821" s="46">
        <v>2817</v>
      </c>
      <c r="B2821" s="47">
        <f t="shared" ref="B2821:B2884" ca="1" si="44">RAND()</f>
        <v>7.6717433129044332E-2</v>
      </c>
      <c r="C2821" s="48">
        <f t="array" aca="1" ref="C2821" ca="1">MAX(0,ROUND(Inputs!$B$10*Inputs!$B$11+NORMSINV(B2821)*SQRT(Inputs!$B$10*Inputs!$B$11),0))</f>
        <v>468</v>
      </c>
      <c r="D2821" s="49">
        <f ca="1">C2821*Inputs!$B$12</f>
        <v>56160000</v>
      </c>
    </row>
    <row r="2822" spans="1:4" ht="13.5" customHeight="1" x14ac:dyDescent="0.3">
      <c r="A2822" s="50">
        <v>2818</v>
      </c>
      <c r="B2822" s="51">
        <f t="shared" ca="1" si="44"/>
        <v>0.19164588162449248</v>
      </c>
      <c r="C2822" s="48">
        <f t="array" aca="1" ref="C2822" ca="1">MAX(0,ROUND(Inputs!$B$10*Inputs!$B$11+NORMSINV(B2822)*SQRT(Inputs!$B$10*Inputs!$B$11),0))</f>
        <v>481</v>
      </c>
      <c r="D2822" s="52">
        <f ca="1">C2822*Inputs!$B$12</f>
        <v>57720000</v>
      </c>
    </row>
    <row r="2823" spans="1:4" ht="13.5" customHeight="1" x14ac:dyDescent="0.3">
      <c r="A2823" s="46">
        <v>2819</v>
      </c>
      <c r="B2823" s="47">
        <f t="shared" ca="1" si="44"/>
        <v>0.68252603435284809</v>
      </c>
      <c r="C2823" s="48">
        <f t="array" aca="1" ref="C2823" ca="1">MAX(0,ROUND(Inputs!$B$10*Inputs!$B$11+NORMSINV(B2823)*SQRT(Inputs!$B$10*Inputs!$B$11),0))</f>
        <v>511</v>
      </c>
      <c r="D2823" s="49">
        <f ca="1">C2823*Inputs!$B$12</f>
        <v>61320000</v>
      </c>
    </row>
    <row r="2824" spans="1:4" ht="13.5" customHeight="1" x14ac:dyDescent="0.3">
      <c r="A2824" s="50">
        <v>2820</v>
      </c>
      <c r="B2824" s="51">
        <f t="shared" ca="1" si="44"/>
        <v>0.96232635969713043</v>
      </c>
      <c r="C2824" s="48">
        <f t="array" aca="1" ref="C2824" ca="1">MAX(0,ROUND(Inputs!$B$10*Inputs!$B$11+NORMSINV(B2824)*SQRT(Inputs!$B$10*Inputs!$B$11),0))</f>
        <v>540</v>
      </c>
      <c r="D2824" s="52">
        <f ca="1">C2824*Inputs!$B$12</f>
        <v>64800000</v>
      </c>
    </row>
    <row r="2825" spans="1:4" ht="13.5" customHeight="1" x14ac:dyDescent="0.3">
      <c r="A2825" s="46">
        <v>2821</v>
      </c>
      <c r="B2825" s="47">
        <f t="shared" ca="1" si="44"/>
        <v>0.52782503315894991</v>
      </c>
      <c r="C2825" s="48">
        <f t="array" aca="1" ref="C2825" ca="1">MAX(0,ROUND(Inputs!$B$10*Inputs!$B$11+NORMSINV(B2825)*SQRT(Inputs!$B$10*Inputs!$B$11),0))</f>
        <v>502</v>
      </c>
      <c r="D2825" s="49">
        <f ca="1">C2825*Inputs!$B$12</f>
        <v>60240000</v>
      </c>
    </row>
    <row r="2826" spans="1:4" ht="13.5" customHeight="1" x14ac:dyDescent="0.3">
      <c r="A2826" s="50">
        <v>2822</v>
      </c>
      <c r="B2826" s="51">
        <f t="shared" ca="1" si="44"/>
        <v>0.47747701301070378</v>
      </c>
      <c r="C2826" s="48">
        <f t="array" aca="1" ref="C2826" ca="1">MAX(0,ROUND(Inputs!$B$10*Inputs!$B$11+NORMSINV(B2826)*SQRT(Inputs!$B$10*Inputs!$B$11),0))</f>
        <v>499</v>
      </c>
      <c r="D2826" s="52">
        <f ca="1">C2826*Inputs!$B$12</f>
        <v>59880000</v>
      </c>
    </row>
    <row r="2827" spans="1:4" ht="13.5" customHeight="1" x14ac:dyDescent="0.3">
      <c r="A2827" s="46">
        <v>2823</v>
      </c>
      <c r="B2827" s="47">
        <f t="shared" ca="1" si="44"/>
        <v>0.14749924942622572</v>
      </c>
      <c r="C2827" s="48">
        <f t="array" aca="1" ref="C2827" ca="1">MAX(0,ROUND(Inputs!$B$10*Inputs!$B$11+NORMSINV(B2827)*SQRT(Inputs!$B$10*Inputs!$B$11),0))</f>
        <v>477</v>
      </c>
      <c r="D2827" s="49">
        <f ca="1">C2827*Inputs!$B$12</f>
        <v>57240000</v>
      </c>
    </row>
    <row r="2828" spans="1:4" ht="13.5" customHeight="1" x14ac:dyDescent="0.3">
      <c r="A2828" s="50">
        <v>2824</v>
      </c>
      <c r="B2828" s="51">
        <f t="shared" ca="1" si="44"/>
        <v>0.14311883570566464</v>
      </c>
      <c r="C2828" s="48">
        <f t="array" aca="1" ref="C2828" ca="1">MAX(0,ROUND(Inputs!$B$10*Inputs!$B$11+NORMSINV(B2828)*SQRT(Inputs!$B$10*Inputs!$B$11),0))</f>
        <v>476</v>
      </c>
      <c r="D2828" s="52">
        <f ca="1">C2828*Inputs!$B$12</f>
        <v>57120000</v>
      </c>
    </row>
    <row r="2829" spans="1:4" ht="13.5" customHeight="1" x14ac:dyDescent="0.3">
      <c r="A2829" s="46">
        <v>2825</v>
      </c>
      <c r="B2829" s="47">
        <f t="shared" ca="1" si="44"/>
        <v>1.1556046723028346E-2</v>
      </c>
      <c r="C2829" s="48">
        <f t="array" aca="1" ref="C2829" ca="1">MAX(0,ROUND(Inputs!$B$10*Inputs!$B$11+NORMSINV(B2829)*SQRT(Inputs!$B$10*Inputs!$B$11),0))</f>
        <v>449</v>
      </c>
      <c r="D2829" s="49">
        <f ca="1">C2829*Inputs!$B$12</f>
        <v>53880000</v>
      </c>
    </row>
    <row r="2830" spans="1:4" ht="13.5" customHeight="1" x14ac:dyDescent="0.3">
      <c r="A2830" s="50">
        <v>2826</v>
      </c>
      <c r="B2830" s="51">
        <f t="shared" ca="1" si="44"/>
        <v>0.35013597242252958</v>
      </c>
      <c r="C2830" s="48">
        <f t="array" aca="1" ref="C2830" ca="1">MAX(0,ROUND(Inputs!$B$10*Inputs!$B$11+NORMSINV(B2830)*SQRT(Inputs!$B$10*Inputs!$B$11),0))</f>
        <v>491</v>
      </c>
      <c r="D2830" s="52">
        <f ca="1">C2830*Inputs!$B$12</f>
        <v>58920000</v>
      </c>
    </row>
    <row r="2831" spans="1:4" ht="13.5" customHeight="1" x14ac:dyDescent="0.3">
      <c r="A2831" s="46">
        <v>2827</v>
      </c>
      <c r="B2831" s="47">
        <f t="shared" ca="1" si="44"/>
        <v>0.42554482002496852</v>
      </c>
      <c r="C2831" s="48">
        <f t="array" aca="1" ref="C2831" ca="1">MAX(0,ROUND(Inputs!$B$10*Inputs!$B$11+NORMSINV(B2831)*SQRT(Inputs!$B$10*Inputs!$B$11),0))</f>
        <v>496</v>
      </c>
      <c r="D2831" s="49">
        <f ca="1">C2831*Inputs!$B$12</f>
        <v>59520000</v>
      </c>
    </row>
    <row r="2832" spans="1:4" ht="13.5" customHeight="1" x14ac:dyDescent="0.3">
      <c r="A2832" s="50">
        <v>2828</v>
      </c>
      <c r="B2832" s="51">
        <f t="shared" ca="1" si="44"/>
        <v>0.42468120368760365</v>
      </c>
      <c r="C2832" s="48">
        <f t="array" aca="1" ref="C2832" ca="1">MAX(0,ROUND(Inputs!$B$10*Inputs!$B$11+NORMSINV(B2832)*SQRT(Inputs!$B$10*Inputs!$B$11),0))</f>
        <v>496</v>
      </c>
      <c r="D2832" s="52">
        <f ca="1">C2832*Inputs!$B$12</f>
        <v>59520000</v>
      </c>
    </row>
    <row r="2833" spans="1:4" ht="13.5" customHeight="1" x14ac:dyDescent="0.3">
      <c r="A2833" s="46">
        <v>2829</v>
      </c>
      <c r="B2833" s="47">
        <f t="shared" ca="1" si="44"/>
        <v>0.67470080840316893</v>
      </c>
      <c r="C2833" s="48">
        <f t="array" aca="1" ref="C2833" ca="1">MAX(0,ROUND(Inputs!$B$10*Inputs!$B$11+NORMSINV(B2833)*SQRT(Inputs!$B$10*Inputs!$B$11),0))</f>
        <v>510</v>
      </c>
      <c r="D2833" s="49">
        <f ca="1">C2833*Inputs!$B$12</f>
        <v>61200000</v>
      </c>
    </row>
    <row r="2834" spans="1:4" ht="13.5" customHeight="1" x14ac:dyDescent="0.3">
      <c r="A2834" s="50">
        <v>2830</v>
      </c>
      <c r="B2834" s="51">
        <f t="shared" ca="1" si="44"/>
        <v>0.43850165910013705</v>
      </c>
      <c r="C2834" s="48">
        <f t="array" aca="1" ref="C2834" ca="1">MAX(0,ROUND(Inputs!$B$10*Inputs!$B$11+NORMSINV(B2834)*SQRT(Inputs!$B$10*Inputs!$B$11),0))</f>
        <v>497</v>
      </c>
      <c r="D2834" s="52">
        <f ca="1">C2834*Inputs!$B$12</f>
        <v>59640000</v>
      </c>
    </row>
    <row r="2835" spans="1:4" ht="13.5" customHeight="1" x14ac:dyDescent="0.3">
      <c r="A2835" s="46">
        <v>2831</v>
      </c>
      <c r="B2835" s="47">
        <f t="shared" ca="1" si="44"/>
        <v>0.8493759773117926</v>
      </c>
      <c r="C2835" s="48">
        <f t="array" aca="1" ref="C2835" ca="1">MAX(0,ROUND(Inputs!$B$10*Inputs!$B$11+NORMSINV(B2835)*SQRT(Inputs!$B$10*Inputs!$B$11),0))</f>
        <v>523</v>
      </c>
      <c r="D2835" s="49">
        <f ca="1">C2835*Inputs!$B$12</f>
        <v>62760000</v>
      </c>
    </row>
    <row r="2836" spans="1:4" ht="13.5" customHeight="1" x14ac:dyDescent="0.3">
      <c r="A2836" s="50">
        <v>2832</v>
      </c>
      <c r="B2836" s="51">
        <f t="shared" ca="1" si="44"/>
        <v>0.68244782211734034</v>
      </c>
      <c r="C2836" s="48">
        <f t="array" aca="1" ref="C2836" ca="1">MAX(0,ROUND(Inputs!$B$10*Inputs!$B$11+NORMSINV(B2836)*SQRT(Inputs!$B$10*Inputs!$B$11),0))</f>
        <v>511</v>
      </c>
      <c r="D2836" s="52">
        <f ca="1">C2836*Inputs!$B$12</f>
        <v>61320000</v>
      </c>
    </row>
    <row r="2837" spans="1:4" ht="13.5" customHeight="1" x14ac:dyDescent="0.3">
      <c r="A2837" s="46">
        <v>2833</v>
      </c>
      <c r="B2837" s="47">
        <f t="shared" ca="1" si="44"/>
        <v>0.57951123793563186</v>
      </c>
      <c r="C2837" s="48">
        <f t="array" aca="1" ref="C2837" ca="1">MAX(0,ROUND(Inputs!$B$10*Inputs!$B$11+NORMSINV(B2837)*SQRT(Inputs!$B$10*Inputs!$B$11),0))</f>
        <v>504</v>
      </c>
      <c r="D2837" s="49">
        <f ca="1">C2837*Inputs!$B$12</f>
        <v>60480000</v>
      </c>
    </row>
    <row r="2838" spans="1:4" ht="13.5" customHeight="1" x14ac:dyDescent="0.3">
      <c r="A2838" s="50">
        <v>2834</v>
      </c>
      <c r="B2838" s="51">
        <f t="shared" ca="1" si="44"/>
        <v>0.53742852759580984</v>
      </c>
      <c r="C2838" s="48">
        <f t="array" aca="1" ref="C2838" ca="1">MAX(0,ROUND(Inputs!$B$10*Inputs!$B$11+NORMSINV(B2838)*SQRT(Inputs!$B$10*Inputs!$B$11),0))</f>
        <v>502</v>
      </c>
      <c r="D2838" s="52">
        <f ca="1">C2838*Inputs!$B$12</f>
        <v>60240000</v>
      </c>
    </row>
    <row r="2839" spans="1:4" ht="13.5" customHeight="1" x14ac:dyDescent="0.3">
      <c r="A2839" s="46">
        <v>2835</v>
      </c>
      <c r="B2839" s="47">
        <f t="shared" ca="1" si="44"/>
        <v>0.4300862540421978</v>
      </c>
      <c r="C2839" s="48">
        <f t="array" aca="1" ref="C2839" ca="1">MAX(0,ROUND(Inputs!$B$10*Inputs!$B$11+NORMSINV(B2839)*SQRT(Inputs!$B$10*Inputs!$B$11),0))</f>
        <v>496</v>
      </c>
      <c r="D2839" s="49">
        <f ca="1">C2839*Inputs!$B$12</f>
        <v>59520000</v>
      </c>
    </row>
    <row r="2840" spans="1:4" ht="13.5" customHeight="1" x14ac:dyDescent="0.3">
      <c r="A2840" s="50">
        <v>2836</v>
      </c>
      <c r="B2840" s="51">
        <f t="shared" ca="1" si="44"/>
        <v>0.46978766070987965</v>
      </c>
      <c r="C2840" s="48">
        <f t="array" aca="1" ref="C2840" ca="1">MAX(0,ROUND(Inputs!$B$10*Inputs!$B$11+NORMSINV(B2840)*SQRT(Inputs!$B$10*Inputs!$B$11),0))</f>
        <v>498</v>
      </c>
      <c r="D2840" s="52">
        <f ca="1">C2840*Inputs!$B$12</f>
        <v>59760000</v>
      </c>
    </row>
    <row r="2841" spans="1:4" ht="13.5" customHeight="1" x14ac:dyDescent="0.3">
      <c r="A2841" s="46">
        <v>2837</v>
      </c>
      <c r="B2841" s="47">
        <f t="shared" ca="1" si="44"/>
        <v>0.64682765046363211</v>
      </c>
      <c r="C2841" s="48">
        <f t="array" aca="1" ref="C2841" ca="1">MAX(0,ROUND(Inputs!$B$10*Inputs!$B$11+NORMSINV(B2841)*SQRT(Inputs!$B$10*Inputs!$B$11),0))</f>
        <v>508</v>
      </c>
      <c r="D2841" s="49">
        <f ca="1">C2841*Inputs!$B$12</f>
        <v>60960000</v>
      </c>
    </row>
    <row r="2842" spans="1:4" ht="13.5" customHeight="1" x14ac:dyDescent="0.3">
      <c r="A2842" s="50">
        <v>2838</v>
      </c>
      <c r="B2842" s="51">
        <f t="shared" ca="1" si="44"/>
        <v>0.43480508786738392</v>
      </c>
      <c r="C2842" s="48">
        <f t="array" aca="1" ref="C2842" ca="1">MAX(0,ROUND(Inputs!$B$10*Inputs!$B$11+NORMSINV(B2842)*SQRT(Inputs!$B$10*Inputs!$B$11),0))</f>
        <v>496</v>
      </c>
      <c r="D2842" s="52">
        <f ca="1">C2842*Inputs!$B$12</f>
        <v>59520000</v>
      </c>
    </row>
    <row r="2843" spans="1:4" ht="13.5" customHeight="1" x14ac:dyDescent="0.3">
      <c r="A2843" s="46">
        <v>2839</v>
      </c>
      <c r="B2843" s="47">
        <f t="shared" ca="1" si="44"/>
        <v>0.8129628395751709</v>
      </c>
      <c r="C2843" s="48">
        <f t="array" aca="1" ref="C2843" ca="1">MAX(0,ROUND(Inputs!$B$10*Inputs!$B$11+NORMSINV(B2843)*SQRT(Inputs!$B$10*Inputs!$B$11),0))</f>
        <v>520</v>
      </c>
      <c r="D2843" s="49">
        <f ca="1">C2843*Inputs!$B$12</f>
        <v>62400000</v>
      </c>
    </row>
    <row r="2844" spans="1:4" ht="13.5" customHeight="1" x14ac:dyDescent="0.3">
      <c r="A2844" s="50">
        <v>2840</v>
      </c>
      <c r="B2844" s="51">
        <f t="shared" ca="1" si="44"/>
        <v>0.1171029707173723</v>
      </c>
      <c r="C2844" s="48">
        <f t="array" aca="1" ref="C2844" ca="1">MAX(0,ROUND(Inputs!$B$10*Inputs!$B$11+NORMSINV(B2844)*SQRT(Inputs!$B$10*Inputs!$B$11),0))</f>
        <v>473</v>
      </c>
      <c r="D2844" s="52">
        <f ca="1">C2844*Inputs!$B$12</f>
        <v>56760000</v>
      </c>
    </row>
    <row r="2845" spans="1:4" ht="13.5" customHeight="1" x14ac:dyDescent="0.3">
      <c r="A2845" s="46">
        <v>2841</v>
      </c>
      <c r="B2845" s="47">
        <f t="shared" ca="1" si="44"/>
        <v>0.82602508926799301</v>
      </c>
      <c r="C2845" s="48">
        <f t="array" aca="1" ref="C2845" ca="1">MAX(0,ROUND(Inputs!$B$10*Inputs!$B$11+NORMSINV(B2845)*SQRT(Inputs!$B$10*Inputs!$B$11),0))</f>
        <v>521</v>
      </c>
      <c r="D2845" s="49">
        <f ca="1">C2845*Inputs!$B$12</f>
        <v>62520000</v>
      </c>
    </row>
    <row r="2846" spans="1:4" ht="13.5" customHeight="1" x14ac:dyDescent="0.3">
      <c r="A2846" s="50">
        <v>2842</v>
      </c>
      <c r="B2846" s="51">
        <f t="shared" ca="1" si="44"/>
        <v>0.77262976621950619</v>
      </c>
      <c r="C2846" s="48">
        <f t="array" aca="1" ref="C2846" ca="1">MAX(0,ROUND(Inputs!$B$10*Inputs!$B$11+NORMSINV(B2846)*SQRT(Inputs!$B$10*Inputs!$B$11),0))</f>
        <v>517</v>
      </c>
      <c r="D2846" s="52">
        <f ca="1">C2846*Inputs!$B$12</f>
        <v>62040000</v>
      </c>
    </row>
    <row r="2847" spans="1:4" ht="13.5" customHeight="1" x14ac:dyDescent="0.3">
      <c r="A2847" s="46">
        <v>2843</v>
      </c>
      <c r="B2847" s="47">
        <f t="shared" ca="1" si="44"/>
        <v>0.48647964953073641</v>
      </c>
      <c r="C2847" s="48">
        <f t="array" aca="1" ref="C2847" ca="1">MAX(0,ROUND(Inputs!$B$10*Inputs!$B$11+NORMSINV(B2847)*SQRT(Inputs!$B$10*Inputs!$B$11),0))</f>
        <v>499</v>
      </c>
      <c r="D2847" s="49">
        <f ca="1">C2847*Inputs!$B$12</f>
        <v>59880000</v>
      </c>
    </row>
    <row r="2848" spans="1:4" ht="13.5" customHeight="1" x14ac:dyDescent="0.3">
      <c r="A2848" s="50">
        <v>2844</v>
      </c>
      <c r="B2848" s="51">
        <f t="shared" ca="1" si="44"/>
        <v>0.6445236425727966</v>
      </c>
      <c r="C2848" s="48">
        <f t="array" aca="1" ref="C2848" ca="1">MAX(0,ROUND(Inputs!$B$10*Inputs!$B$11+NORMSINV(B2848)*SQRT(Inputs!$B$10*Inputs!$B$11),0))</f>
        <v>508</v>
      </c>
      <c r="D2848" s="52">
        <f ca="1">C2848*Inputs!$B$12</f>
        <v>60960000</v>
      </c>
    </row>
    <row r="2849" spans="1:4" ht="13.5" customHeight="1" x14ac:dyDescent="0.3">
      <c r="A2849" s="46">
        <v>2845</v>
      </c>
      <c r="B2849" s="47">
        <f t="shared" ca="1" si="44"/>
        <v>0.92569379698335164</v>
      </c>
      <c r="C2849" s="48">
        <f t="array" aca="1" ref="C2849" ca="1">MAX(0,ROUND(Inputs!$B$10*Inputs!$B$11+NORMSINV(B2849)*SQRT(Inputs!$B$10*Inputs!$B$11),0))</f>
        <v>532</v>
      </c>
      <c r="D2849" s="49">
        <f ca="1">C2849*Inputs!$B$12</f>
        <v>63840000</v>
      </c>
    </row>
    <row r="2850" spans="1:4" ht="13.5" customHeight="1" x14ac:dyDescent="0.3">
      <c r="A2850" s="50">
        <v>2846</v>
      </c>
      <c r="B2850" s="51">
        <f t="shared" ca="1" si="44"/>
        <v>0.58614309459839031</v>
      </c>
      <c r="C2850" s="48">
        <f t="array" aca="1" ref="C2850" ca="1">MAX(0,ROUND(Inputs!$B$10*Inputs!$B$11+NORMSINV(B2850)*SQRT(Inputs!$B$10*Inputs!$B$11),0))</f>
        <v>505</v>
      </c>
      <c r="D2850" s="52">
        <f ca="1">C2850*Inputs!$B$12</f>
        <v>60600000</v>
      </c>
    </row>
    <row r="2851" spans="1:4" ht="13.5" customHeight="1" x14ac:dyDescent="0.3">
      <c r="A2851" s="46">
        <v>2847</v>
      </c>
      <c r="B2851" s="47">
        <f t="shared" ca="1" si="44"/>
        <v>0.36660109663216534</v>
      </c>
      <c r="C2851" s="48">
        <f t="array" aca="1" ref="C2851" ca="1">MAX(0,ROUND(Inputs!$B$10*Inputs!$B$11+NORMSINV(B2851)*SQRT(Inputs!$B$10*Inputs!$B$11),0))</f>
        <v>492</v>
      </c>
      <c r="D2851" s="49">
        <f ca="1">C2851*Inputs!$B$12</f>
        <v>59040000</v>
      </c>
    </row>
    <row r="2852" spans="1:4" ht="13.5" customHeight="1" x14ac:dyDescent="0.3">
      <c r="A2852" s="50">
        <v>2848</v>
      </c>
      <c r="B2852" s="51">
        <f t="shared" ca="1" si="44"/>
        <v>9.7304290121436043E-4</v>
      </c>
      <c r="C2852" s="48">
        <f t="array" aca="1" ref="C2852" ca="1">MAX(0,ROUND(Inputs!$B$10*Inputs!$B$11+NORMSINV(B2852)*SQRT(Inputs!$B$10*Inputs!$B$11),0))</f>
        <v>431</v>
      </c>
      <c r="D2852" s="52">
        <f ca="1">C2852*Inputs!$B$12</f>
        <v>51720000</v>
      </c>
    </row>
    <row r="2853" spans="1:4" ht="13.5" customHeight="1" x14ac:dyDescent="0.3">
      <c r="A2853" s="46">
        <v>2849</v>
      </c>
      <c r="B2853" s="47">
        <f t="shared" ca="1" si="44"/>
        <v>0.33760533868858389</v>
      </c>
      <c r="C2853" s="48">
        <f t="array" aca="1" ref="C2853" ca="1">MAX(0,ROUND(Inputs!$B$10*Inputs!$B$11+NORMSINV(B2853)*SQRT(Inputs!$B$10*Inputs!$B$11),0))</f>
        <v>491</v>
      </c>
      <c r="D2853" s="49">
        <f ca="1">C2853*Inputs!$B$12</f>
        <v>58920000</v>
      </c>
    </row>
    <row r="2854" spans="1:4" ht="13.5" customHeight="1" x14ac:dyDescent="0.3">
      <c r="A2854" s="50">
        <v>2850</v>
      </c>
      <c r="B2854" s="51">
        <f t="shared" ca="1" si="44"/>
        <v>0.11527692527035527</v>
      </c>
      <c r="C2854" s="48">
        <f t="array" aca="1" ref="C2854" ca="1">MAX(0,ROUND(Inputs!$B$10*Inputs!$B$11+NORMSINV(B2854)*SQRT(Inputs!$B$10*Inputs!$B$11),0))</f>
        <v>473</v>
      </c>
      <c r="D2854" s="52">
        <f ca="1">C2854*Inputs!$B$12</f>
        <v>56760000</v>
      </c>
    </row>
    <row r="2855" spans="1:4" ht="13.5" customHeight="1" x14ac:dyDescent="0.3">
      <c r="A2855" s="46">
        <v>2851</v>
      </c>
      <c r="B2855" s="47">
        <f t="shared" ca="1" si="44"/>
        <v>0.72378851479881479</v>
      </c>
      <c r="C2855" s="48">
        <f t="array" aca="1" ref="C2855" ca="1">MAX(0,ROUND(Inputs!$B$10*Inputs!$B$11+NORMSINV(B2855)*SQRT(Inputs!$B$10*Inputs!$B$11),0))</f>
        <v>513</v>
      </c>
      <c r="D2855" s="49">
        <f ca="1">C2855*Inputs!$B$12</f>
        <v>61560000</v>
      </c>
    </row>
    <row r="2856" spans="1:4" ht="13.5" customHeight="1" x14ac:dyDescent="0.3">
      <c r="A2856" s="50">
        <v>2852</v>
      </c>
      <c r="B2856" s="51">
        <f t="shared" ca="1" si="44"/>
        <v>0.95822899910085457</v>
      </c>
      <c r="C2856" s="48">
        <f t="array" aca="1" ref="C2856" ca="1">MAX(0,ROUND(Inputs!$B$10*Inputs!$B$11+NORMSINV(B2856)*SQRT(Inputs!$B$10*Inputs!$B$11),0))</f>
        <v>539</v>
      </c>
      <c r="D2856" s="52">
        <f ca="1">C2856*Inputs!$B$12</f>
        <v>64680000</v>
      </c>
    </row>
    <row r="2857" spans="1:4" ht="13.5" customHeight="1" x14ac:dyDescent="0.3">
      <c r="A2857" s="46">
        <v>2853</v>
      </c>
      <c r="B2857" s="47">
        <f t="shared" ca="1" si="44"/>
        <v>0.60225876322851613</v>
      </c>
      <c r="C2857" s="48">
        <f t="array" aca="1" ref="C2857" ca="1">MAX(0,ROUND(Inputs!$B$10*Inputs!$B$11+NORMSINV(B2857)*SQRT(Inputs!$B$10*Inputs!$B$11),0))</f>
        <v>506</v>
      </c>
      <c r="D2857" s="49">
        <f ca="1">C2857*Inputs!$B$12</f>
        <v>60720000</v>
      </c>
    </row>
    <row r="2858" spans="1:4" ht="13.5" customHeight="1" x14ac:dyDescent="0.3">
      <c r="A2858" s="50">
        <v>2854</v>
      </c>
      <c r="B2858" s="51">
        <f t="shared" ca="1" si="44"/>
        <v>0.71173819003274164</v>
      </c>
      <c r="C2858" s="48">
        <f t="array" aca="1" ref="C2858" ca="1">MAX(0,ROUND(Inputs!$B$10*Inputs!$B$11+NORMSINV(B2858)*SQRT(Inputs!$B$10*Inputs!$B$11),0))</f>
        <v>512</v>
      </c>
      <c r="D2858" s="52">
        <f ca="1">C2858*Inputs!$B$12</f>
        <v>61440000</v>
      </c>
    </row>
    <row r="2859" spans="1:4" ht="13.5" customHeight="1" x14ac:dyDescent="0.3">
      <c r="A2859" s="46">
        <v>2855</v>
      </c>
      <c r="B2859" s="47">
        <f t="shared" ca="1" si="44"/>
        <v>0.22472014977182841</v>
      </c>
      <c r="C2859" s="48">
        <f t="array" aca="1" ref="C2859" ca="1">MAX(0,ROUND(Inputs!$B$10*Inputs!$B$11+NORMSINV(B2859)*SQRT(Inputs!$B$10*Inputs!$B$11),0))</f>
        <v>483</v>
      </c>
      <c r="D2859" s="49">
        <f ca="1">C2859*Inputs!$B$12</f>
        <v>57960000</v>
      </c>
    </row>
    <row r="2860" spans="1:4" ht="13.5" customHeight="1" x14ac:dyDescent="0.3">
      <c r="A2860" s="50">
        <v>2856</v>
      </c>
      <c r="B2860" s="51">
        <f t="shared" ca="1" si="44"/>
        <v>0.56657987096069151</v>
      </c>
      <c r="C2860" s="48">
        <f t="array" aca="1" ref="C2860" ca="1">MAX(0,ROUND(Inputs!$B$10*Inputs!$B$11+NORMSINV(B2860)*SQRT(Inputs!$B$10*Inputs!$B$11),0))</f>
        <v>504</v>
      </c>
      <c r="D2860" s="52">
        <f ca="1">C2860*Inputs!$B$12</f>
        <v>60480000</v>
      </c>
    </row>
    <row r="2861" spans="1:4" ht="13.5" customHeight="1" x14ac:dyDescent="0.3">
      <c r="A2861" s="46">
        <v>2857</v>
      </c>
      <c r="B2861" s="47">
        <f t="shared" ca="1" si="44"/>
        <v>0.98314568837933403</v>
      </c>
      <c r="C2861" s="48">
        <f t="array" aca="1" ref="C2861" ca="1">MAX(0,ROUND(Inputs!$B$10*Inputs!$B$11+NORMSINV(B2861)*SQRT(Inputs!$B$10*Inputs!$B$11),0))</f>
        <v>547</v>
      </c>
      <c r="D2861" s="49">
        <f ca="1">C2861*Inputs!$B$12</f>
        <v>65640000</v>
      </c>
    </row>
    <row r="2862" spans="1:4" ht="13.5" customHeight="1" x14ac:dyDescent="0.3">
      <c r="A2862" s="50">
        <v>2858</v>
      </c>
      <c r="B2862" s="51">
        <f t="shared" ca="1" si="44"/>
        <v>0.52175981066270039</v>
      </c>
      <c r="C2862" s="48">
        <f t="array" aca="1" ref="C2862" ca="1">MAX(0,ROUND(Inputs!$B$10*Inputs!$B$11+NORMSINV(B2862)*SQRT(Inputs!$B$10*Inputs!$B$11),0))</f>
        <v>501</v>
      </c>
      <c r="D2862" s="52">
        <f ca="1">C2862*Inputs!$B$12</f>
        <v>60120000</v>
      </c>
    </row>
    <row r="2863" spans="1:4" ht="13.5" customHeight="1" x14ac:dyDescent="0.3">
      <c r="A2863" s="46">
        <v>2859</v>
      </c>
      <c r="B2863" s="47">
        <f t="shared" ca="1" si="44"/>
        <v>0.63484326632554577</v>
      </c>
      <c r="C2863" s="48">
        <f t="array" aca="1" ref="C2863" ca="1">MAX(0,ROUND(Inputs!$B$10*Inputs!$B$11+NORMSINV(B2863)*SQRT(Inputs!$B$10*Inputs!$B$11),0))</f>
        <v>508</v>
      </c>
      <c r="D2863" s="49">
        <f ca="1">C2863*Inputs!$B$12</f>
        <v>60960000</v>
      </c>
    </row>
    <row r="2864" spans="1:4" ht="13.5" customHeight="1" x14ac:dyDescent="0.3">
      <c r="A2864" s="50">
        <v>2860</v>
      </c>
      <c r="B2864" s="51">
        <f t="shared" ca="1" si="44"/>
        <v>0.89914913627856163</v>
      </c>
      <c r="C2864" s="48">
        <f t="array" aca="1" ref="C2864" ca="1">MAX(0,ROUND(Inputs!$B$10*Inputs!$B$11+NORMSINV(B2864)*SQRT(Inputs!$B$10*Inputs!$B$11),0))</f>
        <v>529</v>
      </c>
      <c r="D2864" s="52">
        <f ca="1">C2864*Inputs!$B$12</f>
        <v>63480000</v>
      </c>
    </row>
    <row r="2865" spans="1:4" ht="13.5" customHeight="1" x14ac:dyDescent="0.3">
      <c r="A2865" s="46">
        <v>2861</v>
      </c>
      <c r="B2865" s="47">
        <f t="shared" ca="1" si="44"/>
        <v>0.369709409624838</v>
      </c>
      <c r="C2865" s="48">
        <f t="array" aca="1" ref="C2865" ca="1">MAX(0,ROUND(Inputs!$B$10*Inputs!$B$11+NORMSINV(B2865)*SQRT(Inputs!$B$10*Inputs!$B$11),0))</f>
        <v>493</v>
      </c>
      <c r="D2865" s="49">
        <f ca="1">C2865*Inputs!$B$12</f>
        <v>59160000</v>
      </c>
    </row>
    <row r="2866" spans="1:4" ht="13.5" customHeight="1" x14ac:dyDescent="0.3">
      <c r="A2866" s="50">
        <v>2862</v>
      </c>
      <c r="B2866" s="51">
        <f t="shared" ca="1" si="44"/>
        <v>0.17304383937150547</v>
      </c>
      <c r="C2866" s="48">
        <f t="array" aca="1" ref="C2866" ca="1">MAX(0,ROUND(Inputs!$B$10*Inputs!$B$11+NORMSINV(B2866)*SQRT(Inputs!$B$10*Inputs!$B$11),0))</f>
        <v>479</v>
      </c>
      <c r="D2866" s="52">
        <f ca="1">C2866*Inputs!$B$12</f>
        <v>57480000</v>
      </c>
    </row>
    <row r="2867" spans="1:4" ht="13.5" customHeight="1" x14ac:dyDescent="0.3">
      <c r="A2867" s="46">
        <v>2863</v>
      </c>
      <c r="B2867" s="47">
        <f t="shared" ca="1" si="44"/>
        <v>0.98904423284136556</v>
      </c>
      <c r="C2867" s="48">
        <f t="array" aca="1" ref="C2867" ca="1">MAX(0,ROUND(Inputs!$B$10*Inputs!$B$11+NORMSINV(B2867)*SQRT(Inputs!$B$10*Inputs!$B$11),0))</f>
        <v>551</v>
      </c>
      <c r="D2867" s="49">
        <f ca="1">C2867*Inputs!$B$12</f>
        <v>66120000</v>
      </c>
    </row>
    <row r="2868" spans="1:4" ht="13.5" customHeight="1" x14ac:dyDescent="0.3">
      <c r="A2868" s="50">
        <v>2864</v>
      </c>
      <c r="B2868" s="51">
        <f t="shared" ca="1" si="44"/>
        <v>0.82906971547137376</v>
      </c>
      <c r="C2868" s="48">
        <f t="array" aca="1" ref="C2868" ca="1">MAX(0,ROUND(Inputs!$B$10*Inputs!$B$11+NORMSINV(B2868)*SQRT(Inputs!$B$10*Inputs!$B$11),0))</f>
        <v>521</v>
      </c>
      <c r="D2868" s="52">
        <f ca="1">C2868*Inputs!$B$12</f>
        <v>62520000</v>
      </c>
    </row>
    <row r="2869" spans="1:4" ht="13.5" customHeight="1" x14ac:dyDescent="0.3">
      <c r="A2869" s="46">
        <v>2865</v>
      </c>
      <c r="B2869" s="47">
        <f t="shared" ca="1" si="44"/>
        <v>3.7836366390216813E-2</v>
      </c>
      <c r="C2869" s="48">
        <f t="array" aca="1" ref="C2869" ca="1">MAX(0,ROUND(Inputs!$B$10*Inputs!$B$11+NORMSINV(B2869)*SQRT(Inputs!$B$10*Inputs!$B$11),0))</f>
        <v>460</v>
      </c>
      <c r="D2869" s="49">
        <f ca="1">C2869*Inputs!$B$12</f>
        <v>55200000</v>
      </c>
    </row>
    <row r="2870" spans="1:4" ht="13.5" customHeight="1" x14ac:dyDescent="0.3">
      <c r="A2870" s="50">
        <v>2866</v>
      </c>
      <c r="B2870" s="51">
        <f t="shared" ca="1" si="44"/>
        <v>0.58698627583595742</v>
      </c>
      <c r="C2870" s="48">
        <f t="array" aca="1" ref="C2870" ca="1">MAX(0,ROUND(Inputs!$B$10*Inputs!$B$11+NORMSINV(B2870)*SQRT(Inputs!$B$10*Inputs!$B$11),0))</f>
        <v>505</v>
      </c>
      <c r="D2870" s="52">
        <f ca="1">C2870*Inputs!$B$12</f>
        <v>60600000</v>
      </c>
    </row>
    <row r="2871" spans="1:4" ht="13.5" customHeight="1" x14ac:dyDescent="0.3">
      <c r="A2871" s="46">
        <v>2867</v>
      </c>
      <c r="B2871" s="47">
        <f t="shared" ca="1" si="44"/>
        <v>0.27194494689055737</v>
      </c>
      <c r="C2871" s="48">
        <f t="array" aca="1" ref="C2871" ca="1">MAX(0,ROUND(Inputs!$B$10*Inputs!$B$11+NORMSINV(B2871)*SQRT(Inputs!$B$10*Inputs!$B$11),0))</f>
        <v>486</v>
      </c>
      <c r="D2871" s="49">
        <f ca="1">C2871*Inputs!$B$12</f>
        <v>58320000</v>
      </c>
    </row>
    <row r="2872" spans="1:4" ht="13.5" customHeight="1" x14ac:dyDescent="0.3">
      <c r="A2872" s="50">
        <v>2868</v>
      </c>
      <c r="B2872" s="51">
        <f t="shared" ca="1" si="44"/>
        <v>0.7832081527233149</v>
      </c>
      <c r="C2872" s="48">
        <f t="array" aca="1" ref="C2872" ca="1">MAX(0,ROUND(Inputs!$B$10*Inputs!$B$11+NORMSINV(B2872)*SQRT(Inputs!$B$10*Inputs!$B$11),0))</f>
        <v>518</v>
      </c>
      <c r="D2872" s="52">
        <f ca="1">C2872*Inputs!$B$12</f>
        <v>62160000</v>
      </c>
    </row>
    <row r="2873" spans="1:4" ht="13.5" customHeight="1" x14ac:dyDescent="0.3">
      <c r="A2873" s="46">
        <v>2869</v>
      </c>
      <c r="B2873" s="47">
        <f t="shared" ca="1" si="44"/>
        <v>0.20383845270433298</v>
      </c>
      <c r="C2873" s="48">
        <f t="array" aca="1" ref="C2873" ca="1">MAX(0,ROUND(Inputs!$B$10*Inputs!$B$11+NORMSINV(B2873)*SQRT(Inputs!$B$10*Inputs!$B$11),0))</f>
        <v>481</v>
      </c>
      <c r="D2873" s="49">
        <f ca="1">C2873*Inputs!$B$12</f>
        <v>57720000</v>
      </c>
    </row>
    <row r="2874" spans="1:4" ht="13.5" customHeight="1" x14ac:dyDescent="0.3">
      <c r="A2874" s="50">
        <v>2870</v>
      </c>
      <c r="B2874" s="51">
        <f t="shared" ca="1" si="44"/>
        <v>5.5646755696872274E-2</v>
      </c>
      <c r="C2874" s="48">
        <f t="array" aca="1" ref="C2874" ca="1">MAX(0,ROUND(Inputs!$B$10*Inputs!$B$11+NORMSINV(B2874)*SQRT(Inputs!$B$10*Inputs!$B$11),0))</f>
        <v>464</v>
      </c>
      <c r="D2874" s="52">
        <f ca="1">C2874*Inputs!$B$12</f>
        <v>55680000</v>
      </c>
    </row>
    <row r="2875" spans="1:4" ht="13.5" customHeight="1" x14ac:dyDescent="0.3">
      <c r="A2875" s="46">
        <v>2871</v>
      </c>
      <c r="B2875" s="47">
        <f t="shared" ca="1" si="44"/>
        <v>0.91196430246332327</v>
      </c>
      <c r="C2875" s="48">
        <f t="array" aca="1" ref="C2875" ca="1">MAX(0,ROUND(Inputs!$B$10*Inputs!$B$11+NORMSINV(B2875)*SQRT(Inputs!$B$10*Inputs!$B$11),0))</f>
        <v>530</v>
      </c>
      <c r="D2875" s="49">
        <f ca="1">C2875*Inputs!$B$12</f>
        <v>63600000</v>
      </c>
    </row>
    <row r="2876" spans="1:4" ht="13.5" customHeight="1" x14ac:dyDescent="0.3">
      <c r="A2876" s="50">
        <v>2872</v>
      </c>
      <c r="B2876" s="51">
        <f t="shared" ca="1" si="44"/>
        <v>0.93700449676579489</v>
      </c>
      <c r="C2876" s="48">
        <f t="array" aca="1" ref="C2876" ca="1">MAX(0,ROUND(Inputs!$B$10*Inputs!$B$11+NORMSINV(B2876)*SQRT(Inputs!$B$10*Inputs!$B$11),0))</f>
        <v>534</v>
      </c>
      <c r="D2876" s="52">
        <f ca="1">C2876*Inputs!$B$12</f>
        <v>64080000</v>
      </c>
    </row>
    <row r="2877" spans="1:4" ht="13.5" customHeight="1" x14ac:dyDescent="0.3">
      <c r="A2877" s="46">
        <v>2873</v>
      </c>
      <c r="B2877" s="47">
        <f t="shared" ca="1" si="44"/>
        <v>0.61014534720513791</v>
      </c>
      <c r="C2877" s="48">
        <f t="array" aca="1" ref="C2877" ca="1">MAX(0,ROUND(Inputs!$B$10*Inputs!$B$11+NORMSINV(B2877)*SQRT(Inputs!$B$10*Inputs!$B$11),0))</f>
        <v>506</v>
      </c>
      <c r="D2877" s="49">
        <f ca="1">C2877*Inputs!$B$12</f>
        <v>60720000</v>
      </c>
    </row>
    <row r="2878" spans="1:4" ht="13.5" customHeight="1" x14ac:dyDescent="0.3">
      <c r="A2878" s="50">
        <v>2874</v>
      </c>
      <c r="B2878" s="51">
        <f t="shared" ca="1" si="44"/>
        <v>0.7253693160781971</v>
      </c>
      <c r="C2878" s="48">
        <f t="array" aca="1" ref="C2878" ca="1">MAX(0,ROUND(Inputs!$B$10*Inputs!$B$11+NORMSINV(B2878)*SQRT(Inputs!$B$10*Inputs!$B$11),0))</f>
        <v>513</v>
      </c>
      <c r="D2878" s="52">
        <f ca="1">C2878*Inputs!$B$12</f>
        <v>61560000</v>
      </c>
    </row>
    <row r="2879" spans="1:4" ht="13.5" customHeight="1" x14ac:dyDescent="0.3">
      <c r="A2879" s="46">
        <v>2875</v>
      </c>
      <c r="B2879" s="47">
        <f t="shared" ca="1" si="44"/>
        <v>0.50230692214735573</v>
      </c>
      <c r="C2879" s="48">
        <f t="array" aca="1" ref="C2879" ca="1">MAX(0,ROUND(Inputs!$B$10*Inputs!$B$11+NORMSINV(B2879)*SQRT(Inputs!$B$10*Inputs!$B$11),0))</f>
        <v>500</v>
      </c>
      <c r="D2879" s="49">
        <f ca="1">C2879*Inputs!$B$12</f>
        <v>60000000</v>
      </c>
    </row>
    <row r="2880" spans="1:4" ht="13.5" customHeight="1" x14ac:dyDescent="0.3">
      <c r="A2880" s="50">
        <v>2876</v>
      </c>
      <c r="B2880" s="51">
        <f t="shared" ca="1" si="44"/>
        <v>0.99272191827844292</v>
      </c>
      <c r="C2880" s="48">
        <f t="array" aca="1" ref="C2880" ca="1">MAX(0,ROUND(Inputs!$B$10*Inputs!$B$11+NORMSINV(B2880)*SQRT(Inputs!$B$10*Inputs!$B$11),0))</f>
        <v>555</v>
      </c>
      <c r="D2880" s="52">
        <f ca="1">C2880*Inputs!$B$12</f>
        <v>66600000</v>
      </c>
    </row>
    <row r="2881" spans="1:4" ht="13.5" customHeight="1" x14ac:dyDescent="0.3">
      <c r="A2881" s="46">
        <v>2877</v>
      </c>
      <c r="B2881" s="47">
        <f t="shared" ca="1" si="44"/>
        <v>0.83764476067884053</v>
      </c>
      <c r="C2881" s="48">
        <f t="array" aca="1" ref="C2881" ca="1">MAX(0,ROUND(Inputs!$B$10*Inputs!$B$11+NORMSINV(B2881)*SQRT(Inputs!$B$10*Inputs!$B$11),0))</f>
        <v>522</v>
      </c>
      <c r="D2881" s="49">
        <f ca="1">C2881*Inputs!$B$12</f>
        <v>62640000</v>
      </c>
    </row>
    <row r="2882" spans="1:4" ht="13.5" customHeight="1" x14ac:dyDescent="0.3">
      <c r="A2882" s="50">
        <v>2878</v>
      </c>
      <c r="B2882" s="51">
        <f t="shared" ca="1" si="44"/>
        <v>0.20001234551040947</v>
      </c>
      <c r="C2882" s="48">
        <f t="array" aca="1" ref="C2882" ca="1">MAX(0,ROUND(Inputs!$B$10*Inputs!$B$11+NORMSINV(B2882)*SQRT(Inputs!$B$10*Inputs!$B$11),0))</f>
        <v>481</v>
      </c>
      <c r="D2882" s="52">
        <f ca="1">C2882*Inputs!$B$12</f>
        <v>57720000</v>
      </c>
    </row>
    <row r="2883" spans="1:4" ht="13.5" customHeight="1" x14ac:dyDescent="0.3">
      <c r="A2883" s="46">
        <v>2879</v>
      </c>
      <c r="B2883" s="47">
        <f t="shared" ca="1" si="44"/>
        <v>0.74393539421644395</v>
      </c>
      <c r="C2883" s="48">
        <f t="array" aca="1" ref="C2883" ca="1">MAX(0,ROUND(Inputs!$B$10*Inputs!$B$11+NORMSINV(B2883)*SQRT(Inputs!$B$10*Inputs!$B$11),0))</f>
        <v>515</v>
      </c>
      <c r="D2883" s="49">
        <f ca="1">C2883*Inputs!$B$12</f>
        <v>61800000</v>
      </c>
    </row>
    <row r="2884" spans="1:4" ht="13.5" customHeight="1" x14ac:dyDescent="0.3">
      <c r="A2884" s="50">
        <v>2880</v>
      </c>
      <c r="B2884" s="51">
        <f t="shared" ca="1" si="44"/>
        <v>0.302199478871507</v>
      </c>
      <c r="C2884" s="48">
        <f t="array" aca="1" ref="C2884" ca="1">MAX(0,ROUND(Inputs!$B$10*Inputs!$B$11+NORMSINV(B2884)*SQRT(Inputs!$B$10*Inputs!$B$11),0))</f>
        <v>488</v>
      </c>
      <c r="D2884" s="52">
        <f ca="1">C2884*Inputs!$B$12</f>
        <v>58560000</v>
      </c>
    </row>
    <row r="2885" spans="1:4" ht="13.5" customHeight="1" x14ac:dyDescent="0.3">
      <c r="A2885" s="46">
        <v>2881</v>
      </c>
      <c r="B2885" s="47">
        <f t="shared" ref="B2885:B2948" ca="1" si="45">RAND()</f>
        <v>0.68735108538601797</v>
      </c>
      <c r="C2885" s="48">
        <f t="array" aca="1" ref="C2885" ca="1">MAX(0,ROUND(Inputs!$B$10*Inputs!$B$11+NORMSINV(B2885)*SQRT(Inputs!$B$10*Inputs!$B$11),0))</f>
        <v>511</v>
      </c>
      <c r="D2885" s="49">
        <f ca="1">C2885*Inputs!$B$12</f>
        <v>61320000</v>
      </c>
    </row>
    <row r="2886" spans="1:4" ht="13.5" customHeight="1" x14ac:dyDescent="0.3">
      <c r="A2886" s="50">
        <v>2882</v>
      </c>
      <c r="B2886" s="51">
        <f t="shared" ca="1" si="45"/>
        <v>0.92895257584724245</v>
      </c>
      <c r="C2886" s="48">
        <f t="array" aca="1" ref="C2886" ca="1">MAX(0,ROUND(Inputs!$B$10*Inputs!$B$11+NORMSINV(B2886)*SQRT(Inputs!$B$10*Inputs!$B$11),0))</f>
        <v>533</v>
      </c>
      <c r="D2886" s="52">
        <f ca="1">C2886*Inputs!$B$12</f>
        <v>63960000</v>
      </c>
    </row>
    <row r="2887" spans="1:4" ht="13.5" customHeight="1" x14ac:dyDescent="0.3">
      <c r="A2887" s="46">
        <v>2883</v>
      </c>
      <c r="B2887" s="47">
        <f t="shared" ca="1" si="45"/>
        <v>0.93632669312232319</v>
      </c>
      <c r="C2887" s="48">
        <f t="array" aca="1" ref="C2887" ca="1">MAX(0,ROUND(Inputs!$B$10*Inputs!$B$11+NORMSINV(B2887)*SQRT(Inputs!$B$10*Inputs!$B$11),0))</f>
        <v>534</v>
      </c>
      <c r="D2887" s="49">
        <f ca="1">C2887*Inputs!$B$12</f>
        <v>64080000</v>
      </c>
    </row>
    <row r="2888" spans="1:4" ht="13.5" customHeight="1" x14ac:dyDescent="0.3">
      <c r="A2888" s="50">
        <v>2884</v>
      </c>
      <c r="B2888" s="51">
        <f t="shared" ca="1" si="45"/>
        <v>0.71922110903328418</v>
      </c>
      <c r="C2888" s="48">
        <f t="array" aca="1" ref="C2888" ca="1">MAX(0,ROUND(Inputs!$B$10*Inputs!$B$11+NORMSINV(B2888)*SQRT(Inputs!$B$10*Inputs!$B$11),0))</f>
        <v>513</v>
      </c>
      <c r="D2888" s="52">
        <f ca="1">C2888*Inputs!$B$12</f>
        <v>61560000</v>
      </c>
    </row>
    <row r="2889" spans="1:4" ht="13.5" customHeight="1" x14ac:dyDescent="0.3">
      <c r="A2889" s="46">
        <v>2885</v>
      </c>
      <c r="B2889" s="47">
        <f t="shared" ca="1" si="45"/>
        <v>0.53227421729726421</v>
      </c>
      <c r="C2889" s="48">
        <f t="array" aca="1" ref="C2889" ca="1">MAX(0,ROUND(Inputs!$B$10*Inputs!$B$11+NORMSINV(B2889)*SQRT(Inputs!$B$10*Inputs!$B$11),0))</f>
        <v>502</v>
      </c>
      <c r="D2889" s="49">
        <f ca="1">C2889*Inputs!$B$12</f>
        <v>60240000</v>
      </c>
    </row>
    <row r="2890" spans="1:4" ht="13.5" customHeight="1" x14ac:dyDescent="0.3">
      <c r="A2890" s="50">
        <v>2886</v>
      </c>
      <c r="B2890" s="51">
        <f t="shared" ca="1" si="45"/>
        <v>0.90736512964829263</v>
      </c>
      <c r="C2890" s="48">
        <f t="array" aca="1" ref="C2890" ca="1">MAX(0,ROUND(Inputs!$B$10*Inputs!$B$11+NORMSINV(B2890)*SQRT(Inputs!$B$10*Inputs!$B$11),0))</f>
        <v>530</v>
      </c>
      <c r="D2890" s="52">
        <f ca="1">C2890*Inputs!$B$12</f>
        <v>63600000</v>
      </c>
    </row>
    <row r="2891" spans="1:4" ht="13.5" customHeight="1" x14ac:dyDescent="0.3">
      <c r="A2891" s="46">
        <v>2887</v>
      </c>
      <c r="B2891" s="47">
        <f t="shared" ca="1" si="45"/>
        <v>0.55990803995905558</v>
      </c>
      <c r="C2891" s="48">
        <f t="array" aca="1" ref="C2891" ca="1">MAX(0,ROUND(Inputs!$B$10*Inputs!$B$11+NORMSINV(B2891)*SQRT(Inputs!$B$10*Inputs!$B$11),0))</f>
        <v>503</v>
      </c>
      <c r="D2891" s="49">
        <f ca="1">C2891*Inputs!$B$12</f>
        <v>60360000</v>
      </c>
    </row>
    <row r="2892" spans="1:4" ht="13.5" customHeight="1" x14ac:dyDescent="0.3">
      <c r="A2892" s="50">
        <v>2888</v>
      </c>
      <c r="B2892" s="51">
        <f t="shared" ca="1" si="45"/>
        <v>0.56296452006676145</v>
      </c>
      <c r="C2892" s="48">
        <f t="array" aca="1" ref="C2892" ca="1">MAX(0,ROUND(Inputs!$B$10*Inputs!$B$11+NORMSINV(B2892)*SQRT(Inputs!$B$10*Inputs!$B$11),0))</f>
        <v>504</v>
      </c>
      <c r="D2892" s="52">
        <f ca="1">C2892*Inputs!$B$12</f>
        <v>60480000</v>
      </c>
    </row>
    <row r="2893" spans="1:4" ht="13.5" customHeight="1" x14ac:dyDescent="0.3">
      <c r="A2893" s="46">
        <v>2889</v>
      </c>
      <c r="B2893" s="47">
        <f t="shared" ca="1" si="45"/>
        <v>0.39179646349810804</v>
      </c>
      <c r="C2893" s="48">
        <f t="array" aca="1" ref="C2893" ca="1">MAX(0,ROUND(Inputs!$B$10*Inputs!$B$11+NORMSINV(B2893)*SQRT(Inputs!$B$10*Inputs!$B$11),0))</f>
        <v>494</v>
      </c>
      <c r="D2893" s="49">
        <f ca="1">C2893*Inputs!$B$12</f>
        <v>59280000</v>
      </c>
    </row>
    <row r="2894" spans="1:4" ht="13.5" customHeight="1" x14ac:dyDescent="0.3">
      <c r="A2894" s="50">
        <v>2890</v>
      </c>
      <c r="B2894" s="51">
        <f t="shared" ca="1" si="45"/>
        <v>0.28466438808316141</v>
      </c>
      <c r="C2894" s="48">
        <f t="array" aca="1" ref="C2894" ca="1">MAX(0,ROUND(Inputs!$B$10*Inputs!$B$11+NORMSINV(B2894)*SQRT(Inputs!$B$10*Inputs!$B$11),0))</f>
        <v>487</v>
      </c>
      <c r="D2894" s="52">
        <f ca="1">C2894*Inputs!$B$12</f>
        <v>58440000</v>
      </c>
    </row>
    <row r="2895" spans="1:4" ht="13.5" customHeight="1" x14ac:dyDescent="0.3">
      <c r="A2895" s="46">
        <v>2891</v>
      </c>
      <c r="B2895" s="47">
        <f t="shared" ca="1" si="45"/>
        <v>0.99534454483195411</v>
      </c>
      <c r="C2895" s="48">
        <f t="array" aca="1" ref="C2895" ca="1">MAX(0,ROUND(Inputs!$B$10*Inputs!$B$11+NORMSINV(B2895)*SQRT(Inputs!$B$10*Inputs!$B$11),0))</f>
        <v>558</v>
      </c>
      <c r="D2895" s="49">
        <f ca="1">C2895*Inputs!$B$12</f>
        <v>66960000</v>
      </c>
    </row>
    <row r="2896" spans="1:4" ht="13.5" customHeight="1" x14ac:dyDescent="0.3">
      <c r="A2896" s="50">
        <v>2892</v>
      </c>
      <c r="B2896" s="51">
        <f t="shared" ca="1" si="45"/>
        <v>0.75348666189519797</v>
      </c>
      <c r="C2896" s="48">
        <f t="array" aca="1" ref="C2896" ca="1">MAX(0,ROUND(Inputs!$B$10*Inputs!$B$11+NORMSINV(B2896)*SQRT(Inputs!$B$10*Inputs!$B$11),0))</f>
        <v>515</v>
      </c>
      <c r="D2896" s="52">
        <f ca="1">C2896*Inputs!$B$12</f>
        <v>61800000</v>
      </c>
    </row>
    <row r="2897" spans="1:4" ht="13.5" customHeight="1" x14ac:dyDescent="0.3">
      <c r="A2897" s="46">
        <v>2893</v>
      </c>
      <c r="B2897" s="47">
        <f t="shared" ca="1" si="45"/>
        <v>0.43670978720332509</v>
      </c>
      <c r="C2897" s="48">
        <f t="array" aca="1" ref="C2897" ca="1">MAX(0,ROUND(Inputs!$B$10*Inputs!$B$11+NORMSINV(B2897)*SQRT(Inputs!$B$10*Inputs!$B$11),0))</f>
        <v>496</v>
      </c>
      <c r="D2897" s="49">
        <f ca="1">C2897*Inputs!$B$12</f>
        <v>59520000</v>
      </c>
    </row>
    <row r="2898" spans="1:4" ht="13.5" customHeight="1" x14ac:dyDescent="0.3">
      <c r="A2898" s="50">
        <v>2894</v>
      </c>
      <c r="B2898" s="51">
        <f t="shared" ca="1" si="45"/>
        <v>0.3295925080488985</v>
      </c>
      <c r="C2898" s="48">
        <f t="array" aca="1" ref="C2898" ca="1">MAX(0,ROUND(Inputs!$B$10*Inputs!$B$11+NORMSINV(B2898)*SQRT(Inputs!$B$10*Inputs!$B$11),0))</f>
        <v>490</v>
      </c>
      <c r="D2898" s="52">
        <f ca="1">C2898*Inputs!$B$12</f>
        <v>58800000</v>
      </c>
    </row>
    <row r="2899" spans="1:4" ht="13.5" customHeight="1" x14ac:dyDescent="0.3">
      <c r="A2899" s="46">
        <v>2895</v>
      </c>
      <c r="B2899" s="47">
        <f t="shared" ca="1" si="45"/>
        <v>0.61405867586061036</v>
      </c>
      <c r="C2899" s="48">
        <f t="array" aca="1" ref="C2899" ca="1">MAX(0,ROUND(Inputs!$B$10*Inputs!$B$11+NORMSINV(B2899)*SQRT(Inputs!$B$10*Inputs!$B$11),0))</f>
        <v>506</v>
      </c>
      <c r="D2899" s="49">
        <f ca="1">C2899*Inputs!$B$12</f>
        <v>60720000</v>
      </c>
    </row>
    <row r="2900" spans="1:4" ht="13.5" customHeight="1" x14ac:dyDescent="0.3">
      <c r="A2900" s="50">
        <v>2896</v>
      </c>
      <c r="B2900" s="51">
        <f t="shared" ca="1" si="45"/>
        <v>0.20323949675983422</v>
      </c>
      <c r="C2900" s="48">
        <f t="array" aca="1" ref="C2900" ca="1">MAX(0,ROUND(Inputs!$B$10*Inputs!$B$11+NORMSINV(B2900)*SQRT(Inputs!$B$10*Inputs!$B$11),0))</f>
        <v>481</v>
      </c>
      <c r="D2900" s="52">
        <f ca="1">C2900*Inputs!$B$12</f>
        <v>57720000</v>
      </c>
    </row>
    <row r="2901" spans="1:4" ht="13.5" customHeight="1" x14ac:dyDescent="0.3">
      <c r="A2901" s="46">
        <v>2897</v>
      </c>
      <c r="B2901" s="47">
        <f t="shared" ca="1" si="45"/>
        <v>0.59922332788530952</v>
      </c>
      <c r="C2901" s="48">
        <f t="array" aca="1" ref="C2901" ca="1">MAX(0,ROUND(Inputs!$B$10*Inputs!$B$11+NORMSINV(B2901)*SQRT(Inputs!$B$10*Inputs!$B$11),0))</f>
        <v>506</v>
      </c>
      <c r="D2901" s="49">
        <f ca="1">C2901*Inputs!$B$12</f>
        <v>60720000</v>
      </c>
    </row>
    <row r="2902" spans="1:4" ht="13.5" customHeight="1" x14ac:dyDescent="0.3">
      <c r="A2902" s="50">
        <v>2898</v>
      </c>
      <c r="B2902" s="51">
        <f t="shared" ca="1" si="45"/>
        <v>5.1365038765325277E-3</v>
      </c>
      <c r="C2902" s="48">
        <f t="array" aca="1" ref="C2902" ca="1">MAX(0,ROUND(Inputs!$B$10*Inputs!$B$11+NORMSINV(B2902)*SQRT(Inputs!$B$10*Inputs!$B$11),0))</f>
        <v>443</v>
      </c>
      <c r="D2902" s="52">
        <f ca="1">C2902*Inputs!$B$12</f>
        <v>53160000</v>
      </c>
    </row>
    <row r="2903" spans="1:4" ht="13.5" customHeight="1" x14ac:dyDescent="0.3">
      <c r="A2903" s="46">
        <v>2899</v>
      </c>
      <c r="B2903" s="47">
        <f t="shared" ca="1" si="45"/>
        <v>0.75467949651760458</v>
      </c>
      <c r="C2903" s="48">
        <f t="array" aca="1" ref="C2903" ca="1">MAX(0,ROUND(Inputs!$B$10*Inputs!$B$11+NORMSINV(B2903)*SQRT(Inputs!$B$10*Inputs!$B$11),0))</f>
        <v>515</v>
      </c>
      <c r="D2903" s="49">
        <f ca="1">C2903*Inputs!$B$12</f>
        <v>61800000</v>
      </c>
    </row>
    <row r="2904" spans="1:4" ht="13.5" customHeight="1" x14ac:dyDescent="0.3">
      <c r="A2904" s="50">
        <v>2900</v>
      </c>
      <c r="B2904" s="51">
        <f t="shared" ca="1" si="45"/>
        <v>4.7583547898146672E-2</v>
      </c>
      <c r="C2904" s="48">
        <f t="array" aca="1" ref="C2904" ca="1">MAX(0,ROUND(Inputs!$B$10*Inputs!$B$11+NORMSINV(B2904)*SQRT(Inputs!$B$10*Inputs!$B$11),0))</f>
        <v>463</v>
      </c>
      <c r="D2904" s="52">
        <f ca="1">C2904*Inputs!$B$12</f>
        <v>55560000</v>
      </c>
    </row>
    <row r="2905" spans="1:4" ht="13.5" customHeight="1" x14ac:dyDescent="0.3">
      <c r="A2905" s="46">
        <v>2901</v>
      </c>
      <c r="B2905" s="47">
        <f t="shared" ca="1" si="45"/>
        <v>0.8168506095111121</v>
      </c>
      <c r="C2905" s="48">
        <f t="array" aca="1" ref="C2905" ca="1">MAX(0,ROUND(Inputs!$B$10*Inputs!$B$11+NORMSINV(B2905)*SQRT(Inputs!$B$10*Inputs!$B$11),0))</f>
        <v>520</v>
      </c>
      <c r="D2905" s="49">
        <f ca="1">C2905*Inputs!$B$12</f>
        <v>62400000</v>
      </c>
    </row>
    <row r="2906" spans="1:4" ht="13.5" customHeight="1" x14ac:dyDescent="0.3">
      <c r="A2906" s="50">
        <v>2902</v>
      </c>
      <c r="B2906" s="51">
        <f t="shared" ca="1" si="45"/>
        <v>0.45137250386274352</v>
      </c>
      <c r="C2906" s="48">
        <f t="array" aca="1" ref="C2906" ca="1">MAX(0,ROUND(Inputs!$B$10*Inputs!$B$11+NORMSINV(B2906)*SQRT(Inputs!$B$10*Inputs!$B$11),0))</f>
        <v>497</v>
      </c>
      <c r="D2906" s="52">
        <f ca="1">C2906*Inputs!$B$12</f>
        <v>59640000</v>
      </c>
    </row>
    <row r="2907" spans="1:4" ht="13.5" customHeight="1" x14ac:dyDescent="0.3">
      <c r="A2907" s="46">
        <v>2903</v>
      </c>
      <c r="B2907" s="47">
        <f t="shared" ca="1" si="45"/>
        <v>0.55045302944248042</v>
      </c>
      <c r="C2907" s="48">
        <f t="array" aca="1" ref="C2907" ca="1">MAX(0,ROUND(Inputs!$B$10*Inputs!$B$11+NORMSINV(B2907)*SQRT(Inputs!$B$10*Inputs!$B$11),0))</f>
        <v>503</v>
      </c>
      <c r="D2907" s="49">
        <f ca="1">C2907*Inputs!$B$12</f>
        <v>60360000</v>
      </c>
    </row>
    <row r="2908" spans="1:4" ht="13.5" customHeight="1" x14ac:dyDescent="0.3">
      <c r="A2908" s="50">
        <v>2904</v>
      </c>
      <c r="B2908" s="51">
        <f t="shared" ca="1" si="45"/>
        <v>0.66743231501548195</v>
      </c>
      <c r="C2908" s="48">
        <f t="array" aca="1" ref="C2908" ca="1">MAX(0,ROUND(Inputs!$B$10*Inputs!$B$11+NORMSINV(B2908)*SQRT(Inputs!$B$10*Inputs!$B$11),0))</f>
        <v>510</v>
      </c>
      <c r="D2908" s="52">
        <f ca="1">C2908*Inputs!$B$12</f>
        <v>61200000</v>
      </c>
    </row>
    <row r="2909" spans="1:4" ht="13.5" customHeight="1" x14ac:dyDescent="0.3">
      <c r="A2909" s="46">
        <v>2905</v>
      </c>
      <c r="B2909" s="47">
        <f t="shared" ca="1" si="45"/>
        <v>0.48912130400970366</v>
      </c>
      <c r="C2909" s="48">
        <f t="array" aca="1" ref="C2909" ca="1">MAX(0,ROUND(Inputs!$B$10*Inputs!$B$11+NORMSINV(B2909)*SQRT(Inputs!$B$10*Inputs!$B$11),0))</f>
        <v>499</v>
      </c>
      <c r="D2909" s="49">
        <f ca="1">C2909*Inputs!$B$12</f>
        <v>59880000</v>
      </c>
    </row>
    <row r="2910" spans="1:4" ht="13.5" customHeight="1" x14ac:dyDescent="0.3">
      <c r="A2910" s="50">
        <v>2906</v>
      </c>
      <c r="B2910" s="51">
        <f t="shared" ca="1" si="45"/>
        <v>0.67179626570624906</v>
      </c>
      <c r="C2910" s="48">
        <f t="array" aca="1" ref="C2910" ca="1">MAX(0,ROUND(Inputs!$B$10*Inputs!$B$11+NORMSINV(B2910)*SQRT(Inputs!$B$10*Inputs!$B$11),0))</f>
        <v>510</v>
      </c>
      <c r="D2910" s="52">
        <f ca="1">C2910*Inputs!$B$12</f>
        <v>61200000</v>
      </c>
    </row>
    <row r="2911" spans="1:4" ht="13.5" customHeight="1" x14ac:dyDescent="0.3">
      <c r="A2911" s="46">
        <v>2907</v>
      </c>
      <c r="B2911" s="47">
        <f t="shared" ca="1" si="45"/>
        <v>7.9881490347868844E-2</v>
      </c>
      <c r="C2911" s="48">
        <f t="array" aca="1" ref="C2911" ca="1">MAX(0,ROUND(Inputs!$B$10*Inputs!$B$11+NORMSINV(B2911)*SQRT(Inputs!$B$10*Inputs!$B$11),0))</f>
        <v>469</v>
      </c>
      <c r="D2911" s="49">
        <f ca="1">C2911*Inputs!$B$12</f>
        <v>56280000</v>
      </c>
    </row>
    <row r="2912" spans="1:4" ht="13.5" customHeight="1" x14ac:dyDescent="0.3">
      <c r="A2912" s="50">
        <v>2908</v>
      </c>
      <c r="B2912" s="51">
        <f t="shared" ca="1" si="45"/>
        <v>0.27612140048645029</v>
      </c>
      <c r="C2912" s="48">
        <f t="array" aca="1" ref="C2912" ca="1">MAX(0,ROUND(Inputs!$B$10*Inputs!$B$11+NORMSINV(B2912)*SQRT(Inputs!$B$10*Inputs!$B$11),0))</f>
        <v>487</v>
      </c>
      <c r="D2912" s="52">
        <f ca="1">C2912*Inputs!$B$12</f>
        <v>58440000</v>
      </c>
    </row>
    <row r="2913" spans="1:4" ht="13.5" customHeight="1" x14ac:dyDescent="0.3">
      <c r="A2913" s="46">
        <v>2909</v>
      </c>
      <c r="B2913" s="47">
        <f t="shared" ca="1" si="45"/>
        <v>0.64631879615558874</v>
      </c>
      <c r="C2913" s="48">
        <f t="array" aca="1" ref="C2913" ca="1">MAX(0,ROUND(Inputs!$B$10*Inputs!$B$11+NORMSINV(B2913)*SQRT(Inputs!$B$10*Inputs!$B$11),0))</f>
        <v>508</v>
      </c>
      <c r="D2913" s="49">
        <f ca="1">C2913*Inputs!$B$12</f>
        <v>60960000</v>
      </c>
    </row>
    <row r="2914" spans="1:4" ht="13.5" customHeight="1" x14ac:dyDescent="0.3">
      <c r="A2914" s="50">
        <v>2910</v>
      </c>
      <c r="B2914" s="51">
        <f t="shared" ca="1" si="45"/>
        <v>0.57815579166849063</v>
      </c>
      <c r="C2914" s="48">
        <f t="array" aca="1" ref="C2914" ca="1">MAX(0,ROUND(Inputs!$B$10*Inputs!$B$11+NORMSINV(B2914)*SQRT(Inputs!$B$10*Inputs!$B$11),0))</f>
        <v>504</v>
      </c>
      <c r="D2914" s="52">
        <f ca="1">C2914*Inputs!$B$12</f>
        <v>60480000</v>
      </c>
    </row>
    <row r="2915" spans="1:4" ht="13.5" customHeight="1" x14ac:dyDescent="0.3">
      <c r="A2915" s="46">
        <v>2911</v>
      </c>
      <c r="B2915" s="47">
        <f t="shared" ca="1" si="45"/>
        <v>0.41153087559943824</v>
      </c>
      <c r="C2915" s="48">
        <f t="array" aca="1" ref="C2915" ca="1">MAX(0,ROUND(Inputs!$B$10*Inputs!$B$11+NORMSINV(B2915)*SQRT(Inputs!$B$10*Inputs!$B$11),0))</f>
        <v>495</v>
      </c>
      <c r="D2915" s="49">
        <f ca="1">C2915*Inputs!$B$12</f>
        <v>59400000</v>
      </c>
    </row>
    <row r="2916" spans="1:4" ht="13.5" customHeight="1" x14ac:dyDescent="0.3">
      <c r="A2916" s="50">
        <v>2912</v>
      </c>
      <c r="B2916" s="51">
        <f t="shared" ca="1" si="45"/>
        <v>0.14101484729083436</v>
      </c>
      <c r="C2916" s="48">
        <f t="array" aca="1" ref="C2916" ca="1">MAX(0,ROUND(Inputs!$B$10*Inputs!$B$11+NORMSINV(B2916)*SQRT(Inputs!$B$10*Inputs!$B$11),0))</f>
        <v>476</v>
      </c>
      <c r="D2916" s="52">
        <f ca="1">C2916*Inputs!$B$12</f>
        <v>57120000</v>
      </c>
    </row>
    <row r="2917" spans="1:4" ht="13.5" customHeight="1" x14ac:dyDescent="0.3">
      <c r="A2917" s="46">
        <v>2913</v>
      </c>
      <c r="B2917" s="47">
        <f t="shared" ca="1" si="45"/>
        <v>0.24353685683092252</v>
      </c>
      <c r="C2917" s="48">
        <f t="array" aca="1" ref="C2917" ca="1">MAX(0,ROUND(Inputs!$B$10*Inputs!$B$11+NORMSINV(B2917)*SQRT(Inputs!$B$10*Inputs!$B$11),0))</f>
        <v>484</v>
      </c>
      <c r="D2917" s="49">
        <f ca="1">C2917*Inputs!$B$12</f>
        <v>58080000</v>
      </c>
    </row>
    <row r="2918" spans="1:4" ht="13.5" customHeight="1" x14ac:dyDescent="0.3">
      <c r="A2918" s="50">
        <v>2914</v>
      </c>
      <c r="B2918" s="51">
        <f t="shared" ca="1" si="45"/>
        <v>0.90084588135066213</v>
      </c>
      <c r="C2918" s="48">
        <f t="array" aca="1" ref="C2918" ca="1">MAX(0,ROUND(Inputs!$B$10*Inputs!$B$11+NORMSINV(B2918)*SQRT(Inputs!$B$10*Inputs!$B$11),0))</f>
        <v>529</v>
      </c>
      <c r="D2918" s="52">
        <f ca="1">C2918*Inputs!$B$12</f>
        <v>63480000</v>
      </c>
    </row>
    <row r="2919" spans="1:4" ht="13.5" customHeight="1" x14ac:dyDescent="0.3">
      <c r="A2919" s="46">
        <v>2915</v>
      </c>
      <c r="B2919" s="47">
        <f t="shared" ca="1" si="45"/>
        <v>0.6976754834756751</v>
      </c>
      <c r="C2919" s="48">
        <f t="array" aca="1" ref="C2919" ca="1">MAX(0,ROUND(Inputs!$B$10*Inputs!$B$11+NORMSINV(B2919)*SQRT(Inputs!$B$10*Inputs!$B$11),0))</f>
        <v>512</v>
      </c>
      <c r="D2919" s="49">
        <f ca="1">C2919*Inputs!$B$12</f>
        <v>61440000</v>
      </c>
    </row>
    <row r="2920" spans="1:4" ht="13.5" customHeight="1" x14ac:dyDescent="0.3">
      <c r="A2920" s="50">
        <v>2916</v>
      </c>
      <c r="B2920" s="51">
        <f t="shared" ca="1" si="45"/>
        <v>0.66384541272041542</v>
      </c>
      <c r="C2920" s="48">
        <f t="array" aca="1" ref="C2920" ca="1">MAX(0,ROUND(Inputs!$B$10*Inputs!$B$11+NORMSINV(B2920)*SQRT(Inputs!$B$10*Inputs!$B$11),0))</f>
        <v>509</v>
      </c>
      <c r="D2920" s="52">
        <f ca="1">C2920*Inputs!$B$12</f>
        <v>61080000</v>
      </c>
    </row>
    <row r="2921" spans="1:4" ht="13.5" customHeight="1" x14ac:dyDescent="0.3">
      <c r="A2921" s="46">
        <v>2917</v>
      </c>
      <c r="B2921" s="47">
        <f t="shared" ca="1" si="45"/>
        <v>2.3272703653764548E-2</v>
      </c>
      <c r="C2921" s="48">
        <f t="array" aca="1" ref="C2921" ca="1">MAX(0,ROUND(Inputs!$B$10*Inputs!$B$11+NORMSINV(B2921)*SQRT(Inputs!$B$10*Inputs!$B$11),0))</f>
        <v>455</v>
      </c>
      <c r="D2921" s="49">
        <f ca="1">C2921*Inputs!$B$12</f>
        <v>54600000</v>
      </c>
    </row>
    <row r="2922" spans="1:4" ht="13.5" customHeight="1" x14ac:dyDescent="0.3">
      <c r="A2922" s="50">
        <v>2918</v>
      </c>
      <c r="B2922" s="51">
        <f t="shared" ca="1" si="45"/>
        <v>0.8658091885813336</v>
      </c>
      <c r="C2922" s="48">
        <f t="array" aca="1" ref="C2922" ca="1">MAX(0,ROUND(Inputs!$B$10*Inputs!$B$11+NORMSINV(B2922)*SQRT(Inputs!$B$10*Inputs!$B$11),0))</f>
        <v>525</v>
      </c>
      <c r="D2922" s="52">
        <f ca="1">C2922*Inputs!$B$12</f>
        <v>63000000</v>
      </c>
    </row>
    <row r="2923" spans="1:4" ht="13.5" customHeight="1" x14ac:dyDescent="0.3">
      <c r="A2923" s="46">
        <v>2919</v>
      </c>
      <c r="B2923" s="47">
        <f t="shared" ca="1" si="45"/>
        <v>0.80824174594535059</v>
      </c>
      <c r="C2923" s="48">
        <f t="array" aca="1" ref="C2923" ca="1">MAX(0,ROUND(Inputs!$B$10*Inputs!$B$11+NORMSINV(B2923)*SQRT(Inputs!$B$10*Inputs!$B$11),0))</f>
        <v>519</v>
      </c>
      <c r="D2923" s="49">
        <f ca="1">C2923*Inputs!$B$12</f>
        <v>62280000</v>
      </c>
    </row>
    <row r="2924" spans="1:4" ht="13.5" customHeight="1" x14ac:dyDescent="0.3">
      <c r="A2924" s="50">
        <v>2920</v>
      </c>
      <c r="B2924" s="51">
        <f t="shared" ca="1" si="45"/>
        <v>0.99257334431142974</v>
      </c>
      <c r="C2924" s="48">
        <f t="array" aca="1" ref="C2924" ca="1">MAX(0,ROUND(Inputs!$B$10*Inputs!$B$11+NORMSINV(B2924)*SQRT(Inputs!$B$10*Inputs!$B$11),0))</f>
        <v>554</v>
      </c>
      <c r="D2924" s="52">
        <f ca="1">C2924*Inputs!$B$12</f>
        <v>66480000</v>
      </c>
    </row>
    <row r="2925" spans="1:4" ht="13.5" customHeight="1" x14ac:dyDescent="0.3">
      <c r="A2925" s="46">
        <v>2921</v>
      </c>
      <c r="B2925" s="47">
        <f t="shared" ca="1" si="45"/>
        <v>0.31907412295274817</v>
      </c>
      <c r="C2925" s="48">
        <f t="array" aca="1" ref="C2925" ca="1">MAX(0,ROUND(Inputs!$B$10*Inputs!$B$11+NORMSINV(B2925)*SQRT(Inputs!$B$10*Inputs!$B$11),0))</f>
        <v>489</v>
      </c>
      <c r="D2925" s="49">
        <f ca="1">C2925*Inputs!$B$12</f>
        <v>58680000</v>
      </c>
    </row>
    <row r="2926" spans="1:4" ht="13.5" customHeight="1" x14ac:dyDescent="0.3">
      <c r="A2926" s="50">
        <v>2922</v>
      </c>
      <c r="B2926" s="51">
        <f t="shared" ca="1" si="45"/>
        <v>0.67494430021750129</v>
      </c>
      <c r="C2926" s="48">
        <f t="array" aca="1" ref="C2926" ca="1">MAX(0,ROUND(Inputs!$B$10*Inputs!$B$11+NORMSINV(B2926)*SQRT(Inputs!$B$10*Inputs!$B$11),0))</f>
        <v>510</v>
      </c>
      <c r="D2926" s="52">
        <f ca="1">C2926*Inputs!$B$12</f>
        <v>61200000</v>
      </c>
    </row>
    <row r="2927" spans="1:4" ht="13.5" customHeight="1" x14ac:dyDescent="0.3">
      <c r="A2927" s="46">
        <v>2923</v>
      </c>
      <c r="B2927" s="47">
        <f t="shared" ca="1" si="45"/>
        <v>0.29643667592920253</v>
      </c>
      <c r="C2927" s="48">
        <f t="array" aca="1" ref="C2927" ca="1">MAX(0,ROUND(Inputs!$B$10*Inputs!$B$11+NORMSINV(B2927)*SQRT(Inputs!$B$10*Inputs!$B$11),0))</f>
        <v>488</v>
      </c>
      <c r="D2927" s="49">
        <f ca="1">C2927*Inputs!$B$12</f>
        <v>58560000</v>
      </c>
    </row>
    <row r="2928" spans="1:4" ht="13.5" customHeight="1" x14ac:dyDescent="0.3">
      <c r="A2928" s="50">
        <v>2924</v>
      </c>
      <c r="B2928" s="51">
        <f t="shared" ca="1" si="45"/>
        <v>0.55738665212996519</v>
      </c>
      <c r="C2928" s="48">
        <f t="array" aca="1" ref="C2928" ca="1">MAX(0,ROUND(Inputs!$B$10*Inputs!$B$11+NORMSINV(B2928)*SQRT(Inputs!$B$10*Inputs!$B$11),0))</f>
        <v>503</v>
      </c>
      <c r="D2928" s="52">
        <f ca="1">C2928*Inputs!$B$12</f>
        <v>60360000</v>
      </c>
    </row>
    <row r="2929" spans="1:4" ht="13.5" customHeight="1" x14ac:dyDescent="0.3">
      <c r="A2929" s="46">
        <v>2925</v>
      </c>
      <c r="B2929" s="47">
        <f t="shared" ca="1" si="45"/>
        <v>0.46762578347990602</v>
      </c>
      <c r="C2929" s="48">
        <f t="array" aca="1" ref="C2929" ca="1">MAX(0,ROUND(Inputs!$B$10*Inputs!$B$11+NORMSINV(B2929)*SQRT(Inputs!$B$10*Inputs!$B$11),0))</f>
        <v>498</v>
      </c>
      <c r="D2929" s="49">
        <f ca="1">C2929*Inputs!$B$12</f>
        <v>59760000</v>
      </c>
    </row>
    <row r="2930" spans="1:4" ht="13.5" customHeight="1" x14ac:dyDescent="0.3">
      <c r="A2930" s="50">
        <v>2926</v>
      </c>
      <c r="B2930" s="51">
        <f t="shared" ca="1" si="45"/>
        <v>4.7875626122748982E-2</v>
      </c>
      <c r="C2930" s="48">
        <f t="array" aca="1" ref="C2930" ca="1">MAX(0,ROUND(Inputs!$B$10*Inputs!$B$11+NORMSINV(B2930)*SQRT(Inputs!$B$10*Inputs!$B$11),0))</f>
        <v>463</v>
      </c>
      <c r="D2930" s="52">
        <f ca="1">C2930*Inputs!$B$12</f>
        <v>55560000</v>
      </c>
    </row>
    <row r="2931" spans="1:4" ht="13.5" customHeight="1" x14ac:dyDescent="0.3">
      <c r="A2931" s="46">
        <v>2927</v>
      </c>
      <c r="B2931" s="47">
        <f t="shared" ca="1" si="45"/>
        <v>0.19079980801703944</v>
      </c>
      <c r="C2931" s="48">
        <f t="array" aca="1" ref="C2931" ca="1">MAX(0,ROUND(Inputs!$B$10*Inputs!$B$11+NORMSINV(B2931)*SQRT(Inputs!$B$10*Inputs!$B$11),0))</f>
        <v>480</v>
      </c>
      <c r="D2931" s="49">
        <f ca="1">C2931*Inputs!$B$12</f>
        <v>57600000</v>
      </c>
    </row>
    <row r="2932" spans="1:4" ht="13.5" customHeight="1" x14ac:dyDescent="0.3">
      <c r="A2932" s="50">
        <v>2928</v>
      </c>
      <c r="B2932" s="51">
        <f t="shared" ca="1" si="45"/>
        <v>0.50946137787616508</v>
      </c>
      <c r="C2932" s="48">
        <f t="array" aca="1" ref="C2932" ca="1">MAX(0,ROUND(Inputs!$B$10*Inputs!$B$11+NORMSINV(B2932)*SQRT(Inputs!$B$10*Inputs!$B$11),0))</f>
        <v>501</v>
      </c>
      <c r="D2932" s="52">
        <f ca="1">C2932*Inputs!$B$12</f>
        <v>60120000</v>
      </c>
    </row>
    <row r="2933" spans="1:4" ht="13.5" customHeight="1" x14ac:dyDescent="0.3">
      <c r="A2933" s="46">
        <v>2929</v>
      </c>
      <c r="B2933" s="47">
        <f t="shared" ca="1" si="45"/>
        <v>2.2114121405719667E-2</v>
      </c>
      <c r="C2933" s="48">
        <f t="array" aca="1" ref="C2933" ca="1">MAX(0,ROUND(Inputs!$B$10*Inputs!$B$11+NORMSINV(B2933)*SQRT(Inputs!$B$10*Inputs!$B$11),0))</f>
        <v>455</v>
      </c>
      <c r="D2933" s="49">
        <f ca="1">C2933*Inputs!$B$12</f>
        <v>54600000</v>
      </c>
    </row>
    <row r="2934" spans="1:4" ht="13.5" customHeight="1" x14ac:dyDescent="0.3">
      <c r="A2934" s="50">
        <v>2930</v>
      </c>
      <c r="B2934" s="51">
        <f t="shared" ca="1" si="45"/>
        <v>0.4896619479747244</v>
      </c>
      <c r="C2934" s="48">
        <f t="array" aca="1" ref="C2934" ca="1">MAX(0,ROUND(Inputs!$B$10*Inputs!$B$11+NORMSINV(B2934)*SQRT(Inputs!$B$10*Inputs!$B$11),0))</f>
        <v>499</v>
      </c>
      <c r="D2934" s="52">
        <f ca="1">C2934*Inputs!$B$12</f>
        <v>59880000</v>
      </c>
    </row>
    <row r="2935" spans="1:4" ht="13.5" customHeight="1" x14ac:dyDescent="0.3">
      <c r="A2935" s="46">
        <v>2931</v>
      </c>
      <c r="B2935" s="47">
        <f t="shared" ca="1" si="45"/>
        <v>0.99725231692008687</v>
      </c>
      <c r="C2935" s="48">
        <f t="array" aca="1" ref="C2935" ca="1">MAX(0,ROUND(Inputs!$B$10*Inputs!$B$11+NORMSINV(B2935)*SQRT(Inputs!$B$10*Inputs!$B$11),0))</f>
        <v>562</v>
      </c>
      <c r="D2935" s="49">
        <f ca="1">C2935*Inputs!$B$12</f>
        <v>67440000</v>
      </c>
    </row>
    <row r="2936" spans="1:4" ht="13.5" customHeight="1" x14ac:dyDescent="0.3">
      <c r="A2936" s="50">
        <v>2932</v>
      </c>
      <c r="B2936" s="51">
        <f t="shared" ca="1" si="45"/>
        <v>0.82359601615333045</v>
      </c>
      <c r="C2936" s="48">
        <f t="array" aca="1" ref="C2936" ca="1">MAX(0,ROUND(Inputs!$B$10*Inputs!$B$11+NORMSINV(B2936)*SQRT(Inputs!$B$10*Inputs!$B$11),0))</f>
        <v>521</v>
      </c>
      <c r="D2936" s="52">
        <f ca="1">C2936*Inputs!$B$12</f>
        <v>62520000</v>
      </c>
    </row>
    <row r="2937" spans="1:4" ht="13.5" customHeight="1" x14ac:dyDescent="0.3">
      <c r="A2937" s="46">
        <v>2933</v>
      </c>
      <c r="B2937" s="47">
        <f t="shared" ca="1" si="45"/>
        <v>0.71737699558294921</v>
      </c>
      <c r="C2937" s="48">
        <f t="array" aca="1" ref="C2937" ca="1">MAX(0,ROUND(Inputs!$B$10*Inputs!$B$11+NORMSINV(B2937)*SQRT(Inputs!$B$10*Inputs!$B$11),0))</f>
        <v>513</v>
      </c>
      <c r="D2937" s="49">
        <f ca="1">C2937*Inputs!$B$12</f>
        <v>61560000</v>
      </c>
    </row>
    <row r="2938" spans="1:4" ht="13.5" customHeight="1" x14ac:dyDescent="0.3">
      <c r="A2938" s="50">
        <v>2934</v>
      </c>
      <c r="B2938" s="51">
        <f t="shared" ca="1" si="45"/>
        <v>0.39644046825495516</v>
      </c>
      <c r="C2938" s="48">
        <f t="array" aca="1" ref="C2938" ca="1">MAX(0,ROUND(Inputs!$B$10*Inputs!$B$11+NORMSINV(B2938)*SQRT(Inputs!$B$10*Inputs!$B$11),0))</f>
        <v>494</v>
      </c>
      <c r="D2938" s="52">
        <f ca="1">C2938*Inputs!$B$12</f>
        <v>59280000</v>
      </c>
    </row>
    <row r="2939" spans="1:4" ht="13.5" customHeight="1" x14ac:dyDescent="0.3">
      <c r="A2939" s="46">
        <v>2935</v>
      </c>
      <c r="B2939" s="47">
        <f t="shared" ca="1" si="45"/>
        <v>0.60548076651704064</v>
      </c>
      <c r="C2939" s="48">
        <f t="array" aca="1" ref="C2939" ca="1">MAX(0,ROUND(Inputs!$B$10*Inputs!$B$11+NORMSINV(B2939)*SQRT(Inputs!$B$10*Inputs!$B$11),0))</f>
        <v>506</v>
      </c>
      <c r="D2939" s="49">
        <f ca="1">C2939*Inputs!$B$12</f>
        <v>60720000</v>
      </c>
    </row>
    <row r="2940" spans="1:4" ht="13.5" customHeight="1" x14ac:dyDescent="0.3">
      <c r="A2940" s="50">
        <v>2936</v>
      </c>
      <c r="B2940" s="51">
        <f t="shared" ca="1" si="45"/>
        <v>0.55417505586737703</v>
      </c>
      <c r="C2940" s="48">
        <f t="array" aca="1" ref="C2940" ca="1">MAX(0,ROUND(Inputs!$B$10*Inputs!$B$11+NORMSINV(B2940)*SQRT(Inputs!$B$10*Inputs!$B$11),0))</f>
        <v>503</v>
      </c>
      <c r="D2940" s="52">
        <f ca="1">C2940*Inputs!$B$12</f>
        <v>60360000</v>
      </c>
    </row>
    <row r="2941" spans="1:4" ht="13.5" customHeight="1" x14ac:dyDescent="0.3">
      <c r="A2941" s="46">
        <v>2937</v>
      </c>
      <c r="B2941" s="47">
        <f t="shared" ca="1" si="45"/>
        <v>0.58574174407701085</v>
      </c>
      <c r="C2941" s="48">
        <f t="array" aca="1" ref="C2941" ca="1">MAX(0,ROUND(Inputs!$B$10*Inputs!$B$11+NORMSINV(B2941)*SQRT(Inputs!$B$10*Inputs!$B$11),0))</f>
        <v>505</v>
      </c>
      <c r="D2941" s="49">
        <f ca="1">C2941*Inputs!$B$12</f>
        <v>60600000</v>
      </c>
    </row>
    <row r="2942" spans="1:4" ht="13.5" customHeight="1" x14ac:dyDescent="0.3">
      <c r="A2942" s="50">
        <v>2938</v>
      </c>
      <c r="B2942" s="51">
        <f t="shared" ca="1" si="45"/>
        <v>0.12258965880465422</v>
      </c>
      <c r="C2942" s="48">
        <f t="array" aca="1" ref="C2942" ca="1">MAX(0,ROUND(Inputs!$B$10*Inputs!$B$11+NORMSINV(B2942)*SQRT(Inputs!$B$10*Inputs!$B$11),0))</f>
        <v>474</v>
      </c>
      <c r="D2942" s="52">
        <f ca="1">C2942*Inputs!$B$12</f>
        <v>56880000</v>
      </c>
    </row>
    <row r="2943" spans="1:4" ht="13.5" customHeight="1" x14ac:dyDescent="0.3">
      <c r="A2943" s="46">
        <v>2939</v>
      </c>
      <c r="B2943" s="47">
        <f t="shared" ca="1" si="45"/>
        <v>0.43333308213982769</v>
      </c>
      <c r="C2943" s="48">
        <f t="array" aca="1" ref="C2943" ca="1">MAX(0,ROUND(Inputs!$B$10*Inputs!$B$11+NORMSINV(B2943)*SQRT(Inputs!$B$10*Inputs!$B$11),0))</f>
        <v>496</v>
      </c>
      <c r="D2943" s="49">
        <f ca="1">C2943*Inputs!$B$12</f>
        <v>59520000</v>
      </c>
    </row>
    <row r="2944" spans="1:4" ht="13.5" customHeight="1" x14ac:dyDescent="0.3">
      <c r="A2944" s="50">
        <v>2940</v>
      </c>
      <c r="B2944" s="51">
        <f t="shared" ca="1" si="45"/>
        <v>0.60391716560477338</v>
      </c>
      <c r="C2944" s="48">
        <f t="array" aca="1" ref="C2944" ca="1">MAX(0,ROUND(Inputs!$B$10*Inputs!$B$11+NORMSINV(B2944)*SQRT(Inputs!$B$10*Inputs!$B$11),0))</f>
        <v>506</v>
      </c>
      <c r="D2944" s="52">
        <f ca="1">C2944*Inputs!$B$12</f>
        <v>60720000</v>
      </c>
    </row>
    <row r="2945" spans="1:4" ht="13.5" customHeight="1" x14ac:dyDescent="0.3">
      <c r="A2945" s="46">
        <v>2941</v>
      </c>
      <c r="B2945" s="47">
        <f t="shared" ca="1" si="45"/>
        <v>0.73139470423975483</v>
      </c>
      <c r="C2945" s="48">
        <f t="array" aca="1" ref="C2945" ca="1">MAX(0,ROUND(Inputs!$B$10*Inputs!$B$11+NORMSINV(B2945)*SQRT(Inputs!$B$10*Inputs!$B$11),0))</f>
        <v>514</v>
      </c>
      <c r="D2945" s="49">
        <f ca="1">C2945*Inputs!$B$12</f>
        <v>61680000</v>
      </c>
    </row>
    <row r="2946" spans="1:4" ht="13.5" customHeight="1" x14ac:dyDescent="0.3">
      <c r="A2946" s="50">
        <v>2942</v>
      </c>
      <c r="B2946" s="51">
        <f t="shared" ca="1" si="45"/>
        <v>0.28591277074217669</v>
      </c>
      <c r="C2946" s="48">
        <f t="array" aca="1" ref="C2946" ca="1">MAX(0,ROUND(Inputs!$B$10*Inputs!$B$11+NORMSINV(B2946)*SQRT(Inputs!$B$10*Inputs!$B$11),0))</f>
        <v>487</v>
      </c>
      <c r="D2946" s="52">
        <f ca="1">C2946*Inputs!$B$12</f>
        <v>58440000</v>
      </c>
    </row>
    <row r="2947" spans="1:4" ht="13.5" customHeight="1" x14ac:dyDescent="0.3">
      <c r="A2947" s="46">
        <v>2943</v>
      </c>
      <c r="B2947" s="47">
        <f t="shared" ca="1" si="45"/>
        <v>0.99467176411031488</v>
      </c>
      <c r="C2947" s="48">
        <f t="array" aca="1" ref="C2947" ca="1">MAX(0,ROUND(Inputs!$B$10*Inputs!$B$11+NORMSINV(B2947)*SQRT(Inputs!$B$10*Inputs!$B$11),0))</f>
        <v>557</v>
      </c>
      <c r="D2947" s="49">
        <f ca="1">C2947*Inputs!$B$12</f>
        <v>66840000</v>
      </c>
    </row>
    <row r="2948" spans="1:4" ht="13.5" customHeight="1" x14ac:dyDescent="0.3">
      <c r="A2948" s="50">
        <v>2944</v>
      </c>
      <c r="B2948" s="51">
        <f t="shared" ca="1" si="45"/>
        <v>0.87839519209596706</v>
      </c>
      <c r="C2948" s="48">
        <f t="array" aca="1" ref="C2948" ca="1">MAX(0,ROUND(Inputs!$B$10*Inputs!$B$11+NORMSINV(B2948)*SQRT(Inputs!$B$10*Inputs!$B$11),0))</f>
        <v>526</v>
      </c>
      <c r="D2948" s="52">
        <f ca="1">C2948*Inputs!$B$12</f>
        <v>63120000</v>
      </c>
    </row>
    <row r="2949" spans="1:4" ht="13.5" customHeight="1" x14ac:dyDescent="0.3">
      <c r="A2949" s="46">
        <v>2945</v>
      </c>
      <c r="B2949" s="47">
        <f t="shared" ref="B2949:B3012" ca="1" si="46">RAND()</f>
        <v>0.65397133076504077</v>
      </c>
      <c r="C2949" s="48">
        <f t="array" aca="1" ref="C2949" ca="1">MAX(0,ROUND(Inputs!$B$10*Inputs!$B$11+NORMSINV(B2949)*SQRT(Inputs!$B$10*Inputs!$B$11),0))</f>
        <v>509</v>
      </c>
      <c r="D2949" s="49">
        <f ca="1">C2949*Inputs!$B$12</f>
        <v>61080000</v>
      </c>
    </row>
    <row r="2950" spans="1:4" ht="13.5" customHeight="1" x14ac:dyDescent="0.3">
      <c r="A2950" s="50">
        <v>2946</v>
      </c>
      <c r="B2950" s="51">
        <f t="shared" ca="1" si="46"/>
        <v>0.3517797336211117</v>
      </c>
      <c r="C2950" s="48">
        <f t="array" aca="1" ref="C2950" ca="1">MAX(0,ROUND(Inputs!$B$10*Inputs!$B$11+NORMSINV(B2950)*SQRT(Inputs!$B$10*Inputs!$B$11),0))</f>
        <v>491</v>
      </c>
      <c r="D2950" s="52">
        <f ca="1">C2950*Inputs!$B$12</f>
        <v>58920000</v>
      </c>
    </row>
    <row r="2951" spans="1:4" ht="13.5" customHeight="1" x14ac:dyDescent="0.3">
      <c r="A2951" s="46">
        <v>2947</v>
      </c>
      <c r="B2951" s="47">
        <f t="shared" ca="1" si="46"/>
        <v>0.36078913259285128</v>
      </c>
      <c r="C2951" s="48">
        <f t="array" aca="1" ref="C2951" ca="1">MAX(0,ROUND(Inputs!$B$10*Inputs!$B$11+NORMSINV(B2951)*SQRT(Inputs!$B$10*Inputs!$B$11),0))</f>
        <v>492</v>
      </c>
      <c r="D2951" s="49">
        <f ca="1">C2951*Inputs!$B$12</f>
        <v>59040000</v>
      </c>
    </row>
    <row r="2952" spans="1:4" ht="13.5" customHeight="1" x14ac:dyDescent="0.3">
      <c r="A2952" s="50">
        <v>2948</v>
      </c>
      <c r="B2952" s="51">
        <f t="shared" ca="1" si="46"/>
        <v>0.557005058503249</v>
      </c>
      <c r="C2952" s="48">
        <f t="array" aca="1" ref="C2952" ca="1">MAX(0,ROUND(Inputs!$B$10*Inputs!$B$11+NORMSINV(B2952)*SQRT(Inputs!$B$10*Inputs!$B$11),0))</f>
        <v>503</v>
      </c>
      <c r="D2952" s="52">
        <f ca="1">C2952*Inputs!$B$12</f>
        <v>60360000</v>
      </c>
    </row>
    <row r="2953" spans="1:4" ht="13.5" customHeight="1" x14ac:dyDescent="0.3">
      <c r="A2953" s="46">
        <v>2949</v>
      </c>
      <c r="B2953" s="47">
        <f t="shared" ca="1" si="46"/>
        <v>0.28671467006137508</v>
      </c>
      <c r="C2953" s="48">
        <f t="array" aca="1" ref="C2953" ca="1">MAX(0,ROUND(Inputs!$B$10*Inputs!$B$11+NORMSINV(B2953)*SQRT(Inputs!$B$10*Inputs!$B$11),0))</f>
        <v>487</v>
      </c>
      <c r="D2953" s="49">
        <f ca="1">C2953*Inputs!$B$12</f>
        <v>58440000</v>
      </c>
    </row>
    <row r="2954" spans="1:4" ht="13.5" customHeight="1" x14ac:dyDescent="0.3">
      <c r="A2954" s="50">
        <v>2950</v>
      </c>
      <c r="B2954" s="51">
        <f t="shared" ca="1" si="46"/>
        <v>0.42926855331527103</v>
      </c>
      <c r="C2954" s="48">
        <f t="array" aca="1" ref="C2954" ca="1">MAX(0,ROUND(Inputs!$B$10*Inputs!$B$11+NORMSINV(B2954)*SQRT(Inputs!$B$10*Inputs!$B$11),0))</f>
        <v>496</v>
      </c>
      <c r="D2954" s="52">
        <f ca="1">C2954*Inputs!$B$12</f>
        <v>59520000</v>
      </c>
    </row>
    <row r="2955" spans="1:4" ht="13.5" customHeight="1" x14ac:dyDescent="0.3">
      <c r="A2955" s="46">
        <v>2951</v>
      </c>
      <c r="B2955" s="47">
        <f t="shared" ca="1" si="46"/>
        <v>0.36571007183049697</v>
      </c>
      <c r="C2955" s="48">
        <f t="array" aca="1" ref="C2955" ca="1">MAX(0,ROUND(Inputs!$B$10*Inputs!$B$11+NORMSINV(B2955)*SQRT(Inputs!$B$10*Inputs!$B$11),0))</f>
        <v>492</v>
      </c>
      <c r="D2955" s="49">
        <f ca="1">C2955*Inputs!$B$12</f>
        <v>59040000</v>
      </c>
    </row>
    <row r="2956" spans="1:4" ht="13.5" customHeight="1" x14ac:dyDescent="0.3">
      <c r="A2956" s="50">
        <v>2952</v>
      </c>
      <c r="B2956" s="51">
        <f t="shared" ca="1" si="46"/>
        <v>5.0935908108831529E-2</v>
      </c>
      <c r="C2956" s="48">
        <f t="array" aca="1" ref="C2956" ca="1">MAX(0,ROUND(Inputs!$B$10*Inputs!$B$11+NORMSINV(B2956)*SQRT(Inputs!$B$10*Inputs!$B$11),0))</f>
        <v>463</v>
      </c>
      <c r="D2956" s="52">
        <f ca="1">C2956*Inputs!$B$12</f>
        <v>55560000</v>
      </c>
    </row>
    <row r="2957" spans="1:4" ht="13.5" customHeight="1" x14ac:dyDescent="0.3">
      <c r="A2957" s="46">
        <v>2953</v>
      </c>
      <c r="B2957" s="47">
        <f t="shared" ca="1" si="46"/>
        <v>0.57932108215010414</v>
      </c>
      <c r="C2957" s="48">
        <f t="array" aca="1" ref="C2957" ca="1">MAX(0,ROUND(Inputs!$B$10*Inputs!$B$11+NORMSINV(B2957)*SQRT(Inputs!$B$10*Inputs!$B$11),0))</f>
        <v>504</v>
      </c>
      <c r="D2957" s="49">
        <f ca="1">C2957*Inputs!$B$12</f>
        <v>60480000</v>
      </c>
    </row>
    <row r="2958" spans="1:4" ht="13.5" customHeight="1" x14ac:dyDescent="0.3">
      <c r="A2958" s="50">
        <v>2954</v>
      </c>
      <c r="B2958" s="51">
        <f t="shared" ca="1" si="46"/>
        <v>0.16116545781823965</v>
      </c>
      <c r="C2958" s="48">
        <f t="array" aca="1" ref="C2958" ca="1">MAX(0,ROUND(Inputs!$B$10*Inputs!$B$11+NORMSINV(B2958)*SQRT(Inputs!$B$10*Inputs!$B$11),0))</f>
        <v>478</v>
      </c>
      <c r="D2958" s="52">
        <f ca="1">C2958*Inputs!$B$12</f>
        <v>57360000</v>
      </c>
    </row>
    <row r="2959" spans="1:4" ht="13.5" customHeight="1" x14ac:dyDescent="0.3">
      <c r="A2959" s="46">
        <v>2955</v>
      </c>
      <c r="B2959" s="47">
        <f t="shared" ca="1" si="46"/>
        <v>0.26926735207083963</v>
      </c>
      <c r="C2959" s="48">
        <f t="array" aca="1" ref="C2959" ca="1">MAX(0,ROUND(Inputs!$B$10*Inputs!$B$11+NORMSINV(B2959)*SQRT(Inputs!$B$10*Inputs!$B$11),0))</f>
        <v>486</v>
      </c>
      <c r="D2959" s="49">
        <f ca="1">C2959*Inputs!$B$12</f>
        <v>58320000</v>
      </c>
    </row>
    <row r="2960" spans="1:4" ht="13.5" customHeight="1" x14ac:dyDescent="0.3">
      <c r="A2960" s="50">
        <v>2956</v>
      </c>
      <c r="B2960" s="51">
        <f t="shared" ca="1" si="46"/>
        <v>0.58874573469478853</v>
      </c>
      <c r="C2960" s="48">
        <f t="array" aca="1" ref="C2960" ca="1">MAX(0,ROUND(Inputs!$B$10*Inputs!$B$11+NORMSINV(B2960)*SQRT(Inputs!$B$10*Inputs!$B$11),0))</f>
        <v>505</v>
      </c>
      <c r="D2960" s="52">
        <f ca="1">C2960*Inputs!$B$12</f>
        <v>60600000</v>
      </c>
    </row>
    <row r="2961" spans="1:4" ht="13.5" customHeight="1" x14ac:dyDescent="0.3">
      <c r="A2961" s="46">
        <v>2957</v>
      </c>
      <c r="B2961" s="47">
        <f t="shared" ca="1" si="46"/>
        <v>6.1819111908640534E-2</v>
      </c>
      <c r="C2961" s="48">
        <f t="array" aca="1" ref="C2961" ca="1">MAX(0,ROUND(Inputs!$B$10*Inputs!$B$11+NORMSINV(B2961)*SQRT(Inputs!$B$10*Inputs!$B$11),0))</f>
        <v>466</v>
      </c>
      <c r="D2961" s="49">
        <f ca="1">C2961*Inputs!$B$12</f>
        <v>55920000</v>
      </c>
    </row>
    <row r="2962" spans="1:4" ht="13.5" customHeight="1" x14ac:dyDescent="0.3">
      <c r="A2962" s="50">
        <v>2958</v>
      </c>
      <c r="B2962" s="51">
        <f t="shared" ca="1" si="46"/>
        <v>0.55966298209089804</v>
      </c>
      <c r="C2962" s="48">
        <f t="array" aca="1" ref="C2962" ca="1">MAX(0,ROUND(Inputs!$B$10*Inputs!$B$11+NORMSINV(B2962)*SQRT(Inputs!$B$10*Inputs!$B$11),0))</f>
        <v>503</v>
      </c>
      <c r="D2962" s="52">
        <f ca="1">C2962*Inputs!$B$12</f>
        <v>60360000</v>
      </c>
    </row>
    <row r="2963" spans="1:4" ht="13.5" customHeight="1" x14ac:dyDescent="0.3">
      <c r="A2963" s="46">
        <v>2959</v>
      </c>
      <c r="B2963" s="47">
        <f t="shared" ca="1" si="46"/>
        <v>0.5847482384710615</v>
      </c>
      <c r="C2963" s="48">
        <f t="array" aca="1" ref="C2963" ca="1">MAX(0,ROUND(Inputs!$B$10*Inputs!$B$11+NORMSINV(B2963)*SQRT(Inputs!$B$10*Inputs!$B$11),0))</f>
        <v>505</v>
      </c>
      <c r="D2963" s="49">
        <f ca="1">C2963*Inputs!$B$12</f>
        <v>60600000</v>
      </c>
    </row>
    <row r="2964" spans="1:4" ht="13.5" customHeight="1" x14ac:dyDescent="0.3">
      <c r="A2964" s="50">
        <v>2960</v>
      </c>
      <c r="B2964" s="51">
        <f t="shared" ca="1" si="46"/>
        <v>0.38532932171968293</v>
      </c>
      <c r="C2964" s="48">
        <f t="array" aca="1" ref="C2964" ca="1">MAX(0,ROUND(Inputs!$B$10*Inputs!$B$11+NORMSINV(B2964)*SQRT(Inputs!$B$10*Inputs!$B$11),0))</f>
        <v>493</v>
      </c>
      <c r="D2964" s="52">
        <f ca="1">C2964*Inputs!$B$12</f>
        <v>59160000</v>
      </c>
    </row>
    <row r="2965" spans="1:4" ht="13.5" customHeight="1" x14ac:dyDescent="0.3">
      <c r="A2965" s="46">
        <v>2961</v>
      </c>
      <c r="B2965" s="47">
        <f t="shared" ca="1" si="46"/>
        <v>0.11820325275394905</v>
      </c>
      <c r="C2965" s="48">
        <f t="array" aca="1" ref="C2965" ca="1">MAX(0,ROUND(Inputs!$B$10*Inputs!$B$11+NORMSINV(B2965)*SQRT(Inputs!$B$10*Inputs!$B$11),0))</f>
        <v>474</v>
      </c>
      <c r="D2965" s="49">
        <f ca="1">C2965*Inputs!$B$12</f>
        <v>56880000</v>
      </c>
    </row>
    <row r="2966" spans="1:4" ht="13.5" customHeight="1" x14ac:dyDescent="0.3">
      <c r="A2966" s="50">
        <v>2962</v>
      </c>
      <c r="B2966" s="51">
        <f t="shared" ca="1" si="46"/>
        <v>0.10399570566741023</v>
      </c>
      <c r="C2966" s="48">
        <f t="array" aca="1" ref="C2966" ca="1">MAX(0,ROUND(Inputs!$B$10*Inputs!$B$11+NORMSINV(B2966)*SQRT(Inputs!$B$10*Inputs!$B$11),0))</f>
        <v>472</v>
      </c>
      <c r="D2966" s="52">
        <f ca="1">C2966*Inputs!$B$12</f>
        <v>56640000</v>
      </c>
    </row>
    <row r="2967" spans="1:4" ht="13.5" customHeight="1" x14ac:dyDescent="0.3">
      <c r="A2967" s="46">
        <v>2963</v>
      </c>
      <c r="B2967" s="47">
        <f t="shared" ca="1" si="46"/>
        <v>0.87445662855652861</v>
      </c>
      <c r="C2967" s="48">
        <f t="array" aca="1" ref="C2967" ca="1">MAX(0,ROUND(Inputs!$B$10*Inputs!$B$11+NORMSINV(B2967)*SQRT(Inputs!$B$10*Inputs!$B$11),0))</f>
        <v>526</v>
      </c>
      <c r="D2967" s="49">
        <f ca="1">C2967*Inputs!$B$12</f>
        <v>63120000</v>
      </c>
    </row>
    <row r="2968" spans="1:4" ht="13.5" customHeight="1" x14ac:dyDescent="0.3">
      <c r="A2968" s="50">
        <v>2964</v>
      </c>
      <c r="B2968" s="51">
        <f t="shared" ca="1" si="46"/>
        <v>0.37658862912406432</v>
      </c>
      <c r="C2968" s="48">
        <f t="array" aca="1" ref="C2968" ca="1">MAX(0,ROUND(Inputs!$B$10*Inputs!$B$11+NORMSINV(B2968)*SQRT(Inputs!$B$10*Inputs!$B$11),0))</f>
        <v>493</v>
      </c>
      <c r="D2968" s="52">
        <f ca="1">C2968*Inputs!$B$12</f>
        <v>59160000</v>
      </c>
    </row>
    <row r="2969" spans="1:4" ht="13.5" customHeight="1" x14ac:dyDescent="0.3">
      <c r="A2969" s="46">
        <v>2965</v>
      </c>
      <c r="B2969" s="47">
        <f t="shared" ca="1" si="46"/>
        <v>0.57504374881969833</v>
      </c>
      <c r="C2969" s="48">
        <f t="array" aca="1" ref="C2969" ca="1">MAX(0,ROUND(Inputs!$B$10*Inputs!$B$11+NORMSINV(B2969)*SQRT(Inputs!$B$10*Inputs!$B$11),0))</f>
        <v>504</v>
      </c>
      <c r="D2969" s="49">
        <f ca="1">C2969*Inputs!$B$12</f>
        <v>60480000</v>
      </c>
    </row>
    <row r="2970" spans="1:4" ht="13.5" customHeight="1" x14ac:dyDescent="0.3">
      <c r="A2970" s="50">
        <v>2966</v>
      </c>
      <c r="B2970" s="51">
        <f t="shared" ca="1" si="46"/>
        <v>0.67656979610300905</v>
      </c>
      <c r="C2970" s="48">
        <f t="array" aca="1" ref="C2970" ca="1">MAX(0,ROUND(Inputs!$B$10*Inputs!$B$11+NORMSINV(B2970)*SQRT(Inputs!$B$10*Inputs!$B$11),0))</f>
        <v>510</v>
      </c>
      <c r="D2970" s="52">
        <f ca="1">C2970*Inputs!$B$12</f>
        <v>61200000</v>
      </c>
    </row>
    <row r="2971" spans="1:4" ht="13.5" customHeight="1" x14ac:dyDescent="0.3">
      <c r="A2971" s="46">
        <v>2967</v>
      </c>
      <c r="B2971" s="47">
        <f t="shared" ca="1" si="46"/>
        <v>0.55342809359551104</v>
      </c>
      <c r="C2971" s="48">
        <f t="array" aca="1" ref="C2971" ca="1">MAX(0,ROUND(Inputs!$B$10*Inputs!$B$11+NORMSINV(B2971)*SQRT(Inputs!$B$10*Inputs!$B$11),0))</f>
        <v>503</v>
      </c>
      <c r="D2971" s="49">
        <f ca="1">C2971*Inputs!$B$12</f>
        <v>60360000</v>
      </c>
    </row>
    <row r="2972" spans="1:4" ht="13.5" customHeight="1" x14ac:dyDescent="0.3">
      <c r="A2972" s="50">
        <v>2968</v>
      </c>
      <c r="B2972" s="51">
        <f t="shared" ca="1" si="46"/>
        <v>0.25119188996229858</v>
      </c>
      <c r="C2972" s="48">
        <f t="array" aca="1" ref="C2972" ca="1">MAX(0,ROUND(Inputs!$B$10*Inputs!$B$11+NORMSINV(B2972)*SQRT(Inputs!$B$10*Inputs!$B$11),0))</f>
        <v>485</v>
      </c>
      <c r="D2972" s="52">
        <f ca="1">C2972*Inputs!$B$12</f>
        <v>58200000</v>
      </c>
    </row>
    <row r="2973" spans="1:4" ht="13.5" customHeight="1" x14ac:dyDescent="0.3">
      <c r="A2973" s="46">
        <v>2969</v>
      </c>
      <c r="B2973" s="47">
        <f t="shared" ca="1" si="46"/>
        <v>5.7826308935685855E-2</v>
      </c>
      <c r="C2973" s="48">
        <f t="array" aca="1" ref="C2973" ca="1">MAX(0,ROUND(Inputs!$B$10*Inputs!$B$11+NORMSINV(B2973)*SQRT(Inputs!$B$10*Inputs!$B$11),0))</f>
        <v>465</v>
      </c>
      <c r="D2973" s="49">
        <f ca="1">C2973*Inputs!$B$12</f>
        <v>55800000</v>
      </c>
    </row>
    <row r="2974" spans="1:4" ht="13.5" customHeight="1" x14ac:dyDescent="0.3">
      <c r="A2974" s="50">
        <v>2970</v>
      </c>
      <c r="B2974" s="51">
        <f t="shared" ca="1" si="46"/>
        <v>0.49850115709407095</v>
      </c>
      <c r="C2974" s="48">
        <f t="array" aca="1" ref="C2974" ca="1">MAX(0,ROUND(Inputs!$B$10*Inputs!$B$11+NORMSINV(B2974)*SQRT(Inputs!$B$10*Inputs!$B$11),0))</f>
        <v>500</v>
      </c>
      <c r="D2974" s="52">
        <f ca="1">C2974*Inputs!$B$12</f>
        <v>60000000</v>
      </c>
    </row>
    <row r="2975" spans="1:4" ht="13.5" customHeight="1" x14ac:dyDescent="0.3">
      <c r="A2975" s="46">
        <v>2971</v>
      </c>
      <c r="B2975" s="47">
        <f t="shared" ca="1" si="46"/>
        <v>0.61959134441836561</v>
      </c>
      <c r="C2975" s="48">
        <f t="array" aca="1" ref="C2975" ca="1">MAX(0,ROUND(Inputs!$B$10*Inputs!$B$11+NORMSINV(B2975)*SQRT(Inputs!$B$10*Inputs!$B$11),0))</f>
        <v>507</v>
      </c>
      <c r="D2975" s="49">
        <f ca="1">C2975*Inputs!$B$12</f>
        <v>60840000</v>
      </c>
    </row>
    <row r="2976" spans="1:4" ht="13.5" customHeight="1" x14ac:dyDescent="0.3">
      <c r="A2976" s="50">
        <v>2972</v>
      </c>
      <c r="B2976" s="51">
        <f t="shared" ca="1" si="46"/>
        <v>0.53732606036600927</v>
      </c>
      <c r="C2976" s="48">
        <f t="array" aca="1" ref="C2976" ca="1">MAX(0,ROUND(Inputs!$B$10*Inputs!$B$11+NORMSINV(B2976)*SQRT(Inputs!$B$10*Inputs!$B$11),0))</f>
        <v>502</v>
      </c>
      <c r="D2976" s="52">
        <f ca="1">C2976*Inputs!$B$12</f>
        <v>60240000</v>
      </c>
    </row>
    <row r="2977" spans="1:4" ht="13.5" customHeight="1" x14ac:dyDescent="0.3">
      <c r="A2977" s="46">
        <v>2973</v>
      </c>
      <c r="B2977" s="47">
        <f t="shared" ca="1" si="46"/>
        <v>0.67243847750142893</v>
      </c>
      <c r="C2977" s="48">
        <f t="array" aca="1" ref="C2977" ca="1">MAX(0,ROUND(Inputs!$B$10*Inputs!$B$11+NORMSINV(B2977)*SQRT(Inputs!$B$10*Inputs!$B$11),0))</f>
        <v>510</v>
      </c>
      <c r="D2977" s="49">
        <f ca="1">C2977*Inputs!$B$12</f>
        <v>61200000</v>
      </c>
    </row>
    <row r="2978" spans="1:4" ht="13.5" customHeight="1" x14ac:dyDescent="0.3">
      <c r="A2978" s="50">
        <v>2974</v>
      </c>
      <c r="B2978" s="51">
        <f t="shared" ca="1" si="46"/>
        <v>1.0064313138834047E-2</v>
      </c>
      <c r="C2978" s="48">
        <f t="array" aca="1" ref="C2978" ca="1">MAX(0,ROUND(Inputs!$B$10*Inputs!$B$11+NORMSINV(B2978)*SQRT(Inputs!$B$10*Inputs!$B$11),0))</f>
        <v>448</v>
      </c>
      <c r="D2978" s="52">
        <f ca="1">C2978*Inputs!$B$12</f>
        <v>53760000</v>
      </c>
    </row>
    <row r="2979" spans="1:4" ht="13.5" customHeight="1" x14ac:dyDescent="0.3">
      <c r="A2979" s="46">
        <v>2975</v>
      </c>
      <c r="B2979" s="47">
        <f t="shared" ca="1" si="46"/>
        <v>1.0197030103932692E-2</v>
      </c>
      <c r="C2979" s="48">
        <f t="array" aca="1" ref="C2979" ca="1">MAX(0,ROUND(Inputs!$B$10*Inputs!$B$11+NORMSINV(B2979)*SQRT(Inputs!$B$10*Inputs!$B$11),0))</f>
        <v>448</v>
      </c>
      <c r="D2979" s="49">
        <f ca="1">C2979*Inputs!$B$12</f>
        <v>53760000</v>
      </c>
    </row>
    <row r="2980" spans="1:4" ht="13.5" customHeight="1" x14ac:dyDescent="0.3">
      <c r="A2980" s="50">
        <v>2976</v>
      </c>
      <c r="B2980" s="51">
        <f t="shared" ca="1" si="46"/>
        <v>0.46469199507396985</v>
      </c>
      <c r="C2980" s="48">
        <f t="array" aca="1" ref="C2980" ca="1">MAX(0,ROUND(Inputs!$B$10*Inputs!$B$11+NORMSINV(B2980)*SQRT(Inputs!$B$10*Inputs!$B$11),0))</f>
        <v>498</v>
      </c>
      <c r="D2980" s="52">
        <f ca="1">C2980*Inputs!$B$12</f>
        <v>59760000</v>
      </c>
    </row>
    <row r="2981" spans="1:4" ht="13.5" customHeight="1" x14ac:dyDescent="0.3">
      <c r="A2981" s="46">
        <v>2977</v>
      </c>
      <c r="B2981" s="47">
        <f t="shared" ca="1" si="46"/>
        <v>0.11594322778304711</v>
      </c>
      <c r="C2981" s="48">
        <f t="array" aca="1" ref="C2981" ca="1">MAX(0,ROUND(Inputs!$B$10*Inputs!$B$11+NORMSINV(B2981)*SQRT(Inputs!$B$10*Inputs!$B$11),0))</f>
        <v>473</v>
      </c>
      <c r="D2981" s="49">
        <f ca="1">C2981*Inputs!$B$12</f>
        <v>56760000</v>
      </c>
    </row>
    <row r="2982" spans="1:4" ht="13.5" customHeight="1" x14ac:dyDescent="0.3">
      <c r="A2982" s="50">
        <v>2978</v>
      </c>
      <c r="B2982" s="51">
        <f t="shared" ca="1" si="46"/>
        <v>0.29730865782713201</v>
      </c>
      <c r="C2982" s="48">
        <f t="array" aca="1" ref="C2982" ca="1">MAX(0,ROUND(Inputs!$B$10*Inputs!$B$11+NORMSINV(B2982)*SQRT(Inputs!$B$10*Inputs!$B$11),0))</f>
        <v>488</v>
      </c>
      <c r="D2982" s="52">
        <f ca="1">C2982*Inputs!$B$12</f>
        <v>58560000</v>
      </c>
    </row>
    <row r="2983" spans="1:4" ht="13.5" customHeight="1" x14ac:dyDescent="0.3">
      <c r="A2983" s="46">
        <v>2979</v>
      </c>
      <c r="B2983" s="47">
        <f t="shared" ca="1" si="46"/>
        <v>0.16425904184804407</v>
      </c>
      <c r="C2983" s="48">
        <f t="array" aca="1" ref="C2983" ca="1">MAX(0,ROUND(Inputs!$B$10*Inputs!$B$11+NORMSINV(B2983)*SQRT(Inputs!$B$10*Inputs!$B$11),0))</f>
        <v>478</v>
      </c>
      <c r="D2983" s="49">
        <f ca="1">C2983*Inputs!$B$12</f>
        <v>57360000</v>
      </c>
    </row>
    <row r="2984" spans="1:4" ht="13.5" customHeight="1" x14ac:dyDescent="0.3">
      <c r="A2984" s="50">
        <v>2980</v>
      </c>
      <c r="B2984" s="51">
        <f t="shared" ca="1" si="46"/>
        <v>0.71415701470641402</v>
      </c>
      <c r="C2984" s="48">
        <f t="array" aca="1" ref="C2984" ca="1">MAX(0,ROUND(Inputs!$B$10*Inputs!$B$11+NORMSINV(B2984)*SQRT(Inputs!$B$10*Inputs!$B$11),0))</f>
        <v>513</v>
      </c>
      <c r="D2984" s="52">
        <f ca="1">C2984*Inputs!$B$12</f>
        <v>61560000</v>
      </c>
    </row>
    <row r="2985" spans="1:4" ht="13.5" customHeight="1" x14ac:dyDescent="0.3">
      <c r="A2985" s="46">
        <v>2981</v>
      </c>
      <c r="B2985" s="47">
        <f t="shared" ca="1" si="46"/>
        <v>0.2828558030960141</v>
      </c>
      <c r="C2985" s="48">
        <f t="array" aca="1" ref="C2985" ca="1">MAX(0,ROUND(Inputs!$B$10*Inputs!$B$11+NORMSINV(B2985)*SQRT(Inputs!$B$10*Inputs!$B$11),0))</f>
        <v>487</v>
      </c>
      <c r="D2985" s="49">
        <f ca="1">C2985*Inputs!$B$12</f>
        <v>58440000</v>
      </c>
    </row>
    <row r="2986" spans="1:4" ht="13.5" customHeight="1" x14ac:dyDescent="0.3">
      <c r="A2986" s="50">
        <v>2982</v>
      </c>
      <c r="B2986" s="51">
        <f t="shared" ca="1" si="46"/>
        <v>0.46949066004834294</v>
      </c>
      <c r="C2986" s="48">
        <f t="array" aca="1" ref="C2986" ca="1">MAX(0,ROUND(Inputs!$B$10*Inputs!$B$11+NORMSINV(B2986)*SQRT(Inputs!$B$10*Inputs!$B$11),0))</f>
        <v>498</v>
      </c>
      <c r="D2986" s="52">
        <f ca="1">C2986*Inputs!$B$12</f>
        <v>59760000</v>
      </c>
    </row>
    <row r="2987" spans="1:4" ht="13.5" customHeight="1" x14ac:dyDescent="0.3">
      <c r="A2987" s="46">
        <v>2983</v>
      </c>
      <c r="B2987" s="47">
        <f t="shared" ca="1" si="46"/>
        <v>0.12085777620666316</v>
      </c>
      <c r="C2987" s="48">
        <f t="array" aca="1" ref="C2987" ca="1">MAX(0,ROUND(Inputs!$B$10*Inputs!$B$11+NORMSINV(B2987)*SQRT(Inputs!$B$10*Inputs!$B$11),0))</f>
        <v>474</v>
      </c>
      <c r="D2987" s="49">
        <f ca="1">C2987*Inputs!$B$12</f>
        <v>56880000</v>
      </c>
    </row>
    <row r="2988" spans="1:4" ht="13.5" customHeight="1" x14ac:dyDescent="0.3">
      <c r="A2988" s="50">
        <v>2984</v>
      </c>
      <c r="B2988" s="51">
        <f t="shared" ca="1" si="46"/>
        <v>0.89534000420838145</v>
      </c>
      <c r="C2988" s="48">
        <f t="array" aca="1" ref="C2988" ca="1">MAX(0,ROUND(Inputs!$B$10*Inputs!$B$11+NORMSINV(B2988)*SQRT(Inputs!$B$10*Inputs!$B$11),0))</f>
        <v>528</v>
      </c>
      <c r="D2988" s="52">
        <f ca="1">C2988*Inputs!$B$12</f>
        <v>63360000</v>
      </c>
    </row>
    <row r="2989" spans="1:4" ht="13.5" customHeight="1" x14ac:dyDescent="0.3">
      <c r="A2989" s="46">
        <v>2985</v>
      </c>
      <c r="B2989" s="47">
        <f t="shared" ca="1" si="46"/>
        <v>0.41682573555110347</v>
      </c>
      <c r="C2989" s="48">
        <f t="array" aca="1" ref="C2989" ca="1">MAX(0,ROUND(Inputs!$B$10*Inputs!$B$11+NORMSINV(B2989)*SQRT(Inputs!$B$10*Inputs!$B$11),0))</f>
        <v>495</v>
      </c>
      <c r="D2989" s="49">
        <f ca="1">C2989*Inputs!$B$12</f>
        <v>59400000</v>
      </c>
    </row>
    <row r="2990" spans="1:4" ht="13.5" customHeight="1" x14ac:dyDescent="0.3">
      <c r="A2990" s="50">
        <v>2986</v>
      </c>
      <c r="B2990" s="51">
        <f t="shared" ca="1" si="46"/>
        <v>5.7613367898277201E-2</v>
      </c>
      <c r="C2990" s="48">
        <f t="array" aca="1" ref="C2990" ca="1">MAX(0,ROUND(Inputs!$B$10*Inputs!$B$11+NORMSINV(B2990)*SQRT(Inputs!$B$10*Inputs!$B$11),0))</f>
        <v>465</v>
      </c>
      <c r="D2990" s="52">
        <f ca="1">C2990*Inputs!$B$12</f>
        <v>55800000</v>
      </c>
    </row>
    <row r="2991" spans="1:4" ht="13.5" customHeight="1" x14ac:dyDescent="0.3">
      <c r="A2991" s="46">
        <v>2987</v>
      </c>
      <c r="B2991" s="47">
        <f t="shared" ca="1" si="46"/>
        <v>0.84228464530317904</v>
      </c>
      <c r="C2991" s="48">
        <f t="array" aca="1" ref="C2991" ca="1">MAX(0,ROUND(Inputs!$B$10*Inputs!$B$11+NORMSINV(B2991)*SQRT(Inputs!$B$10*Inputs!$B$11),0))</f>
        <v>522</v>
      </c>
      <c r="D2991" s="49">
        <f ca="1">C2991*Inputs!$B$12</f>
        <v>62640000</v>
      </c>
    </row>
    <row r="2992" spans="1:4" ht="13.5" customHeight="1" x14ac:dyDescent="0.3">
      <c r="A2992" s="50">
        <v>2988</v>
      </c>
      <c r="B2992" s="51">
        <f t="shared" ca="1" si="46"/>
        <v>0.23898670049060822</v>
      </c>
      <c r="C2992" s="48">
        <f t="array" aca="1" ref="C2992" ca="1">MAX(0,ROUND(Inputs!$B$10*Inputs!$B$11+NORMSINV(B2992)*SQRT(Inputs!$B$10*Inputs!$B$11),0))</f>
        <v>484</v>
      </c>
      <c r="D2992" s="52">
        <f ca="1">C2992*Inputs!$B$12</f>
        <v>58080000</v>
      </c>
    </row>
    <row r="2993" spans="1:4" ht="13.5" customHeight="1" x14ac:dyDescent="0.3">
      <c r="A2993" s="46">
        <v>2989</v>
      </c>
      <c r="B2993" s="47">
        <f t="shared" ca="1" si="46"/>
        <v>0.58890745450360704</v>
      </c>
      <c r="C2993" s="48">
        <f t="array" aca="1" ref="C2993" ca="1">MAX(0,ROUND(Inputs!$B$10*Inputs!$B$11+NORMSINV(B2993)*SQRT(Inputs!$B$10*Inputs!$B$11),0))</f>
        <v>505</v>
      </c>
      <c r="D2993" s="49">
        <f ca="1">C2993*Inputs!$B$12</f>
        <v>60600000</v>
      </c>
    </row>
    <row r="2994" spans="1:4" ht="13.5" customHeight="1" x14ac:dyDescent="0.3">
      <c r="A2994" s="50">
        <v>2990</v>
      </c>
      <c r="B2994" s="51">
        <f t="shared" ca="1" si="46"/>
        <v>0.17075037396545845</v>
      </c>
      <c r="C2994" s="48">
        <f t="array" aca="1" ref="C2994" ca="1">MAX(0,ROUND(Inputs!$B$10*Inputs!$B$11+NORMSINV(B2994)*SQRT(Inputs!$B$10*Inputs!$B$11),0))</f>
        <v>479</v>
      </c>
      <c r="D2994" s="52">
        <f ca="1">C2994*Inputs!$B$12</f>
        <v>57480000</v>
      </c>
    </row>
    <row r="2995" spans="1:4" ht="13.5" customHeight="1" x14ac:dyDescent="0.3">
      <c r="A2995" s="46">
        <v>2991</v>
      </c>
      <c r="B2995" s="47">
        <f t="shared" ca="1" si="46"/>
        <v>7.4601494621966524E-2</v>
      </c>
      <c r="C2995" s="48">
        <f t="array" aca="1" ref="C2995" ca="1">MAX(0,ROUND(Inputs!$B$10*Inputs!$B$11+NORMSINV(B2995)*SQRT(Inputs!$B$10*Inputs!$B$11),0))</f>
        <v>468</v>
      </c>
      <c r="D2995" s="49">
        <f ca="1">C2995*Inputs!$B$12</f>
        <v>56160000</v>
      </c>
    </row>
    <row r="2996" spans="1:4" ht="13.5" customHeight="1" x14ac:dyDescent="0.3">
      <c r="A2996" s="50">
        <v>2992</v>
      </c>
      <c r="B2996" s="51">
        <f t="shared" ca="1" si="46"/>
        <v>0.67017111006960106</v>
      </c>
      <c r="C2996" s="48">
        <f t="array" aca="1" ref="C2996" ca="1">MAX(0,ROUND(Inputs!$B$10*Inputs!$B$11+NORMSINV(B2996)*SQRT(Inputs!$B$10*Inputs!$B$11),0))</f>
        <v>510</v>
      </c>
      <c r="D2996" s="52">
        <f ca="1">C2996*Inputs!$B$12</f>
        <v>61200000</v>
      </c>
    </row>
    <row r="2997" spans="1:4" ht="13.5" customHeight="1" x14ac:dyDescent="0.3">
      <c r="A2997" s="46">
        <v>2993</v>
      </c>
      <c r="B2997" s="47">
        <f t="shared" ca="1" si="46"/>
        <v>0.59718358586752984</v>
      </c>
      <c r="C2997" s="48">
        <f t="array" aca="1" ref="C2997" ca="1">MAX(0,ROUND(Inputs!$B$10*Inputs!$B$11+NORMSINV(B2997)*SQRT(Inputs!$B$10*Inputs!$B$11),0))</f>
        <v>506</v>
      </c>
      <c r="D2997" s="49">
        <f ca="1">C2997*Inputs!$B$12</f>
        <v>60720000</v>
      </c>
    </row>
    <row r="2998" spans="1:4" ht="13.5" customHeight="1" x14ac:dyDescent="0.3">
      <c r="A2998" s="50">
        <v>2994</v>
      </c>
      <c r="B2998" s="51">
        <f t="shared" ca="1" si="46"/>
        <v>0.12519553436666409</v>
      </c>
      <c r="C2998" s="48">
        <f t="array" aca="1" ref="C2998" ca="1">MAX(0,ROUND(Inputs!$B$10*Inputs!$B$11+NORMSINV(B2998)*SQRT(Inputs!$B$10*Inputs!$B$11),0))</f>
        <v>474</v>
      </c>
      <c r="D2998" s="52">
        <f ca="1">C2998*Inputs!$B$12</f>
        <v>56880000</v>
      </c>
    </row>
    <row r="2999" spans="1:4" ht="13.5" customHeight="1" x14ac:dyDescent="0.3">
      <c r="A2999" s="46">
        <v>2995</v>
      </c>
      <c r="B2999" s="47">
        <f t="shared" ca="1" si="46"/>
        <v>0.39722475500149823</v>
      </c>
      <c r="C2999" s="48">
        <f t="array" aca="1" ref="C2999" ca="1">MAX(0,ROUND(Inputs!$B$10*Inputs!$B$11+NORMSINV(B2999)*SQRT(Inputs!$B$10*Inputs!$B$11),0))</f>
        <v>494</v>
      </c>
      <c r="D2999" s="49">
        <f ca="1">C2999*Inputs!$B$12</f>
        <v>59280000</v>
      </c>
    </row>
    <row r="3000" spans="1:4" ht="13.5" customHeight="1" x14ac:dyDescent="0.3">
      <c r="A3000" s="50">
        <v>2996</v>
      </c>
      <c r="B3000" s="51">
        <f t="shared" ca="1" si="46"/>
        <v>7.9063887353497453E-2</v>
      </c>
      <c r="C3000" s="48">
        <f t="array" aca="1" ref="C3000" ca="1">MAX(0,ROUND(Inputs!$B$10*Inputs!$B$11+NORMSINV(B3000)*SQRT(Inputs!$B$10*Inputs!$B$11),0))</f>
        <v>468</v>
      </c>
      <c r="D3000" s="52">
        <f ca="1">C3000*Inputs!$B$12</f>
        <v>56160000</v>
      </c>
    </row>
    <row r="3001" spans="1:4" ht="13.5" customHeight="1" x14ac:dyDescent="0.3">
      <c r="A3001" s="46">
        <v>2997</v>
      </c>
      <c r="B3001" s="47">
        <f t="shared" ca="1" si="46"/>
        <v>0.7509360186016304</v>
      </c>
      <c r="C3001" s="48">
        <f t="array" aca="1" ref="C3001" ca="1">MAX(0,ROUND(Inputs!$B$10*Inputs!$B$11+NORMSINV(B3001)*SQRT(Inputs!$B$10*Inputs!$B$11),0))</f>
        <v>515</v>
      </c>
      <c r="D3001" s="49">
        <f ca="1">C3001*Inputs!$B$12</f>
        <v>61800000</v>
      </c>
    </row>
    <row r="3002" spans="1:4" ht="13.5" customHeight="1" x14ac:dyDescent="0.3">
      <c r="A3002" s="50">
        <v>2998</v>
      </c>
      <c r="B3002" s="51">
        <f t="shared" ca="1" si="46"/>
        <v>0.76171653332307399</v>
      </c>
      <c r="C3002" s="48">
        <f t="array" aca="1" ref="C3002" ca="1">MAX(0,ROUND(Inputs!$B$10*Inputs!$B$11+NORMSINV(B3002)*SQRT(Inputs!$B$10*Inputs!$B$11),0))</f>
        <v>516</v>
      </c>
      <c r="D3002" s="52">
        <f ca="1">C3002*Inputs!$B$12</f>
        <v>61920000</v>
      </c>
    </row>
    <row r="3003" spans="1:4" ht="13.5" customHeight="1" x14ac:dyDescent="0.3">
      <c r="A3003" s="46">
        <v>2999</v>
      </c>
      <c r="B3003" s="47">
        <f t="shared" ca="1" si="46"/>
        <v>0.41892488348242585</v>
      </c>
      <c r="C3003" s="48">
        <f t="array" aca="1" ref="C3003" ca="1">MAX(0,ROUND(Inputs!$B$10*Inputs!$B$11+NORMSINV(B3003)*SQRT(Inputs!$B$10*Inputs!$B$11),0))</f>
        <v>495</v>
      </c>
      <c r="D3003" s="49">
        <f ca="1">C3003*Inputs!$B$12</f>
        <v>59400000</v>
      </c>
    </row>
    <row r="3004" spans="1:4" ht="13.5" customHeight="1" x14ac:dyDescent="0.3">
      <c r="A3004" s="50">
        <v>3000</v>
      </c>
      <c r="B3004" s="51">
        <f t="shared" ca="1" si="46"/>
        <v>0.49234366984421407</v>
      </c>
      <c r="C3004" s="48">
        <f t="array" aca="1" ref="C3004" ca="1">MAX(0,ROUND(Inputs!$B$10*Inputs!$B$11+NORMSINV(B3004)*SQRT(Inputs!$B$10*Inputs!$B$11),0))</f>
        <v>500</v>
      </c>
      <c r="D3004" s="52">
        <f ca="1">C3004*Inputs!$B$12</f>
        <v>60000000</v>
      </c>
    </row>
    <row r="3005" spans="1:4" ht="13.5" customHeight="1" x14ac:dyDescent="0.3">
      <c r="A3005" s="46">
        <v>3001</v>
      </c>
      <c r="B3005" s="47">
        <f t="shared" ca="1" si="46"/>
        <v>0.89790101375178044</v>
      </c>
      <c r="C3005" s="48">
        <f t="array" aca="1" ref="C3005" ca="1">MAX(0,ROUND(Inputs!$B$10*Inputs!$B$11+NORMSINV(B3005)*SQRT(Inputs!$B$10*Inputs!$B$11),0))</f>
        <v>528</v>
      </c>
      <c r="D3005" s="49">
        <f ca="1">C3005*Inputs!$B$12</f>
        <v>63360000</v>
      </c>
    </row>
    <row r="3006" spans="1:4" ht="13.5" customHeight="1" x14ac:dyDescent="0.3">
      <c r="A3006" s="50">
        <v>3002</v>
      </c>
      <c r="B3006" s="51">
        <f t="shared" ca="1" si="46"/>
        <v>0.80925413797644341</v>
      </c>
      <c r="C3006" s="48">
        <f t="array" aca="1" ref="C3006" ca="1">MAX(0,ROUND(Inputs!$B$10*Inputs!$B$11+NORMSINV(B3006)*SQRT(Inputs!$B$10*Inputs!$B$11),0))</f>
        <v>520</v>
      </c>
      <c r="D3006" s="52">
        <f ca="1">C3006*Inputs!$B$12</f>
        <v>62400000</v>
      </c>
    </row>
    <row r="3007" spans="1:4" ht="13.5" customHeight="1" x14ac:dyDescent="0.3">
      <c r="A3007" s="46">
        <v>3003</v>
      </c>
      <c r="B3007" s="47">
        <f t="shared" ca="1" si="46"/>
        <v>0.95274925939129151</v>
      </c>
      <c r="C3007" s="48">
        <f t="array" aca="1" ref="C3007" ca="1">MAX(0,ROUND(Inputs!$B$10*Inputs!$B$11+NORMSINV(B3007)*SQRT(Inputs!$B$10*Inputs!$B$11),0))</f>
        <v>537</v>
      </c>
      <c r="D3007" s="49">
        <f ca="1">C3007*Inputs!$B$12</f>
        <v>64440000</v>
      </c>
    </row>
    <row r="3008" spans="1:4" ht="13.5" customHeight="1" x14ac:dyDescent="0.3">
      <c r="A3008" s="50">
        <v>3004</v>
      </c>
      <c r="B3008" s="51">
        <f t="shared" ca="1" si="46"/>
        <v>0.6420586617764612</v>
      </c>
      <c r="C3008" s="48">
        <f t="array" aca="1" ref="C3008" ca="1">MAX(0,ROUND(Inputs!$B$10*Inputs!$B$11+NORMSINV(B3008)*SQRT(Inputs!$B$10*Inputs!$B$11),0))</f>
        <v>508</v>
      </c>
      <c r="D3008" s="52">
        <f ca="1">C3008*Inputs!$B$12</f>
        <v>60960000</v>
      </c>
    </row>
    <row r="3009" spans="1:4" ht="13.5" customHeight="1" x14ac:dyDescent="0.3">
      <c r="A3009" s="46">
        <v>3005</v>
      </c>
      <c r="B3009" s="47">
        <f t="shared" ca="1" si="46"/>
        <v>0.86238593265283137</v>
      </c>
      <c r="C3009" s="48">
        <f t="array" aca="1" ref="C3009" ca="1">MAX(0,ROUND(Inputs!$B$10*Inputs!$B$11+NORMSINV(B3009)*SQRT(Inputs!$B$10*Inputs!$B$11),0))</f>
        <v>524</v>
      </c>
      <c r="D3009" s="49">
        <f ca="1">C3009*Inputs!$B$12</f>
        <v>62880000</v>
      </c>
    </row>
    <row r="3010" spans="1:4" ht="13.5" customHeight="1" x14ac:dyDescent="0.3">
      <c r="A3010" s="50">
        <v>3006</v>
      </c>
      <c r="B3010" s="51">
        <f t="shared" ca="1" si="46"/>
        <v>0.33533038902903822</v>
      </c>
      <c r="C3010" s="48">
        <f t="array" aca="1" ref="C3010" ca="1">MAX(0,ROUND(Inputs!$B$10*Inputs!$B$11+NORMSINV(B3010)*SQRT(Inputs!$B$10*Inputs!$B$11),0))</f>
        <v>490</v>
      </c>
      <c r="D3010" s="52">
        <f ca="1">C3010*Inputs!$B$12</f>
        <v>58800000</v>
      </c>
    </row>
    <row r="3011" spans="1:4" ht="13.5" customHeight="1" x14ac:dyDescent="0.3">
      <c r="A3011" s="46">
        <v>3007</v>
      </c>
      <c r="B3011" s="47">
        <f t="shared" ca="1" si="46"/>
        <v>0.1845315455741523</v>
      </c>
      <c r="C3011" s="48">
        <f t="array" aca="1" ref="C3011" ca="1">MAX(0,ROUND(Inputs!$B$10*Inputs!$B$11+NORMSINV(B3011)*SQRT(Inputs!$B$10*Inputs!$B$11),0))</f>
        <v>480</v>
      </c>
      <c r="D3011" s="49">
        <f ca="1">C3011*Inputs!$B$12</f>
        <v>57600000</v>
      </c>
    </row>
    <row r="3012" spans="1:4" ht="13.5" customHeight="1" x14ac:dyDescent="0.3">
      <c r="A3012" s="50">
        <v>3008</v>
      </c>
      <c r="B3012" s="51">
        <f t="shared" ca="1" si="46"/>
        <v>0.99548291522240384</v>
      </c>
      <c r="C3012" s="48">
        <f t="array" aca="1" ref="C3012" ca="1">MAX(0,ROUND(Inputs!$B$10*Inputs!$B$11+NORMSINV(B3012)*SQRT(Inputs!$B$10*Inputs!$B$11),0))</f>
        <v>558</v>
      </c>
      <c r="D3012" s="52">
        <f ca="1">C3012*Inputs!$B$12</f>
        <v>66960000</v>
      </c>
    </row>
    <row r="3013" spans="1:4" ht="13.5" customHeight="1" x14ac:dyDescent="0.3">
      <c r="A3013" s="46">
        <v>3009</v>
      </c>
      <c r="B3013" s="47">
        <f t="shared" ref="B3013:B3076" ca="1" si="47">RAND()</f>
        <v>0.86905304928669092</v>
      </c>
      <c r="C3013" s="48">
        <f t="array" aca="1" ref="C3013" ca="1">MAX(0,ROUND(Inputs!$B$10*Inputs!$B$11+NORMSINV(B3013)*SQRT(Inputs!$B$10*Inputs!$B$11),0))</f>
        <v>525</v>
      </c>
      <c r="D3013" s="49">
        <f ca="1">C3013*Inputs!$B$12</f>
        <v>63000000</v>
      </c>
    </row>
    <row r="3014" spans="1:4" ht="13.5" customHeight="1" x14ac:dyDescent="0.3">
      <c r="A3014" s="50">
        <v>3010</v>
      </c>
      <c r="B3014" s="51">
        <f t="shared" ca="1" si="47"/>
        <v>0.73823349286227591</v>
      </c>
      <c r="C3014" s="48">
        <f t="array" aca="1" ref="C3014" ca="1">MAX(0,ROUND(Inputs!$B$10*Inputs!$B$11+NORMSINV(B3014)*SQRT(Inputs!$B$10*Inputs!$B$11),0))</f>
        <v>514</v>
      </c>
      <c r="D3014" s="52">
        <f ca="1">C3014*Inputs!$B$12</f>
        <v>61680000</v>
      </c>
    </row>
    <row r="3015" spans="1:4" ht="13.5" customHeight="1" x14ac:dyDescent="0.3">
      <c r="A3015" s="46">
        <v>3011</v>
      </c>
      <c r="B3015" s="47">
        <f t="shared" ca="1" si="47"/>
        <v>0.52884207303726249</v>
      </c>
      <c r="C3015" s="48">
        <f t="array" aca="1" ref="C3015" ca="1">MAX(0,ROUND(Inputs!$B$10*Inputs!$B$11+NORMSINV(B3015)*SQRT(Inputs!$B$10*Inputs!$B$11),0))</f>
        <v>502</v>
      </c>
      <c r="D3015" s="49">
        <f ca="1">C3015*Inputs!$B$12</f>
        <v>60240000</v>
      </c>
    </row>
    <row r="3016" spans="1:4" ht="13.5" customHeight="1" x14ac:dyDescent="0.3">
      <c r="A3016" s="50">
        <v>3012</v>
      </c>
      <c r="B3016" s="51">
        <f t="shared" ca="1" si="47"/>
        <v>0.79890816935522357</v>
      </c>
      <c r="C3016" s="48">
        <f t="array" aca="1" ref="C3016" ca="1">MAX(0,ROUND(Inputs!$B$10*Inputs!$B$11+NORMSINV(B3016)*SQRT(Inputs!$B$10*Inputs!$B$11),0))</f>
        <v>519</v>
      </c>
      <c r="D3016" s="52">
        <f ca="1">C3016*Inputs!$B$12</f>
        <v>62280000</v>
      </c>
    </row>
    <row r="3017" spans="1:4" ht="13.5" customHeight="1" x14ac:dyDescent="0.3">
      <c r="A3017" s="46">
        <v>3013</v>
      </c>
      <c r="B3017" s="47">
        <f t="shared" ca="1" si="47"/>
        <v>0.95374391558458305</v>
      </c>
      <c r="C3017" s="48">
        <f t="array" aca="1" ref="C3017" ca="1">MAX(0,ROUND(Inputs!$B$10*Inputs!$B$11+NORMSINV(B3017)*SQRT(Inputs!$B$10*Inputs!$B$11),0))</f>
        <v>538</v>
      </c>
      <c r="D3017" s="49">
        <f ca="1">C3017*Inputs!$B$12</f>
        <v>64560000</v>
      </c>
    </row>
    <row r="3018" spans="1:4" ht="13.5" customHeight="1" x14ac:dyDescent="0.3">
      <c r="A3018" s="50">
        <v>3014</v>
      </c>
      <c r="B3018" s="51">
        <f t="shared" ca="1" si="47"/>
        <v>0.74761643450336868</v>
      </c>
      <c r="C3018" s="48">
        <f t="array" aca="1" ref="C3018" ca="1">MAX(0,ROUND(Inputs!$B$10*Inputs!$B$11+NORMSINV(B3018)*SQRT(Inputs!$B$10*Inputs!$B$11),0))</f>
        <v>515</v>
      </c>
      <c r="D3018" s="52">
        <f ca="1">C3018*Inputs!$B$12</f>
        <v>61800000</v>
      </c>
    </row>
    <row r="3019" spans="1:4" ht="13.5" customHeight="1" x14ac:dyDescent="0.3">
      <c r="A3019" s="46">
        <v>3015</v>
      </c>
      <c r="B3019" s="47">
        <f t="shared" ca="1" si="47"/>
        <v>0.314915101731853</v>
      </c>
      <c r="C3019" s="48">
        <f t="array" aca="1" ref="C3019" ca="1">MAX(0,ROUND(Inputs!$B$10*Inputs!$B$11+NORMSINV(B3019)*SQRT(Inputs!$B$10*Inputs!$B$11),0))</f>
        <v>489</v>
      </c>
      <c r="D3019" s="49">
        <f ca="1">C3019*Inputs!$B$12</f>
        <v>58680000</v>
      </c>
    </row>
    <row r="3020" spans="1:4" ht="13.5" customHeight="1" x14ac:dyDescent="0.3">
      <c r="A3020" s="50">
        <v>3016</v>
      </c>
      <c r="B3020" s="51">
        <f t="shared" ca="1" si="47"/>
        <v>0.19190543927109438</v>
      </c>
      <c r="C3020" s="48">
        <f t="array" aca="1" ref="C3020" ca="1">MAX(0,ROUND(Inputs!$B$10*Inputs!$B$11+NORMSINV(B3020)*SQRT(Inputs!$B$10*Inputs!$B$11),0))</f>
        <v>481</v>
      </c>
      <c r="D3020" s="52">
        <f ca="1">C3020*Inputs!$B$12</f>
        <v>57720000</v>
      </c>
    </row>
    <row r="3021" spans="1:4" ht="13.5" customHeight="1" x14ac:dyDescent="0.3">
      <c r="A3021" s="46">
        <v>3017</v>
      </c>
      <c r="B3021" s="47">
        <f t="shared" ca="1" si="47"/>
        <v>0.71039923378151115</v>
      </c>
      <c r="C3021" s="48">
        <f t="array" aca="1" ref="C3021" ca="1">MAX(0,ROUND(Inputs!$B$10*Inputs!$B$11+NORMSINV(B3021)*SQRT(Inputs!$B$10*Inputs!$B$11),0))</f>
        <v>512</v>
      </c>
      <c r="D3021" s="49">
        <f ca="1">C3021*Inputs!$B$12</f>
        <v>61440000</v>
      </c>
    </row>
    <row r="3022" spans="1:4" ht="13.5" customHeight="1" x14ac:dyDescent="0.3">
      <c r="A3022" s="50">
        <v>3018</v>
      </c>
      <c r="B3022" s="51">
        <f t="shared" ca="1" si="47"/>
        <v>4.7058801751872492E-2</v>
      </c>
      <c r="C3022" s="48">
        <f t="array" aca="1" ref="C3022" ca="1">MAX(0,ROUND(Inputs!$B$10*Inputs!$B$11+NORMSINV(B3022)*SQRT(Inputs!$B$10*Inputs!$B$11),0))</f>
        <v>463</v>
      </c>
      <c r="D3022" s="52">
        <f ca="1">C3022*Inputs!$B$12</f>
        <v>55560000</v>
      </c>
    </row>
    <row r="3023" spans="1:4" ht="13.5" customHeight="1" x14ac:dyDescent="0.3">
      <c r="A3023" s="46">
        <v>3019</v>
      </c>
      <c r="B3023" s="47">
        <f t="shared" ca="1" si="47"/>
        <v>0.4474979853675749</v>
      </c>
      <c r="C3023" s="48">
        <f t="array" aca="1" ref="C3023" ca="1">MAX(0,ROUND(Inputs!$B$10*Inputs!$B$11+NORMSINV(B3023)*SQRT(Inputs!$B$10*Inputs!$B$11),0))</f>
        <v>497</v>
      </c>
      <c r="D3023" s="49">
        <f ca="1">C3023*Inputs!$B$12</f>
        <v>59640000</v>
      </c>
    </row>
    <row r="3024" spans="1:4" ht="13.5" customHeight="1" x14ac:dyDescent="0.3">
      <c r="A3024" s="50">
        <v>3020</v>
      </c>
      <c r="B3024" s="51">
        <f t="shared" ca="1" si="47"/>
        <v>0.2179991749138811</v>
      </c>
      <c r="C3024" s="48">
        <f t="array" aca="1" ref="C3024" ca="1">MAX(0,ROUND(Inputs!$B$10*Inputs!$B$11+NORMSINV(B3024)*SQRT(Inputs!$B$10*Inputs!$B$11),0))</f>
        <v>483</v>
      </c>
      <c r="D3024" s="52">
        <f ca="1">C3024*Inputs!$B$12</f>
        <v>57960000</v>
      </c>
    </row>
    <row r="3025" spans="1:4" ht="13.5" customHeight="1" x14ac:dyDescent="0.3">
      <c r="A3025" s="46">
        <v>3021</v>
      </c>
      <c r="B3025" s="47">
        <f t="shared" ca="1" si="47"/>
        <v>0.22600025684218705</v>
      </c>
      <c r="C3025" s="48">
        <f t="array" aca="1" ref="C3025" ca="1">MAX(0,ROUND(Inputs!$B$10*Inputs!$B$11+NORMSINV(B3025)*SQRT(Inputs!$B$10*Inputs!$B$11),0))</f>
        <v>483</v>
      </c>
      <c r="D3025" s="49">
        <f ca="1">C3025*Inputs!$B$12</f>
        <v>57960000</v>
      </c>
    </row>
    <row r="3026" spans="1:4" ht="13.5" customHeight="1" x14ac:dyDescent="0.3">
      <c r="A3026" s="50">
        <v>3022</v>
      </c>
      <c r="B3026" s="51">
        <f t="shared" ca="1" si="47"/>
        <v>0.17490461603216623</v>
      </c>
      <c r="C3026" s="48">
        <f t="array" aca="1" ref="C3026" ca="1">MAX(0,ROUND(Inputs!$B$10*Inputs!$B$11+NORMSINV(B3026)*SQRT(Inputs!$B$10*Inputs!$B$11),0))</f>
        <v>479</v>
      </c>
      <c r="D3026" s="52">
        <f ca="1">C3026*Inputs!$B$12</f>
        <v>57480000</v>
      </c>
    </row>
    <row r="3027" spans="1:4" ht="13.5" customHeight="1" x14ac:dyDescent="0.3">
      <c r="A3027" s="46">
        <v>3023</v>
      </c>
      <c r="B3027" s="47">
        <f t="shared" ca="1" si="47"/>
        <v>0.4743659453037099</v>
      </c>
      <c r="C3027" s="48">
        <f t="array" aca="1" ref="C3027" ca="1">MAX(0,ROUND(Inputs!$B$10*Inputs!$B$11+NORMSINV(B3027)*SQRT(Inputs!$B$10*Inputs!$B$11),0))</f>
        <v>499</v>
      </c>
      <c r="D3027" s="49">
        <f ca="1">C3027*Inputs!$B$12</f>
        <v>59880000</v>
      </c>
    </row>
    <row r="3028" spans="1:4" ht="13.5" customHeight="1" x14ac:dyDescent="0.3">
      <c r="A3028" s="50">
        <v>3024</v>
      </c>
      <c r="B3028" s="51">
        <f t="shared" ca="1" si="47"/>
        <v>0.45548301696382265</v>
      </c>
      <c r="C3028" s="48">
        <f t="array" aca="1" ref="C3028" ca="1">MAX(0,ROUND(Inputs!$B$10*Inputs!$B$11+NORMSINV(B3028)*SQRT(Inputs!$B$10*Inputs!$B$11),0))</f>
        <v>497</v>
      </c>
      <c r="D3028" s="52">
        <f ca="1">C3028*Inputs!$B$12</f>
        <v>59640000</v>
      </c>
    </row>
    <row r="3029" spans="1:4" ht="13.5" customHeight="1" x14ac:dyDescent="0.3">
      <c r="A3029" s="46">
        <v>3025</v>
      </c>
      <c r="B3029" s="47">
        <f t="shared" ca="1" si="47"/>
        <v>0.27049403130396243</v>
      </c>
      <c r="C3029" s="48">
        <f t="array" aca="1" ref="C3029" ca="1">MAX(0,ROUND(Inputs!$B$10*Inputs!$B$11+NORMSINV(B3029)*SQRT(Inputs!$B$10*Inputs!$B$11),0))</f>
        <v>486</v>
      </c>
      <c r="D3029" s="49">
        <f ca="1">C3029*Inputs!$B$12</f>
        <v>58320000</v>
      </c>
    </row>
    <row r="3030" spans="1:4" ht="13.5" customHeight="1" x14ac:dyDescent="0.3">
      <c r="A3030" s="50">
        <v>3026</v>
      </c>
      <c r="B3030" s="51">
        <f t="shared" ca="1" si="47"/>
        <v>0.23863712060578679</v>
      </c>
      <c r="C3030" s="48">
        <f t="array" aca="1" ref="C3030" ca="1">MAX(0,ROUND(Inputs!$B$10*Inputs!$B$11+NORMSINV(B3030)*SQRT(Inputs!$B$10*Inputs!$B$11),0))</f>
        <v>484</v>
      </c>
      <c r="D3030" s="52">
        <f ca="1">C3030*Inputs!$B$12</f>
        <v>58080000</v>
      </c>
    </row>
    <row r="3031" spans="1:4" ht="13.5" customHeight="1" x14ac:dyDescent="0.3">
      <c r="A3031" s="46">
        <v>3027</v>
      </c>
      <c r="B3031" s="47">
        <f t="shared" ca="1" si="47"/>
        <v>0.21766547716859741</v>
      </c>
      <c r="C3031" s="48">
        <f t="array" aca="1" ref="C3031" ca="1">MAX(0,ROUND(Inputs!$B$10*Inputs!$B$11+NORMSINV(B3031)*SQRT(Inputs!$B$10*Inputs!$B$11),0))</f>
        <v>483</v>
      </c>
      <c r="D3031" s="49">
        <f ca="1">C3031*Inputs!$B$12</f>
        <v>57960000</v>
      </c>
    </row>
    <row r="3032" spans="1:4" ht="13.5" customHeight="1" x14ac:dyDescent="0.3">
      <c r="A3032" s="50">
        <v>3028</v>
      </c>
      <c r="B3032" s="51">
        <f t="shared" ca="1" si="47"/>
        <v>0.60979524811267471</v>
      </c>
      <c r="C3032" s="48">
        <f t="array" aca="1" ref="C3032" ca="1">MAX(0,ROUND(Inputs!$B$10*Inputs!$B$11+NORMSINV(B3032)*SQRT(Inputs!$B$10*Inputs!$B$11),0))</f>
        <v>506</v>
      </c>
      <c r="D3032" s="52">
        <f ca="1">C3032*Inputs!$B$12</f>
        <v>60720000</v>
      </c>
    </row>
    <row r="3033" spans="1:4" ht="13.5" customHeight="1" x14ac:dyDescent="0.3">
      <c r="A3033" s="46">
        <v>3029</v>
      </c>
      <c r="B3033" s="47">
        <f t="shared" ca="1" si="47"/>
        <v>0.96230090261766721</v>
      </c>
      <c r="C3033" s="48">
        <f t="array" aca="1" ref="C3033" ca="1">MAX(0,ROUND(Inputs!$B$10*Inputs!$B$11+NORMSINV(B3033)*SQRT(Inputs!$B$10*Inputs!$B$11),0))</f>
        <v>540</v>
      </c>
      <c r="D3033" s="49">
        <f ca="1">C3033*Inputs!$B$12</f>
        <v>64800000</v>
      </c>
    </row>
    <row r="3034" spans="1:4" ht="13.5" customHeight="1" x14ac:dyDescent="0.3">
      <c r="A3034" s="50">
        <v>3030</v>
      </c>
      <c r="B3034" s="51">
        <f t="shared" ca="1" si="47"/>
        <v>0.98693206644685605</v>
      </c>
      <c r="C3034" s="48">
        <f t="array" aca="1" ref="C3034" ca="1">MAX(0,ROUND(Inputs!$B$10*Inputs!$B$11+NORMSINV(B3034)*SQRT(Inputs!$B$10*Inputs!$B$11),0))</f>
        <v>550</v>
      </c>
      <c r="D3034" s="52">
        <f ca="1">C3034*Inputs!$B$12</f>
        <v>66000000</v>
      </c>
    </row>
    <row r="3035" spans="1:4" ht="13.5" customHeight="1" x14ac:dyDescent="0.3">
      <c r="A3035" s="46">
        <v>3031</v>
      </c>
      <c r="B3035" s="47">
        <f t="shared" ca="1" si="47"/>
        <v>0.59872560042794465</v>
      </c>
      <c r="C3035" s="48">
        <f t="array" aca="1" ref="C3035" ca="1">MAX(0,ROUND(Inputs!$B$10*Inputs!$B$11+NORMSINV(B3035)*SQRT(Inputs!$B$10*Inputs!$B$11),0))</f>
        <v>506</v>
      </c>
      <c r="D3035" s="49">
        <f ca="1">C3035*Inputs!$B$12</f>
        <v>60720000</v>
      </c>
    </row>
    <row r="3036" spans="1:4" ht="13.5" customHeight="1" x14ac:dyDescent="0.3">
      <c r="A3036" s="50">
        <v>3032</v>
      </c>
      <c r="B3036" s="51">
        <f t="shared" ca="1" si="47"/>
        <v>0.92615252947459437</v>
      </c>
      <c r="C3036" s="48">
        <f t="array" aca="1" ref="C3036" ca="1">MAX(0,ROUND(Inputs!$B$10*Inputs!$B$11+NORMSINV(B3036)*SQRT(Inputs!$B$10*Inputs!$B$11),0))</f>
        <v>532</v>
      </c>
      <c r="D3036" s="52">
        <f ca="1">C3036*Inputs!$B$12</f>
        <v>63840000</v>
      </c>
    </row>
    <row r="3037" spans="1:4" ht="13.5" customHeight="1" x14ac:dyDescent="0.3">
      <c r="A3037" s="46">
        <v>3033</v>
      </c>
      <c r="B3037" s="47">
        <f t="shared" ca="1" si="47"/>
        <v>0.29357837744310578</v>
      </c>
      <c r="C3037" s="48">
        <f t="array" aca="1" ref="C3037" ca="1">MAX(0,ROUND(Inputs!$B$10*Inputs!$B$11+NORMSINV(B3037)*SQRT(Inputs!$B$10*Inputs!$B$11),0))</f>
        <v>488</v>
      </c>
      <c r="D3037" s="49">
        <f ca="1">C3037*Inputs!$B$12</f>
        <v>58560000</v>
      </c>
    </row>
    <row r="3038" spans="1:4" ht="13.5" customHeight="1" x14ac:dyDescent="0.3">
      <c r="A3038" s="50">
        <v>3034</v>
      </c>
      <c r="B3038" s="51">
        <f t="shared" ca="1" si="47"/>
        <v>0.25512699016184615</v>
      </c>
      <c r="C3038" s="48">
        <f t="array" aca="1" ref="C3038" ca="1">MAX(0,ROUND(Inputs!$B$10*Inputs!$B$11+NORMSINV(B3038)*SQRT(Inputs!$B$10*Inputs!$B$11),0))</f>
        <v>485</v>
      </c>
      <c r="D3038" s="52">
        <f ca="1">C3038*Inputs!$B$12</f>
        <v>58200000</v>
      </c>
    </row>
    <row r="3039" spans="1:4" ht="13.5" customHeight="1" x14ac:dyDescent="0.3">
      <c r="A3039" s="46">
        <v>3035</v>
      </c>
      <c r="B3039" s="47">
        <f t="shared" ca="1" si="47"/>
        <v>0.14222464414785685</v>
      </c>
      <c r="C3039" s="48">
        <f t="array" aca="1" ref="C3039" ca="1">MAX(0,ROUND(Inputs!$B$10*Inputs!$B$11+NORMSINV(B3039)*SQRT(Inputs!$B$10*Inputs!$B$11),0))</f>
        <v>476</v>
      </c>
      <c r="D3039" s="49">
        <f ca="1">C3039*Inputs!$B$12</f>
        <v>57120000</v>
      </c>
    </row>
    <row r="3040" spans="1:4" ht="13.5" customHeight="1" x14ac:dyDescent="0.3">
      <c r="A3040" s="50">
        <v>3036</v>
      </c>
      <c r="B3040" s="51">
        <f t="shared" ca="1" si="47"/>
        <v>0.40502967666500933</v>
      </c>
      <c r="C3040" s="48">
        <f t="array" aca="1" ref="C3040" ca="1">MAX(0,ROUND(Inputs!$B$10*Inputs!$B$11+NORMSINV(B3040)*SQRT(Inputs!$B$10*Inputs!$B$11),0))</f>
        <v>495</v>
      </c>
      <c r="D3040" s="52">
        <f ca="1">C3040*Inputs!$B$12</f>
        <v>59400000</v>
      </c>
    </row>
    <row r="3041" spans="1:4" ht="13.5" customHeight="1" x14ac:dyDescent="0.3">
      <c r="A3041" s="46">
        <v>3037</v>
      </c>
      <c r="B3041" s="47">
        <f t="shared" ca="1" si="47"/>
        <v>0.13995113257175684</v>
      </c>
      <c r="C3041" s="48">
        <f t="array" aca="1" ref="C3041" ca="1">MAX(0,ROUND(Inputs!$B$10*Inputs!$B$11+NORMSINV(B3041)*SQRT(Inputs!$B$10*Inputs!$B$11),0))</f>
        <v>476</v>
      </c>
      <c r="D3041" s="49">
        <f ca="1">C3041*Inputs!$B$12</f>
        <v>57120000</v>
      </c>
    </row>
    <row r="3042" spans="1:4" ht="13.5" customHeight="1" x14ac:dyDescent="0.3">
      <c r="A3042" s="50">
        <v>3038</v>
      </c>
      <c r="B3042" s="51">
        <f t="shared" ca="1" si="47"/>
        <v>0.50644257087256594</v>
      </c>
      <c r="C3042" s="48">
        <f t="array" aca="1" ref="C3042" ca="1">MAX(0,ROUND(Inputs!$B$10*Inputs!$B$11+NORMSINV(B3042)*SQRT(Inputs!$B$10*Inputs!$B$11),0))</f>
        <v>500</v>
      </c>
      <c r="D3042" s="52">
        <f ca="1">C3042*Inputs!$B$12</f>
        <v>60000000</v>
      </c>
    </row>
    <row r="3043" spans="1:4" ht="13.5" customHeight="1" x14ac:dyDescent="0.3">
      <c r="A3043" s="46">
        <v>3039</v>
      </c>
      <c r="B3043" s="47">
        <f t="shared" ca="1" si="47"/>
        <v>0.20707955402774136</v>
      </c>
      <c r="C3043" s="48">
        <f t="array" aca="1" ref="C3043" ca="1">MAX(0,ROUND(Inputs!$B$10*Inputs!$B$11+NORMSINV(B3043)*SQRT(Inputs!$B$10*Inputs!$B$11),0))</f>
        <v>482</v>
      </c>
      <c r="D3043" s="49">
        <f ca="1">C3043*Inputs!$B$12</f>
        <v>57840000</v>
      </c>
    </row>
    <row r="3044" spans="1:4" ht="13.5" customHeight="1" x14ac:dyDescent="0.3">
      <c r="A3044" s="50">
        <v>3040</v>
      </c>
      <c r="B3044" s="51">
        <f t="shared" ca="1" si="47"/>
        <v>0.69664985957342884</v>
      </c>
      <c r="C3044" s="48">
        <f t="array" aca="1" ref="C3044" ca="1">MAX(0,ROUND(Inputs!$B$10*Inputs!$B$11+NORMSINV(B3044)*SQRT(Inputs!$B$10*Inputs!$B$11),0))</f>
        <v>512</v>
      </c>
      <c r="D3044" s="52">
        <f ca="1">C3044*Inputs!$B$12</f>
        <v>61440000</v>
      </c>
    </row>
    <row r="3045" spans="1:4" ht="13.5" customHeight="1" x14ac:dyDescent="0.3">
      <c r="A3045" s="46">
        <v>3041</v>
      </c>
      <c r="B3045" s="47">
        <f t="shared" ca="1" si="47"/>
        <v>0.37146551959758356</v>
      </c>
      <c r="C3045" s="48">
        <f t="array" aca="1" ref="C3045" ca="1">MAX(0,ROUND(Inputs!$B$10*Inputs!$B$11+NORMSINV(B3045)*SQRT(Inputs!$B$10*Inputs!$B$11),0))</f>
        <v>493</v>
      </c>
      <c r="D3045" s="49">
        <f ca="1">C3045*Inputs!$B$12</f>
        <v>59160000</v>
      </c>
    </row>
    <row r="3046" spans="1:4" ht="13.5" customHeight="1" x14ac:dyDescent="0.3">
      <c r="A3046" s="50">
        <v>3042</v>
      </c>
      <c r="B3046" s="51">
        <f t="shared" ca="1" si="47"/>
        <v>0.78949160939723295</v>
      </c>
      <c r="C3046" s="48">
        <f t="array" aca="1" ref="C3046" ca="1">MAX(0,ROUND(Inputs!$B$10*Inputs!$B$11+NORMSINV(B3046)*SQRT(Inputs!$B$10*Inputs!$B$11),0))</f>
        <v>518</v>
      </c>
      <c r="D3046" s="52">
        <f ca="1">C3046*Inputs!$B$12</f>
        <v>62160000</v>
      </c>
    </row>
    <row r="3047" spans="1:4" ht="13.5" customHeight="1" x14ac:dyDescent="0.3">
      <c r="A3047" s="46">
        <v>3043</v>
      </c>
      <c r="B3047" s="47">
        <f t="shared" ca="1" si="47"/>
        <v>0.23960231845964786</v>
      </c>
      <c r="C3047" s="48">
        <f t="array" aca="1" ref="C3047" ca="1">MAX(0,ROUND(Inputs!$B$10*Inputs!$B$11+NORMSINV(B3047)*SQRT(Inputs!$B$10*Inputs!$B$11),0))</f>
        <v>484</v>
      </c>
      <c r="D3047" s="49">
        <f ca="1">C3047*Inputs!$B$12</f>
        <v>58080000</v>
      </c>
    </row>
    <row r="3048" spans="1:4" ht="13.5" customHeight="1" x14ac:dyDescent="0.3">
      <c r="A3048" s="50">
        <v>3044</v>
      </c>
      <c r="B3048" s="51">
        <f t="shared" ca="1" si="47"/>
        <v>0.13387324390676236</v>
      </c>
      <c r="C3048" s="48">
        <f t="array" aca="1" ref="C3048" ca="1">MAX(0,ROUND(Inputs!$B$10*Inputs!$B$11+NORMSINV(B3048)*SQRT(Inputs!$B$10*Inputs!$B$11),0))</f>
        <v>475</v>
      </c>
      <c r="D3048" s="52">
        <f ca="1">C3048*Inputs!$B$12</f>
        <v>57000000</v>
      </c>
    </row>
    <row r="3049" spans="1:4" ht="13.5" customHeight="1" x14ac:dyDescent="0.3">
      <c r="A3049" s="46">
        <v>3045</v>
      </c>
      <c r="B3049" s="47">
        <f t="shared" ca="1" si="47"/>
        <v>0.66019415184826891</v>
      </c>
      <c r="C3049" s="48">
        <f t="array" aca="1" ref="C3049" ca="1">MAX(0,ROUND(Inputs!$B$10*Inputs!$B$11+NORMSINV(B3049)*SQRT(Inputs!$B$10*Inputs!$B$11),0))</f>
        <v>509</v>
      </c>
      <c r="D3049" s="49">
        <f ca="1">C3049*Inputs!$B$12</f>
        <v>61080000</v>
      </c>
    </row>
    <row r="3050" spans="1:4" ht="13.5" customHeight="1" x14ac:dyDescent="0.3">
      <c r="A3050" s="50">
        <v>3046</v>
      </c>
      <c r="B3050" s="51">
        <f t="shared" ca="1" si="47"/>
        <v>0.53377647867424183</v>
      </c>
      <c r="C3050" s="48">
        <f t="array" aca="1" ref="C3050" ca="1">MAX(0,ROUND(Inputs!$B$10*Inputs!$B$11+NORMSINV(B3050)*SQRT(Inputs!$B$10*Inputs!$B$11),0))</f>
        <v>502</v>
      </c>
      <c r="D3050" s="52">
        <f ca="1">C3050*Inputs!$B$12</f>
        <v>60240000</v>
      </c>
    </row>
    <row r="3051" spans="1:4" ht="13.5" customHeight="1" x14ac:dyDescent="0.3">
      <c r="A3051" s="46">
        <v>3047</v>
      </c>
      <c r="B3051" s="47">
        <f t="shared" ca="1" si="47"/>
        <v>0.76047225235860971</v>
      </c>
      <c r="C3051" s="48">
        <f t="array" aca="1" ref="C3051" ca="1">MAX(0,ROUND(Inputs!$B$10*Inputs!$B$11+NORMSINV(B3051)*SQRT(Inputs!$B$10*Inputs!$B$11),0))</f>
        <v>516</v>
      </c>
      <c r="D3051" s="49">
        <f ca="1">C3051*Inputs!$B$12</f>
        <v>61920000</v>
      </c>
    </row>
    <row r="3052" spans="1:4" ht="13.5" customHeight="1" x14ac:dyDescent="0.3">
      <c r="A3052" s="50">
        <v>3048</v>
      </c>
      <c r="B3052" s="51">
        <f t="shared" ca="1" si="47"/>
        <v>0.64302599799586047</v>
      </c>
      <c r="C3052" s="48">
        <f t="array" aca="1" ref="C3052" ca="1">MAX(0,ROUND(Inputs!$B$10*Inputs!$B$11+NORMSINV(B3052)*SQRT(Inputs!$B$10*Inputs!$B$11),0))</f>
        <v>508</v>
      </c>
      <c r="D3052" s="52">
        <f ca="1">C3052*Inputs!$B$12</f>
        <v>60960000</v>
      </c>
    </row>
    <row r="3053" spans="1:4" ht="13.5" customHeight="1" x14ac:dyDescent="0.3">
      <c r="A3053" s="46">
        <v>3049</v>
      </c>
      <c r="B3053" s="47">
        <f t="shared" ca="1" si="47"/>
        <v>0.71454602845112769</v>
      </c>
      <c r="C3053" s="48">
        <f t="array" aca="1" ref="C3053" ca="1">MAX(0,ROUND(Inputs!$B$10*Inputs!$B$11+NORMSINV(B3053)*SQRT(Inputs!$B$10*Inputs!$B$11),0))</f>
        <v>513</v>
      </c>
      <c r="D3053" s="49">
        <f ca="1">C3053*Inputs!$B$12</f>
        <v>61560000</v>
      </c>
    </row>
    <row r="3054" spans="1:4" ht="13.5" customHeight="1" x14ac:dyDescent="0.3">
      <c r="A3054" s="50">
        <v>3050</v>
      </c>
      <c r="B3054" s="51">
        <f t="shared" ca="1" si="47"/>
        <v>0.63836088337385211</v>
      </c>
      <c r="C3054" s="48">
        <f t="array" aca="1" ref="C3054" ca="1">MAX(0,ROUND(Inputs!$B$10*Inputs!$B$11+NORMSINV(B3054)*SQRT(Inputs!$B$10*Inputs!$B$11),0))</f>
        <v>508</v>
      </c>
      <c r="D3054" s="52">
        <f ca="1">C3054*Inputs!$B$12</f>
        <v>60960000</v>
      </c>
    </row>
    <row r="3055" spans="1:4" ht="13.5" customHeight="1" x14ac:dyDescent="0.3">
      <c r="A3055" s="46">
        <v>3051</v>
      </c>
      <c r="B3055" s="47">
        <f t="shared" ca="1" si="47"/>
        <v>0.74595044556311296</v>
      </c>
      <c r="C3055" s="48">
        <f t="array" aca="1" ref="C3055" ca="1">MAX(0,ROUND(Inputs!$B$10*Inputs!$B$11+NORMSINV(B3055)*SQRT(Inputs!$B$10*Inputs!$B$11),0))</f>
        <v>515</v>
      </c>
      <c r="D3055" s="49">
        <f ca="1">C3055*Inputs!$B$12</f>
        <v>61800000</v>
      </c>
    </row>
    <row r="3056" spans="1:4" ht="13.5" customHeight="1" x14ac:dyDescent="0.3">
      <c r="A3056" s="50">
        <v>3052</v>
      </c>
      <c r="B3056" s="51">
        <f t="shared" ca="1" si="47"/>
        <v>0.96657221003357652</v>
      </c>
      <c r="C3056" s="48">
        <f t="array" aca="1" ref="C3056" ca="1">MAX(0,ROUND(Inputs!$B$10*Inputs!$B$11+NORMSINV(B3056)*SQRT(Inputs!$B$10*Inputs!$B$11),0))</f>
        <v>541</v>
      </c>
      <c r="D3056" s="52">
        <f ca="1">C3056*Inputs!$B$12</f>
        <v>64920000</v>
      </c>
    </row>
    <row r="3057" spans="1:4" ht="13.5" customHeight="1" x14ac:dyDescent="0.3">
      <c r="A3057" s="46">
        <v>3053</v>
      </c>
      <c r="B3057" s="47">
        <f t="shared" ca="1" si="47"/>
        <v>0.26726255725975945</v>
      </c>
      <c r="C3057" s="48">
        <f t="array" aca="1" ref="C3057" ca="1">MAX(0,ROUND(Inputs!$B$10*Inputs!$B$11+NORMSINV(B3057)*SQRT(Inputs!$B$10*Inputs!$B$11),0))</f>
        <v>486</v>
      </c>
      <c r="D3057" s="49">
        <f ca="1">C3057*Inputs!$B$12</f>
        <v>58320000</v>
      </c>
    </row>
    <row r="3058" spans="1:4" ht="13.5" customHeight="1" x14ac:dyDescent="0.3">
      <c r="A3058" s="50">
        <v>3054</v>
      </c>
      <c r="B3058" s="51">
        <f t="shared" ca="1" si="47"/>
        <v>0.53258549070103389</v>
      </c>
      <c r="C3058" s="48">
        <f t="array" aca="1" ref="C3058" ca="1">MAX(0,ROUND(Inputs!$B$10*Inputs!$B$11+NORMSINV(B3058)*SQRT(Inputs!$B$10*Inputs!$B$11),0))</f>
        <v>502</v>
      </c>
      <c r="D3058" s="52">
        <f ca="1">C3058*Inputs!$B$12</f>
        <v>60240000</v>
      </c>
    </row>
    <row r="3059" spans="1:4" ht="13.5" customHeight="1" x14ac:dyDescent="0.3">
      <c r="A3059" s="46">
        <v>3055</v>
      </c>
      <c r="B3059" s="47">
        <f t="shared" ca="1" si="47"/>
        <v>0.26929128223217125</v>
      </c>
      <c r="C3059" s="48">
        <f t="array" aca="1" ref="C3059" ca="1">MAX(0,ROUND(Inputs!$B$10*Inputs!$B$11+NORMSINV(B3059)*SQRT(Inputs!$B$10*Inputs!$B$11),0))</f>
        <v>486</v>
      </c>
      <c r="D3059" s="49">
        <f ca="1">C3059*Inputs!$B$12</f>
        <v>58320000</v>
      </c>
    </row>
    <row r="3060" spans="1:4" ht="13.5" customHeight="1" x14ac:dyDescent="0.3">
      <c r="A3060" s="50">
        <v>3056</v>
      </c>
      <c r="B3060" s="51">
        <f t="shared" ca="1" si="47"/>
        <v>0.24313225438951747</v>
      </c>
      <c r="C3060" s="48">
        <f t="array" aca="1" ref="C3060" ca="1">MAX(0,ROUND(Inputs!$B$10*Inputs!$B$11+NORMSINV(B3060)*SQRT(Inputs!$B$10*Inputs!$B$11),0))</f>
        <v>484</v>
      </c>
      <c r="D3060" s="52">
        <f ca="1">C3060*Inputs!$B$12</f>
        <v>58080000</v>
      </c>
    </row>
    <row r="3061" spans="1:4" ht="13.5" customHeight="1" x14ac:dyDescent="0.3">
      <c r="A3061" s="46">
        <v>3057</v>
      </c>
      <c r="B3061" s="47">
        <f t="shared" ca="1" si="47"/>
        <v>0.60321409825539563</v>
      </c>
      <c r="C3061" s="48">
        <f t="array" aca="1" ref="C3061" ca="1">MAX(0,ROUND(Inputs!$B$10*Inputs!$B$11+NORMSINV(B3061)*SQRT(Inputs!$B$10*Inputs!$B$11),0))</f>
        <v>506</v>
      </c>
      <c r="D3061" s="49">
        <f ca="1">C3061*Inputs!$B$12</f>
        <v>60720000</v>
      </c>
    </row>
    <row r="3062" spans="1:4" ht="13.5" customHeight="1" x14ac:dyDescent="0.3">
      <c r="A3062" s="50">
        <v>3058</v>
      </c>
      <c r="B3062" s="51">
        <f t="shared" ca="1" si="47"/>
        <v>0.69159240865445559</v>
      </c>
      <c r="C3062" s="48">
        <f t="array" aca="1" ref="C3062" ca="1">MAX(0,ROUND(Inputs!$B$10*Inputs!$B$11+NORMSINV(B3062)*SQRT(Inputs!$B$10*Inputs!$B$11),0))</f>
        <v>511</v>
      </c>
      <c r="D3062" s="52">
        <f ca="1">C3062*Inputs!$B$12</f>
        <v>61320000</v>
      </c>
    </row>
    <row r="3063" spans="1:4" ht="13.5" customHeight="1" x14ac:dyDescent="0.3">
      <c r="A3063" s="46">
        <v>3059</v>
      </c>
      <c r="B3063" s="47">
        <f t="shared" ca="1" si="47"/>
        <v>0.23702621760774267</v>
      </c>
      <c r="C3063" s="48">
        <f t="array" aca="1" ref="C3063" ca="1">MAX(0,ROUND(Inputs!$B$10*Inputs!$B$11+NORMSINV(B3063)*SQRT(Inputs!$B$10*Inputs!$B$11),0))</f>
        <v>484</v>
      </c>
      <c r="D3063" s="49">
        <f ca="1">C3063*Inputs!$B$12</f>
        <v>58080000</v>
      </c>
    </row>
    <row r="3064" spans="1:4" ht="13.5" customHeight="1" x14ac:dyDescent="0.3">
      <c r="A3064" s="50">
        <v>3060</v>
      </c>
      <c r="B3064" s="51">
        <f t="shared" ca="1" si="47"/>
        <v>0.71689372536022855</v>
      </c>
      <c r="C3064" s="48">
        <f t="array" aca="1" ref="C3064" ca="1">MAX(0,ROUND(Inputs!$B$10*Inputs!$B$11+NORMSINV(B3064)*SQRT(Inputs!$B$10*Inputs!$B$11),0))</f>
        <v>513</v>
      </c>
      <c r="D3064" s="52">
        <f ca="1">C3064*Inputs!$B$12</f>
        <v>61560000</v>
      </c>
    </row>
    <row r="3065" spans="1:4" ht="13.5" customHeight="1" x14ac:dyDescent="0.3">
      <c r="A3065" s="46">
        <v>3061</v>
      </c>
      <c r="B3065" s="47">
        <f t="shared" ca="1" si="47"/>
        <v>0.83140462450335828</v>
      </c>
      <c r="C3065" s="48">
        <f t="array" aca="1" ref="C3065" ca="1">MAX(0,ROUND(Inputs!$B$10*Inputs!$B$11+NORMSINV(B3065)*SQRT(Inputs!$B$10*Inputs!$B$11),0))</f>
        <v>521</v>
      </c>
      <c r="D3065" s="49">
        <f ca="1">C3065*Inputs!$B$12</f>
        <v>62520000</v>
      </c>
    </row>
    <row r="3066" spans="1:4" ht="13.5" customHeight="1" x14ac:dyDescent="0.3">
      <c r="A3066" s="50">
        <v>3062</v>
      </c>
      <c r="B3066" s="51">
        <f t="shared" ca="1" si="47"/>
        <v>0.57032259275373576</v>
      </c>
      <c r="C3066" s="48">
        <f t="array" aca="1" ref="C3066" ca="1">MAX(0,ROUND(Inputs!$B$10*Inputs!$B$11+NORMSINV(B3066)*SQRT(Inputs!$B$10*Inputs!$B$11),0))</f>
        <v>504</v>
      </c>
      <c r="D3066" s="52">
        <f ca="1">C3066*Inputs!$B$12</f>
        <v>60480000</v>
      </c>
    </row>
    <row r="3067" spans="1:4" ht="13.5" customHeight="1" x14ac:dyDescent="0.3">
      <c r="A3067" s="46">
        <v>3063</v>
      </c>
      <c r="B3067" s="47">
        <f t="shared" ca="1" si="47"/>
        <v>0.82128444317743787</v>
      </c>
      <c r="C3067" s="48">
        <f t="array" aca="1" ref="C3067" ca="1">MAX(0,ROUND(Inputs!$B$10*Inputs!$B$11+NORMSINV(B3067)*SQRT(Inputs!$B$10*Inputs!$B$11),0))</f>
        <v>521</v>
      </c>
      <c r="D3067" s="49">
        <f ca="1">C3067*Inputs!$B$12</f>
        <v>62520000</v>
      </c>
    </row>
    <row r="3068" spans="1:4" ht="13.5" customHeight="1" x14ac:dyDescent="0.3">
      <c r="A3068" s="50">
        <v>3064</v>
      </c>
      <c r="B3068" s="51">
        <f t="shared" ca="1" si="47"/>
        <v>0.5115433150863633</v>
      </c>
      <c r="C3068" s="48">
        <f t="array" aca="1" ref="C3068" ca="1">MAX(0,ROUND(Inputs!$B$10*Inputs!$B$11+NORMSINV(B3068)*SQRT(Inputs!$B$10*Inputs!$B$11),0))</f>
        <v>501</v>
      </c>
      <c r="D3068" s="52">
        <f ca="1">C3068*Inputs!$B$12</f>
        <v>60120000</v>
      </c>
    </row>
    <row r="3069" spans="1:4" ht="13.5" customHeight="1" x14ac:dyDescent="0.3">
      <c r="A3069" s="46">
        <v>3065</v>
      </c>
      <c r="B3069" s="47">
        <f t="shared" ca="1" si="47"/>
        <v>0.59257794715323364</v>
      </c>
      <c r="C3069" s="48">
        <f t="array" aca="1" ref="C3069" ca="1">MAX(0,ROUND(Inputs!$B$10*Inputs!$B$11+NORMSINV(B3069)*SQRT(Inputs!$B$10*Inputs!$B$11),0))</f>
        <v>505</v>
      </c>
      <c r="D3069" s="49">
        <f ca="1">C3069*Inputs!$B$12</f>
        <v>60600000</v>
      </c>
    </row>
    <row r="3070" spans="1:4" ht="13.5" customHeight="1" x14ac:dyDescent="0.3">
      <c r="A3070" s="50">
        <v>3066</v>
      </c>
      <c r="B3070" s="51">
        <f t="shared" ca="1" si="47"/>
        <v>0.93008573103442327</v>
      </c>
      <c r="C3070" s="48">
        <f t="array" aca="1" ref="C3070" ca="1">MAX(0,ROUND(Inputs!$B$10*Inputs!$B$11+NORMSINV(B3070)*SQRT(Inputs!$B$10*Inputs!$B$11),0))</f>
        <v>533</v>
      </c>
      <c r="D3070" s="52">
        <f ca="1">C3070*Inputs!$B$12</f>
        <v>63960000</v>
      </c>
    </row>
    <row r="3071" spans="1:4" ht="13.5" customHeight="1" x14ac:dyDescent="0.3">
      <c r="A3071" s="46">
        <v>3067</v>
      </c>
      <c r="B3071" s="47">
        <f t="shared" ca="1" si="47"/>
        <v>0.77965654286111363</v>
      </c>
      <c r="C3071" s="48">
        <f t="array" aca="1" ref="C3071" ca="1">MAX(0,ROUND(Inputs!$B$10*Inputs!$B$11+NORMSINV(B3071)*SQRT(Inputs!$B$10*Inputs!$B$11),0))</f>
        <v>517</v>
      </c>
      <c r="D3071" s="49">
        <f ca="1">C3071*Inputs!$B$12</f>
        <v>62040000</v>
      </c>
    </row>
    <row r="3072" spans="1:4" ht="13.5" customHeight="1" x14ac:dyDescent="0.3">
      <c r="A3072" s="50">
        <v>3068</v>
      </c>
      <c r="B3072" s="51">
        <f t="shared" ca="1" si="47"/>
        <v>0.28832551928678285</v>
      </c>
      <c r="C3072" s="48">
        <f t="array" aca="1" ref="C3072" ca="1">MAX(0,ROUND(Inputs!$B$10*Inputs!$B$11+NORMSINV(B3072)*SQRT(Inputs!$B$10*Inputs!$B$11),0))</f>
        <v>488</v>
      </c>
      <c r="D3072" s="52">
        <f ca="1">C3072*Inputs!$B$12</f>
        <v>58560000</v>
      </c>
    </row>
    <row r="3073" spans="1:4" ht="13.5" customHeight="1" x14ac:dyDescent="0.3">
      <c r="A3073" s="46">
        <v>3069</v>
      </c>
      <c r="B3073" s="47">
        <f t="shared" ca="1" si="47"/>
        <v>0.60404318594713735</v>
      </c>
      <c r="C3073" s="48">
        <f t="array" aca="1" ref="C3073" ca="1">MAX(0,ROUND(Inputs!$B$10*Inputs!$B$11+NORMSINV(B3073)*SQRT(Inputs!$B$10*Inputs!$B$11),0))</f>
        <v>506</v>
      </c>
      <c r="D3073" s="49">
        <f ca="1">C3073*Inputs!$B$12</f>
        <v>60720000</v>
      </c>
    </row>
    <row r="3074" spans="1:4" ht="13.5" customHeight="1" x14ac:dyDescent="0.3">
      <c r="A3074" s="50">
        <v>3070</v>
      </c>
      <c r="B3074" s="51">
        <f t="shared" ca="1" si="47"/>
        <v>0.37870030724836012</v>
      </c>
      <c r="C3074" s="48">
        <f t="array" aca="1" ref="C3074" ca="1">MAX(0,ROUND(Inputs!$B$10*Inputs!$B$11+NORMSINV(B3074)*SQRT(Inputs!$B$10*Inputs!$B$11),0))</f>
        <v>493</v>
      </c>
      <c r="D3074" s="52">
        <f ca="1">C3074*Inputs!$B$12</f>
        <v>59160000</v>
      </c>
    </row>
    <row r="3075" spans="1:4" ht="13.5" customHeight="1" x14ac:dyDescent="0.3">
      <c r="A3075" s="46">
        <v>3071</v>
      </c>
      <c r="B3075" s="47">
        <f t="shared" ca="1" si="47"/>
        <v>0.4640484085835932</v>
      </c>
      <c r="C3075" s="48">
        <f t="array" aca="1" ref="C3075" ca="1">MAX(0,ROUND(Inputs!$B$10*Inputs!$B$11+NORMSINV(B3075)*SQRT(Inputs!$B$10*Inputs!$B$11),0))</f>
        <v>498</v>
      </c>
      <c r="D3075" s="49">
        <f ca="1">C3075*Inputs!$B$12</f>
        <v>59760000</v>
      </c>
    </row>
    <row r="3076" spans="1:4" ht="13.5" customHeight="1" x14ac:dyDescent="0.3">
      <c r="A3076" s="50">
        <v>3072</v>
      </c>
      <c r="B3076" s="51">
        <f t="shared" ca="1" si="47"/>
        <v>0.88755300261172343</v>
      </c>
      <c r="C3076" s="48">
        <f t="array" aca="1" ref="C3076" ca="1">MAX(0,ROUND(Inputs!$B$10*Inputs!$B$11+NORMSINV(B3076)*SQRT(Inputs!$B$10*Inputs!$B$11),0))</f>
        <v>527</v>
      </c>
      <c r="D3076" s="52">
        <f ca="1">C3076*Inputs!$B$12</f>
        <v>63240000</v>
      </c>
    </row>
    <row r="3077" spans="1:4" ht="13.5" customHeight="1" x14ac:dyDescent="0.3">
      <c r="A3077" s="46">
        <v>3073</v>
      </c>
      <c r="B3077" s="47">
        <f t="shared" ref="B3077:B3140" ca="1" si="48">RAND()</f>
        <v>9.7258879753317928E-2</v>
      </c>
      <c r="C3077" s="48">
        <f t="array" aca="1" ref="C3077" ca="1">MAX(0,ROUND(Inputs!$B$10*Inputs!$B$11+NORMSINV(B3077)*SQRT(Inputs!$B$10*Inputs!$B$11),0))</f>
        <v>471</v>
      </c>
      <c r="D3077" s="49">
        <f ca="1">C3077*Inputs!$B$12</f>
        <v>56520000</v>
      </c>
    </row>
    <row r="3078" spans="1:4" ht="13.5" customHeight="1" x14ac:dyDescent="0.3">
      <c r="A3078" s="50">
        <v>3074</v>
      </c>
      <c r="B3078" s="51">
        <f t="shared" ca="1" si="48"/>
        <v>0.70216124513939315</v>
      </c>
      <c r="C3078" s="48">
        <f t="array" aca="1" ref="C3078" ca="1">MAX(0,ROUND(Inputs!$B$10*Inputs!$B$11+NORMSINV(B3078)*SQRT(Inputs!$B$10*Inputs!$B$11),0))</f>
        <v>512</v>
      </c>
      <c r="D3078" s="52">
        <f ca="1">C3078*Inputs!$B$12</f>
        <v>61440000</v>
      </c>
    </row>
    <row r="3079" spans="1:4" ht="13.5" customHeight="1" x14ac:dyDescent="0.3">
      <c r="A3079" s="46">
        <v>3075</v>
      </c>
      <c r="B3079" s="47">
        <f t="shared" ca="1" si="48"/>
        <v>0.20442727443295283</v>
      </c>
      <c r="C3079" s="48">
        <f t="array" aca="1" ref="C3079" ca="1">MAX(0,ROUND(Inputs!$B$10*Inputs!$B$11+NORMSINV(B3079)*SQRT(Inputs!$B$10*Inputs!$B$11),0))</f>
        <v>482</v>
      </c>
      <c r="D3079" s="49">
        <f ca="1">C3079*Inputs!$B$12</f>
        <v>57840000</v>
      </c>
    </row>
    <row r="3080" spans="1:4" ht="13.5" customHeight="1" x14ac:dyDescent="0.3">
      <c r="A3080" s="50">
        <v>3076</v>
      </c>
      <c r="B3080" s="51">
        <f t="shared" ca="1" si="48"/>
        <v>0.93895295625253261</v>
      </c>
      <c r="C3080" s="48">
        <f t="array" aca="1" ref="C3080" ca="1">MAX(0,ROUND(Inputs!$B$10*Inputs!$B$11+NORMSINV(B3080)*SQRT(Inputs!$B$10*Inputs!$B$11),0))</f>
        <v>535</v>
      </c>
      <c r="D3080" s="52">
        <f ca="1">C3080*Inputs!$B$12</f>
        <v>64200000</v>
      </c>
    </row>
    <row r="3081" spans="1:4" ht="13.5" customHeight="1" x14ac:dyDescent="0.3">
      <c r="A3081" s="46">
        <v>3077</v>
      </c>
      <c r="B3081" s="47">
        <f t="shared" ca="1" si="48"/>
        <v>0.90218470916534721</v>
      </c>
      <c r="C3081" s="48">
        <f t="array" aca="1" ref="C3081" ca="1">MAX(0,ROUND(Inputs!$B$10*Inputs!$B$11+NORMSINV(B3081)*SQRT(Inputs!$B$10*Inputs!$B$11),0))</f>
        <v>529</v>
      </c>
      <c r="D3081" s="49">
        <f ca="1">C3081*Inputs!$B$12</f>
        <v>63480000</v>
      </c>
    </row>
    <row r="3082" spans="1:4" ht="13.5" customHeight="1" x14ac:dyDescent="0.3">
      <c r="A3082" s="50">
        <v>3078</v>
      </c>
      <c r="B3082" s="51">
        <f t="shared" ca="1" si="48"/>
        <v>0.49321422912234192</v>
      </c>
      <c r="C3082" s="48">
        <f t="array" aca="1" ref="C3082" ca="1">MAX(0,ROUND(Inputs!$B$10*Inputs!$B$11+NORMSINV(B3082)*SQRT(Inputs!$B$10*Inputs!$B$11),0))</f>
        <v>500</v>
      </c>
      <c r="D3082" s="52">
        <f ca="1">C3082*Inputs!$B$12</f>
        <v>60000000</v>
      </c>
    </row>
    <row r="3083" spans="1:4" ht="13.5" customHeight="1" x14ac:dyDescent="0.3">
      <c r="A3083" s="46">
        <v>3079</v>
      </c>
      <c r="B3083" s="47">
        <f t="shared" ca="1" si="48"/>
        <v>7.3207828242173756E-2</v>
      </c>
      <c r="C3083" s="48">
        <f t="array" aca="1" ref="C3083" ca="1">MAX(0,ROUND(Inputs!$B$10*Inputs!$B$11+NORMSINV(B3083)*SQRT(Inputs!$B$10*Inputs!$B$11),0))</f>
        <v>468</v>
      </c>
      <c r="D3083" s="49">
        <f ca="1">C3083*Inputs!$B$12</f>
        <v>56160000</v>
      </c>
    </row>
    <row r="3084" spans="1:4" ht="13.5" customHeight="1" x14ac:dyDescent="0.3">
      <c r="A3084" s="50">
        <v>3080</v>
      </c>
      <c r="B3084" s="51">
        <f t="shared" ca="1" si="48"/>
        <v>0.77121610111215555</v>
      </c>
      <c r="C3084" s="48">
        <f t="array" aca="1" ref="C3084" ca="1">MAX(0,ROUND(Inputs!$B$10*Inputs!$B$11+NORMSINV(B3084)*SQRT(Inputs!$B$10*Inputs!$B$11),0))</f>
        <v>517</v>
      </c>
      <c r="D3084" s="52">
        <f ca="1">C3084*Inputs!$B$12</f>
        <v>62040000</v>
      </c>
    </row>
    <row r="3085" spans="1:4" ht="13.5" customHeight="1" x14ac:dyDescent="0.3">
      <c r="A3085" s="46">
        <v>3081</v>
      </c>
      <c r="B3085" s="47">
        <f t="shared" ca="1" si="48"/>
        <v>8.9510606990455766E-2</v>
      </c>
      <c r="C3085" s="48">
        <f t="array" aca="1" ref="C3085" ca="1">MAX(0,ROUND(Inputs!$B$10*Inputs!$B$11+NORMSINV(B3085)*SQRT(Inputs!$B$10*Inputs!$B$11),0))</f>
        <v>470</v>
      </c>
      <c r="D3085" s="49">
        <f ca="1">C3085*Inputs!$B$12</f>
        <v>56400000</v>
      </c>
    </row>
    <row r="3086" spans="1:4" ht="13.5" customHeight="1" x14ac:dyDescent="0.3">
      <c r="A3086" s="50">
        <v>3082</v>
      </c>
      <c r="B3086" s="51">
        <f t="shared" ca="1" si="48"/>
        <v>0.73164618144061067</v>
      </c>
      <c r="C3086" s="48">
        <f t="array" aca="1" ref="C3086" ca="1">MAX(0,ROUND(Inputs!$B$10*Inputs!$B$11+NORMSINV(B3086)*SQRT(Inputs!$B$10*Inputs!$B$11),0))</f>
        <v>514</v>
      </c>
      <c r="D3086" s="52">
        <f ca="1">C3086*Inputs!$B$12</f>
        <v>61680000</v>
      </c>
    </row>
    <row r="3087" spans="1:4" ht="13.5" customHeight="1" x14ac:dyDescent="0.3">
      <c r="A3087" s="46">
        <v>3083</v>
      </c>
      <c r="B3087" s="47">
        <f t="shared" ca="1" si="48"/>
        <v>0.90967755382628923</v>
      </c>
      <c r="C3087" s="48">
        <f t="array" aca="1" ref="C3087" ca="1">MAX(0,ROUND(Inputs!$B$10*Inputs!$B$11+NORMSINV(B3087)*SQRT(Inputs!$B$10*Inputs!$B$11),0))</f>
        <v>530</v>
      </c>
      <c r="D3087" s="49">
        <f ca="1">C3087*Inputs!$B$12</f>
        <v>63600000</v>
      </c>
    </row>
    <row r="3088" spans="1:4" ht="13.5" customHeight="1" x14ac:dyDescent="0.3">
      <c r="A3088" s="50">
        <v>3084</v>
      </c>
      <c r="B3088" s="51">
        <f t="shared" ca="1" si="48"/>
        <v>0.80604888402822095</v>
      </c>
      <c r="C3088" s="48">
        <f t="array" aca="1" ref="C3088" ca="1">MAX(0,ROUND(Inputs!$B$10*Inputs!$B$11+NORMSINV(B3088)*SQRT(Inputs!$B$10*Inputs!$B$11),0))</f>
        <v>519</v>
      </c>
      <c r="D3088" s="52">
        <f ca="1">C3088*Inputs!$B$12</f>
        <v>62280000</v>
      </c>
    </row>
    <row r="3089" spans="1:4" ht="13.5" customHeight="1" x14ac:dyDescent="0.3">
      <c r="A3089" s="46">
        <v>3085</v>
      </c>
      <c r="B3089" s="47">
        <f t="shared" ca="1" si="48"/>
        <v>0.77299339406100853</v>
      </c>
      <c r="C3089" s="48">
        <f t="array" aca="1" ref="C3089" ca="1">MAX(0,ROUND(Inputs!$B$10*Inputs!$B$11+NORMSINV(B3089)*SQRT(Inputs!$B$10*Inputs!$B$11),0))</f>
        <v>517</v>
      </c>
      <c r="D3089" s="49">
        <f ca="1">C3089*Inputs!$B$12</f>
        <v>62040000</v>
      </c>
    </row>
    <row r="3090" spans="1:4" ht="13.5" customHeight="1" x14ac:dyDescent="0.3">
      <c r="A3090" s="50">
        <v>3086</v>
      </c>
      <c r="B3090" s="51">
        <f t="shared" ca="1" si="48"/>
        <v>0.35177535782546776</v>
      </c>
      <c r="C3090" s="48">
        <f t="array" aca="1" ref="C3090" ca="1">MAX(0,ROUND(Inputs!$B$10*Inputs!$B$11+NORMSINV(B3090)*SQRT(Inputs!$B$10*Inputs!$B$11),0))</f>
        <v>491</v>
      </c>
      <c r="D3090" s="52">
        <f ca="1">C3090*Inputs!$B$12</f>
        <v>58920000</v>
      </c>
    </row>
    <row r="3091" spans="1:4" ht="13.5" customHeight="1" x14ac:dyDescent="0.3">
      <c r="A3091" s="46">
        <v>3087</v>
      </c>
      <c r="B3091" s="47">
        <f t="shared" ca="1" si="48"/>
        <v>6.770259789805444E-2</v>
      </c>
      <c r="C3091" s="48">
        <f t="array" aca="1" ref="C3091" ca="1">MAX(0,ROUND(Inputs!$B$10*Inputs!$B$11+NORMSINV(B3091)*SQRT(Inputs!$B$10*Inputs!$B$11),0))</f>
        <v>467</v>
      </c>
      <c r="D3091" s="49">
        <f ca="1">C3091*Inputs!$B$12</f>
        <v>56040000</v>
      </c>
    </row>
    <row r="3092" spans="1:4" ht="13.5" customHeight="1" x14ac:dyDescent="0.3">
      <c r="A3092" s="50">
        <v>3088</v>
      </c>
      <c r="B3092" s="51">
        <f t="shared" ca="1" si="48"/>
        <v>0.24965749200630949</v>
      </c>
      <c r="C3092" s="48">
        <f t="array" aca="1" ref="C3092" ca="1">MAX(0,ROUND(Inputs!$B$10*Inputs!$B$11+NORMSINV(B3092)*SQRT(Inputs!$B$10*Inputs!$B$11),0))</f>
        <v>485</v>
      </c>
      <c r="D3092" s="52">
        <f ca="1">C3092*Inputs!$B$12</f>
        <v>58200000</v>
      </c>
    </row>
    <row r="3093" spans="1:4" ht="13.5" customHeight="1" x14ac:dyDescent="0.3">
      <c r="A3093" s="46">
        <v>3089</v>
      </c>
      <c r="B3093" s="47">
        <f t="shared" ca="1" si="48"/>
        <v>0.58882310030854457</v>
      </c>
      <c r="C3093" s="48">
        <f t="array" aca="1" ref="C3093" ca="1">MAX(0,ROUND(Inputs!$B$10*Inputs!$B$11+NORMSINV(B3093)*SQRT(Inputs!$B$10*Inputs!$B$11),0))</f>
        <v>505</v>
      </c>
      <c r="D3093" s="49">
        <f ca="1">C3093*Inputs!$B$12</f>
        <v>60600000</v>
      </c>
    </row>
    <row r="3094" spans="1:4" ht="13.5" customHeight="1" x14ac:dyDescent="0.3">
      <c r="A3094" s="50">
        <v>3090</v>
      </c>
      <c r="B3094" s="51">
        <f t="shared" ca="1" si="48"/>
        <v>0.20581870032865057</v>
      </c>
      <c r="C3094" s="48">
        <f t="array" aca="1" ref="C3094" ca="1">MAX(0,ROUND(Inputs!$B$10*Inputs!$B$11+NORMSINV(B3094)*SQRT(Inputs!$B$10*Inputs!$B$11),0))</f>
        <v>482</v>
      </c>
      <c r="D3094" s="52">
        <f ca="1">C3094*Inputs!$B$12</f>
        <v>57840000</v>
      </c>
    </row>
    <row r="3095" spans="1:4" ht="13.5" customHeight="1" x14ac:dyDescent="0.3">
      <c r="A3095" s="46">
        <v>3091</v>
      </c>
      <c r="B3095" s="47">
        <f t="shared" ca="1" si="48"/>
        <v>0.60401577102442761</v>
      </c>
      <c r="C3095" s="48">
        <f t="array" aca="1" ref="C3095" ca="1">MAX(0,ROUND(Inputs!$B$10*Inputs!$B$11+NORMSINV(B3095)*SQRT(Inputs!$B$10*Inputs!$B$11),0))</f>
        <v>506</v>
      </c>
      <c r="D3095" s="49">
        <f ca="1">C3095*Inputs!$B$12</f>
        <v>60720000</v>
      </c>
    </row>
    <row r="3096" spans="1:4" ht="13.5" customHeight="1" x14ac:dyDescent="0.3">
      <c r="A3096" s="50">
        <v>3092</v>
      </c>
      <c r="B3096" s="51">
        <f t="shared" ca="1" si="48"/>
        <v>0.37923732978946245</v>
      </c>
      <c r="C3096" s="48">
        <f t="array" aca="1" ref="C3096" ca="1">MAX(0,ROUND(Inputs!$B$10*Inputs!$B$11+NORMSINV(B3096)*SQRT(Inputs!$B$10*Inputs!$B$11),0))</f>
        <v>493</v>
      </c>
      <c r="D3096" s="52">
        <f ca="1">C3096*Inputs!$B$12</f>
        <v>59160000</v>
      </c>
    </row>
    <row r="3097" spans="1:4" ht="13.5" customHeight="1" x14ac:dyDescent="0.3">
      <c r="A3097" s="46">
        <v>3093</v>
      </c>
      <c r="B3097" s="47">
        <f t="shared" ca="1" si="48"/>
        <v>0.85027085350467957</v>
      </c>
      <c r="C3097" s="48">
        <f t="array" aca="1" ref="C3097" ca="1">MAX(0,ROUND(Inputs!$B$10*Inputs!$B$11+NORMSINV(B3097)*SQRT(Inputs!$B$10*Inputs!$B$11),0))</f>
        <v>523</v>
      </c>
      <c r="D3097" s="49">
        <f ca="1">C3097*Inputs!$B$12</f>
        <v>62760000</v>
      </c>
    </row>
    <row r="3098" spans="1:4" ht="13.5" customHeight="1" x14ac:dyDescent="0.3">
      <c r="A3098" s="50">
        <v>3094</v>
      </c>
      <c r="B3098" s="51">
        <f t="shared" ca="1" si="48"/>
        <v>0.2124429260291526</v>
      </c>
      <c r="C3098" s="48">
        <f t="array" aca="1" ref="C3098" ca="1">MAX(0,ROUND(Inputs!$B$10*Inputs!$B$11+NORMSINV(B3098)*SQRT(Inputs!$B$10*Inputs!$B$11),0))</f>
        <v>482</v>
      </c>
      <c r="D3098" s="52">
        <f ca="1">C3098*Inputs!$B$12</f>
        <v>57840000</v>
      </c>
    </row>
    <row r="3099" spans="1:4" ht="13.5" customHeight="1" x14ac:dyDescent="0.3">
      <c r="A3099" s="46">
        <v>3095</v>
      </c>
      <c r="B3099" s="47">
        <f t="shared" ca="1" si="48"/>
        <v>0.78412066522203572</v>
      </c>
      <c r="C3099" s="48">
        <f t="array" aca="1" ref="C3099" ca="1">MAX(0,ROUND(Inputs!$B$10*Inputs!$B$11+NORMSINV(B3099)*SQRT(Inputs!$B$10*Inputs!$B$11),0))</f>
        <v>518</v>
      </c>
      <c r="D3099" s="49">
        <f ca="1">C3099*Inputs!$B$12</f>
        <v>62160000</v>
      </c>
    </row>
    <row r="3100" spans="1:4" ht="13.5" customHeight="1" x14ac:dyDescent="0.3">
      <c r="A3100" s="50">
        <v>3096</v>
      </c>
      <c r="B3100" s="51">
        <f t="shared" ca="1" si="48"/>
        <v>0.24612620888692827</v>
      </c>
      <c r="C3100" s="48">
        <f t="array" aca="1" ref="C3100" ca="1">MAX(0,ROUND(Inputs!$B$10*Inputs!$B$11+NORMSINV(B3100)*SQRT(Inputs!$B$10*Inputs!$B$11),0))</f>
        <v>485</v>
      </c>
      <c r="D3100" s="52">
        <f ca="1">C3100*Inputs!$B$12</f>
        <v>58200000</v>
      </c>
    </row>
    <row r="3101" spans="1:4" ht="13.5" customHeight="1" x14ac:dyDescent="0.3">
      <c r="A3101" s="46">
        <v>3097</v>
      </c>
      <c r="B3101" s="47">
        <f t="shared" ca="1" si="48"/>
        <v>0.61216696552953631</v>
      </c>
      <c r="C3101" s="48">
        <f t="array" aca="1" ref="C3101" ca="1">MAX(0,ROUND(Inputs!$B$10*Inputs!$B$11+NORMSINV(B3101)*SQRT(Inputs!$B$10*Inputs!$B$11),0))</f>
        <v>506</v>
      </c>
      <c r="D3101" s="49">
        <f ca="1">C3101*Inputs!$B$12</f>
        <v>60720000</v>
      </c>
    </row>
    <row r="3102" spans="1:4" ht="13.5" customHeight="1" x14ac:dyDescent="0.3">
      <c r="A3102" s="50">
        <v>3098</v>
      </c>
      <c r="B3102" s="51">
        <f t="shared" ca="1" si="48"/>
        <v>0.84141522980924477</v>
      </c>
      <c r="C3102" s="48">
        <f t="array" aca="1" ref="C3102" ca="1">MAX(0,ROUND(Inputs!$B$10*Inputs!$B$11+NORMSINV(B3102)*SQRT(Inputs!$B$10*Inputs!$B$11),0))</f>
        <v>522</v>
      </c>
      <c r="D3102" s="52">
        <f ca="1">C3102*Inputs!$B$12</f>
        <v>62640000</v>
      </c>
    </row>
    <row r="3103" spans="1:4" ht="13.5" customHeight="1" x14ac:dyDescent="0.3">
      <c r="A3103" s="46">
        <v>3099</v>
      </c>
      <c r="B3103" s="47">
        <f t="shared" ca="1" si="48"/>
        <v>0.99481443014816684</v>
      </c>
      <c r="C3103" s="48">
        <f t="array" aca="1" ref="C3103" ca="1">MAX(0,ROUND(Inputs!$B$10*Inputs!$B$11+NORMSINV(B3103)*SQRT(Inputs!$B$10*Inputs!$B$11),0))</f>
        <v>557</v>
      </c>
      <c r="D3103" s="49">
        <f ca="1">C3103*Inputs!$B$12</f>
        <v>66840000</v>
      </c>
    </row>
    <row r="3104" spans="1:4" ht="13.5" customHeight="1" x14ac:dyDescent="0.3">
      <c r="A3104" s="50">
        <v>3100</v>
      </c>
      <c r="B3104" s="51">
        <f t="shared" ca="1" si="48"/>
        <v>1.6641708352184481E-2</v>
      </c>
      <c r="C3104" s="48">
        <f t="array" aca="1" ref="C3104" ca="1">MAX(0,ROUND(Inputs!$B$10*Inputs!$B$11+NORMSINV(B3104)*SQRT(Inputs!$B$10*Inputs!$B$11),0))</f>
        <v>452</v>
      </c>
      <c r="D3104" s="52">
        <f ca="1">C3104*Inputs!$B$12</f>
        <v>54240000</v>
      </c>
    </row>
    <row r="3105" spans="1:4" ht="13.5" customHeight="1" x14ac:dyDescent="0.3">
      <c r="A3105" s="46">
        <v>3101</v>
      </c>
      <c r="B3105" s="47">
        <f t="shared" ca="1" si="48"/>
        <v>0.16950845588364083</v>
      </c>
      <c r="C3105" s="48">
        <f t="array" aca="1" ref="C3105" ca="1">MAX(0,ROUND(Inputs!$B$10*Inputs!$B$11+NORMSINV(B3105)*SQRT(Inputs!$B$10*Inputs!$B$11),0))</f>
        <v>479</v>
      </c>
      <c r="D3105" s="49">
        <f ca="1">C3105*Inputs!$B$12</f>
        <v>57480000</v>
      </c>
    </row>
    <row r="3106" spans="1:4" ht="13.5" customHeight="1" x14ac:dyDescent="0.3">
      <c r="A3106" s="50">
        <v>3102</v>
      </c>
      <c r="B3106" s="51">
        <f t="shared" ca="1" si="48"/>
        <v>0.57757708443624611</v>
      </c>
      <c r="C3106" s="48">
        <f t="array" aca="1" ref="C3106" ca="1">MAX(0,ROUND(Inputs!$B$10*Inputs!$B$11+NORMSINV(B3106)*SQRT(Inputs!$B$10*Inputs!$B$11),0))</f>
        <v>504</v>
      </c>
      <c r="D3106" s="52">
        <f ca="1">C3106*Inputs!$B$12</f>
        <v>60480000</v>
      </c>
    </row>
    <row r="3107" spans="1:4" ht="13.5" customHeight="1" x14ac:dyDescent="0.3">
      <c r="A3107" s="46">
        <v>3103</v>
      </c>
      <c r="B3107" s="47">
        <f t="shared" ca="1" si="48"/>
        <v>0.22669506841557463</v>
      </c>
      <c r="C3107" s="48">
        <f t="array" aca="1" ref="C3107" ca="1">MAX(0,ROUND(Inputs!$B$10*Inputs!$B$11+NORMSINV(B3107)*SQRT(Inputs!$B$10*Inputs!$B$11),0))</f>
        <v>483</v>
      </c>
      <c r="D3107" s="49">
        <f ca="1">C3107*Inputs!$B$12</f>
        <v>57960000</v>
      </c>
    </row>
    <row r="3108" spans="1:4" ht="13.5" customHeight="1" x14ac:dyDescent="0.3">
      <c r="A3108" s="50">
        <v>3104</v>
      </c>
      <c r="B3108" s="51">
        <f t="shared" ca="1" si="48"/>
        <v>0.48519942688859941</v>
      </c>
      <c r="C3108" s="48">
        <f t="array" aca="1" ref="C3108" ca="1">MAX(0,ROUND(Inputs!$B$10*Inputs!$B$11+NORMSINV(B3108)*SQRT(Inputs!$B$10*Inputs!$B$11),0))</f>
        <v>499</v>
      </c>
      <c r="D3108" s="52">
        <f ca="1">C3108*Inputs!$B$12</f>
        <v>59880000</v>
      </c>
    </row>
    <row r="3109" spans="1:4" ht="13.5" customHeight="1" x14ac:dyDescent="0.3">
      <c r="A3109" s="46">
        <v>3105</v>
      </c>
      <c r="B3109" s="47">
        <f t="shared" ca="1" si="48"/>
        <v>0.67023814437785934</v>
      </c>
      <c r="C3109" s="48">
        <f t="array" aca="1" ref="C3109" ca="1">MAX(0,ROUND(Inputs!$B$10*Inputs!$B$11+NORMSINV(B3109)*SQRT(Inputs!$B$10*Inputs!$B$11),0))</f>
        <v>510</v>
      </c>
      <c r="D3109" s="49">
        <f ca="1">C3109*Inputs!$B$12</f>
        <v>61200000</v>
      </c>
    </row>
    <row r="3110" spans="1:4" ht="13.5" customHeight="1" x14ac:dyDescent="0.3">
      <c r="A3110" s="50">
        <v>3106</v>
      </c>
      <c r="B3110" s="51">
        <f t="shared" ca="1" si="48"/>
        <v>0.94006513593266783</v>
      </c>
      <c r="C3110" s="48">
        <f t="array" aca="1" ref="C3110" ca="1">MAX(0,ROUND(Inputs!$B$10*Inputs!$B$11+NORMSINV(B3110)*SQRT(Inputs!$B$10*Inputs!$B$11),0))</f>
        <v>535</v>
      </c>
      <c r="D3110" s="52">
        <f ca="1">C3110*Inputs!$B$12</f>
        <v>64200000</v>
      </c>
    </row>
    <row r="3111" spans="1:4" ht="13.5" customHeight="1" x14ac:dyDescent="0.3">
      <c r="A3111" s="46">
        <v>3107</v>
      </c>
      <c r="B3111" s="47">
        <f t="shared" ca="1" si="48"/>
        <v>0.59913129171588164</v>
      </c>
      <c r="C3111" s="48">
        <f t="array" aca="1" ref="C3111" ca="1">MAX(0,ROUND(Inputs!$B$10*Inputs!$B$11+NORMSINV(B3111)*SQRT(Inputs!$B$10*Inputs!$B$11),0))</f>
        <v>506</v>
      </c>
      <c r="D3111" s="49">
        <f ca="1">C3111*Inputs!$B$12</f>
        <v>60720000</v>
      </c>
    </row>
    <row r="3112" spans="1:4" ht="13.5" customHeight="1" x14ac:dyDescent="0.3">
      <c r="A3112" s="50">
        <v>3108</v>
      </c>
      <c r="B3112" s="51">
        <f t="shared" ca="1" si="48"/>
        <v>0.92218895952114788</v>
      </c>
      <c r="C3112" s="48">
        <f t="array" aca="1" ref="C3112" ca="1">MAX(0,ROUND(Inputs!$B$10*Inputs!$B$11+NORMSINV(B3112)*SQRT(Inputs!$B$10*Inputs!$B$11),0))</f>
        <v>532</v>
      </c>
      <c r="D3112" s="52">
        <f ca="1">C3112*Inputs!$B$12</f>
        <v>63840000</v>
      </c>
    </row>
    <row r="3113" spans="1:4" ht="13.5" customHeight="1" x14ac:dyDescent="0.3">
      <c r="A3113" s="46">
        <v>3109</v>
      </c>
      <c r="B3113" s="47">
        <f t="shared" ca="1" si="48"/>
        <v>2.8713071057157036E-2</v>
      </c>
      <c r="C3113" s="48">
        <f t="array" aca="1" ref="C3113" ca="1">MAX(0,ROUND(Inputs!$B$10*Inputs!$B$11+NORMSINV(B3113)*SQRT(Inputs!$B$10*Inputs!$B$11),0))</f>
        <v>458</v>
      </c>
      <c r="D3113" s="49">
        <f ca="1">C3113*Inputs!$B$12</f>
        <v>54960000</v>
      </c>
    </row>
    <row r="3114" spans="1:4" ht="13.5" customHeight="1" x14ac:dyDescent="0.3">
      <c r="A3114" s="50">
        <v>3110</v>
      </c>
      <c r="B3114" s="51">
        <f t="shared" ca="1" si="48"/>
        <v>0.43621991117851011</v>
      </c>
      <c r="C3114" s="48">
        <f t="array" aca="1" ref="C3114" ca="1">MAX(0,ROUND(Inputs!$B$10*Inputs!$B$11+NORMSINV(B3114)*SQRT(Inputs!$B$10*Inputs!$B$11),0))</f>
        <v>496</v>
      </c>
      <c r="D3114" s="52">
        <f ca="1">C3114*Inputs!$B$12</f>
        <v>59520000</v>
      </c>
    </row>
    <row r="3115" spans="1:4" ht="13.5" customHeight="1" x14ac:dyDescent="0.3">
      <c r="A3115" s="46">
        <v>3111</v>
      </c>
      <c r="B3115" s="47">
        <f t="shared" ca="1" si="48"/>
        <v>0.50008364190601473</v>
      </c>
      <c r="C3115" s="48">
        <f t="array" aca="1" ref="C3115" ca="1">MAX(0,ROUND(Inputs!$B$10*Inputs!$B$11+NORMSINV(B3115)*SQRT(Inputs!$B$10*Inputs!$B$11),0))</f>
        <v>500</v>
      </c>
      <c r="D3115" s="49">
        <f ca="1">C3115*Inputs!$B$12</f>
        <v>60000000</v>
      </c>
    </row>
    <row r="3116" spans="1:4" ht="13.5" customHeight="1" x14ac:dyDescent="0.3">
      <c r="A3116" s="50">
        <v>3112</v>
      </c>
      <c r="B3116" s="51">
        <f t="shared" ca="1" si="48"/>
        <v>0.97869254075055634</v>
      </c>
      <c r="C3116" s="48">
        <f t="array" aca="1" ref="C3116" ca="1">MAX(0,ROUND(Inputs!$B$10*Inputs!$B$11+NORMSINV(B3116)*SQRT(Inputs!$B$10*Inputs!$B$11),0))</f>
        <v>545</v>
      </c>
      <c r="D3116" s="52">
        <f ca="1">C3116*Inputs!$B$12</f>
        <v>65400000</v>
      </c>
    </row>
    <row r="3117" spans="1:4" ht="13.5" customHeight="1" x14ac:dyDescent="0.3">
      <c r="A3117" s="46">
        <v>3113</v>
      </c>
      <c r="B3117" s="47">
        <f t="shared" ca="1" si="48"/>
        <v>0.11400092504158144</v>
      </c>
      <c r="C3117" s="48">
        <f t="array" aca="1" ref="C3117" ca="1">MAX(0,ROUND(Inputs!$B$10*Inputs!$B$11+NORMSINV(B3117)*SQRT(Inputs!$B$10*Inputs!$B$11),0))</f>
        <v>473</v>
      </c>
      <c r="D3117" s="49">
        <f ca="1">C3117*Inputs!$B$12</f>
        <v>56760000</v>
      </c>
    </row>
    <row r="3118" spans="1:4" ht="13.5" customHeight="1" x14ac:dyDescent="0.3">
      <c r="A3118" s="50">
        <v>3114</v>
      </c>
      <c r="B3118" s="51">
        <f t="shared" ca="1" si="48"/>
        <v>0.23209361516960236</v>
      </c>
      <c r="C3118" s="48">
        <f t="array" aca="1" ref="C3118" ca="1">MAX(0,ROUND(Inputs!$B$10*Inputs!$B$11+NORMSINV(B3118)*SQRT(Inputs!$B$10*Inputs!$B$11),0))</f>
        <v>484</v>
      </c>
      <c r="D3118" s="52">
        <f ca="1">C3118*Inputs!$B$12</f>
        <v>58080000</v>
      </c>
    </row>
    <row r="3119" spans="1:4" ht="13.5" customHeight="1" x14ac:dyDescent="0.3">
      <c r="A3119" s="46">
        <v>3115</v>
      </c>
      <c r="B3119" s="47">
        <f t="shared" ca="1" si="48"/>
        <v>0.23135610369436699</v>
      </c>
      <c r="C3119" s="48">
        <f t="array" aca="1" ref="C3119" ca="1">MAX(0,ROUND(Inputs!$B$10*Inputs!$B$11+NORMSINV(B3119)*SQRT(Inputs!$B$10*Inputs!$B$11),0))</f>
        <v>484</v>
      </c>
      <c r="D3119" s="49">
        <f ca="1">C3119*Inputs!$B$12</f>
        <v>58080000</v>
      </c>
    </row>
    <row r="3120" spans="1:4" ht="13.5" customHeight="1" x14ac:dyDescent="0.3">
      <c r="A3120" s="50">
        <v>3116</v>
      </c>
      <c r="B3120" s="51">
        <f t="shared" ca="1" si="48"/>
        <v>0.82661385667551635</v>
      </c>
      <c r="C3120" s="48">
        <f t="array" aca="1" ref="C3120" ca="1">MAX(0,ROUND(Inputs!$B$10*Inputs!$B$11+NORMSINV(B3120)*SQRT(Inputs!$B$10*Inputs!$B$11),0))</f>
        <v>521</v>
      </c>
      <c r="D3120" s="52">
        <f ca="1">C3120*Inputs!$B$12</f>
        <v>62520000</v>
      </c>
    </row>
    <row r="3121" spans="1:4" ht="13.5" customHeight="1" x14ac:dyDescent="0.3">
      <c r="A3121" s="46">
        <v>3117</v>
      </c>
      <c r="B3121" s="47">
        <f t="shared" ca="1" si="48"/>
        <v>0.87291936861040731</v>
      </c>
      <c r="C3121" s="48">
        <f t="array" aca="1" ref="C3121" ca="1">MAX(0,ROUND(Inputs!$B$10*Inputs!$B$11+NORMSINV(B3121)*SQRT(Inputs!$B$10*Inputs!$B$11),0))</f>
        <v>525</v>
      </c>
      <c r="D3121" s="49">
        <f ca="1">C3121*Inputs!$B$12</f>
        <v>63000000</v>
      </c>
    </row>
    <row r="3122" spans="1:4" ht="13.5" customHeight="1" x14ac:dyDescent="0.3">
      <c r="A3122" s="50">
        <v>3118</v>
      </c>
      <c r="B3122" s="51">
        <f t="shared" ca="1" si="48"/>
        <v>0.33156574745245937</v>
      </c>
      <c r="C3122" s="48">
        <f t="array" aca="1" ref="C3122" ca="1">MAX(0,ROUND(Inputs!$B$10*Inputs!$B$11+NORMSINV(B3122)*SQRT(Inputs!$B$10*Inputs!$B$11),0))</f>
        <v>490</v>
      </c>
      <c r="D3122" s="52">
        <f ca="1">C3122*Inputs!$B$12</f>
        <v>58800000</v>
      </c>
    </row>
    <row r="3123" spans="1:4" ht="13.5" customHeight="1" x14ac:dyDescent="0.3">
      <c r="A3123" s="46">
        <v>3119</v>
      </c>
      <c r="B3123" s="47">
        <f t="shared" ca="1" si="48"/>
        <v>0.44728212350993346</v>
      </c>
      <c r="C3123" s="48">
        <f t="array" aca="1" ref="C3123" ca="1">MAX(0,ROUND(Inputs!$B$10*Inputs!$B$11+NORMSINV(B3123)*SQRT(Inputs!$B$10*Inputs!$B$11),0))</f>
        <v>497</v>
      </c>
      <c r="D3123" s="49">
        <f ca="1">C3123*Inputs!$B$12</f>
        <v>59640000</v>
      </c>
    </row>
    <row r="3124" spans="1:4" ht="13.5" customHeight="1" x14ac:dyDescent="0.3">
      <c r="A3124" s="50">
        <v>3120</v>
      </c>
      <c r="B3124" s="51">
        <f t="shared" ca="1" si="48"/>
        <v>0.86139460249746913</v>
      </c>
      <c r="C3124" s="48">
        <f t="array" aca="1" ref="C3124" ca="1">MAX(0,ROUND(Inputs!$B$10*Inputs!$B$11+NORMSINV(B3124)*SQRT(Inputs!$B$10*Inputs!$B$11),0))</f>
        <v>524</v>
      </c>
      <c r="D3124" s="52">
        <f ca="1">C3124*Inputs!$B$12</f>
        <v>62880000</v>
      </c>
    </row>
    <row r="3125" spans="1:4" ht="13.5" customHeight="1" x14ac:dyDescent="0.3">
      <c r="A3125" s="46">
        <v>3121</v>
      </c>
      <c r="B3125" s="47">
        <f t="shared" ca="1" si="48"/>
        <v>0.8703676323427002</v>
      </c>
      <c r="C3125" s="48">
        <f t="array" aca="1" ref="C3125" ca="1">MAX(0,ROUND(Inputs!$B$10*Inputs!$B$11+NORMSINV(B3125)*SQRT(Inputs!$B$10*Inputs!$B$11),0))</f>
        <v>525</v>
      </c>
      <c r="D3125" s="49">
        <f ca="1">C3125*Inputs!$B$12</f>
        <v>63000000</v>
      </c>
    </row>
    <row r="3126" spans="1:4" ht="13.5" customHeight="1" x14ac:dyDescent="0.3">
      <c r="A3126" s="50">
        <v>3122</v>
      </c>
      <c r="B3126" s="51">
        <f t="shared" ca="1" si="48"/>
        <v>8.7098732549296676E-2</v>
      </c>
      <c r="C3126" s="48">
        <f t="array" aca="1" ref="C3126" ca="1">MAX(0,ROUND(Inputs!$B$10*Inputs!$B$11+NORMSINV(B3126)*SQRT(Inputs!$B$10*Inputs!$B$11),0))</f>
        <v>470</v>
      </c>
      <c r="D3126" s="52">
        <f ca="1">C3126*Inputs!$B$12</f>
        <v>56400000</v>
      </c>
    </row>
    <row r="3127" spans="1:4" ht="13.5" customHeight="1" x14ac:dyDescent="0.3">
      <c r="A3127" s="46">
        <v>3123</v>
      </c>
      <c r="B3127" s="47">
        <f t="shared" ca="1" si="48"/>
        <v>0.12701217686687727</v>
      </c>
      <c r="C3127" s="48">
        <f t="array" aca="1" ref="C3127" ca="1">MAX(0,ROUND(Inputs!$B$10*Inputs!$B$11+NORMSINV(B3127)*SQRT(Inputs!$B$10*Inputs!$B$11),0))</f>
        <v>474</v>
      </c>
      <c r="D3127" s="49">
        <f ca="1">C3127*Inputs!$B$12</f>
        <v>56880000</v>
      </c>
    </row>
    <row r="3128" spans="1:4" ht="13.5" customHeight="1" x14ac:dyDescent="0.3">
      <c r="A3128" s="50">
        <v>3124</v>
      </c>
      <c r="B3128" s="51">
        <f t="shared" ca="1" si="48"/>
        <v>0.34052824964069528</v>
      </c>
      <c r="C3128" s="48">
        <f t="array" aca="1" ref="C3128" ca="1">MAX(0,ROUND(Inputs!$B$10*Inputs!$B$11+NORMSINV(B3128)*SQRT(Inputs!$B$10*Inputs!$B$11),0))</f>
        <v>491</v>
      </c>
      <c r="D3128" s="52">
        <f ca="1">C3128*Inputs!$B$12</f>
        <v>58920000</v>
      </c>
    </row>
    <row r="3129" spans="1:4" ht="13.5" customHeight="1" x14ac:dyDescent="0.3">
      <c r="A3129" s="46">
        <v>3125</v>
      </c>
      <c r="B3129" s="47">
        <f t="shared" ca="1" si="48"/>
        <v>0.13442884046918413</v>
      </c>
      <c r="C3129" s="48">
        <f t="array" aca="1" ref="C3129" ca="1">MAX(0,ROUND(Inputs!$B$10*Inputs!$B$11+NORMSINV(B3129)*SQRT(Inputs!$B$10*Inputs!$B$11),0))</f>
        <v>475</v>
      </c>
      <c r="D3129" s="49">
        <f ca="1">C3129*Inputs!$B$12</f>
        <v>57000000</v>
      </c>
    </row>
    <row r="3130" spans="1:4" ht="13.5" customHeight="1" x14ac:dyDescent="0.3">
      <c r="A3130" s="50">
        <v>3126</v>
      </c>
      <c r="B3130" s="51">
        <f t="shared" ca="1" si="48"/>
        <v>0.82673572443169485</v>
      </c>
      <c r="C3130" s="48">
        <f t="array" aca="1" ref="C3130" ca="1">MAX(0,ROUND(Inputs!$B$10*Inputs!$B$11+NORMSINV(B3130)*SQRT(Inputs!$B$10*Inputs!$B$11),0))</f>
        <v>521</v>
      </c>
      <c r="D3130" s="52">
        <f ca="1">C3130*Inputs!$B$12</f>
        <v>62520000</v>
      </c>
    </row>
    <row r="3131" spans="1:4" ht="13.5" customHeight="1" x14ac:dyDescent="0.3">
      <c r="A3131" s="46">
        <v>3127</v>
      </c>
      <c r="B3131" s="47">
        <f t="shared" ca="1" si="48"/>
        <v>4.2457379339968182E-2</v>
      </c>
      <c r="C3131" s="48">
        <f t="array" aca="1" ref="C3131" ca="1">MAX(0,ROUND(Inputs!$B$10*Inputs!$B$11+NORMSINV(B3131)*SQRT(Inputs!$B$10*Inputs!$B$11),0))</f>
        <v>461</v>
      </c>
      <c r="D3131" s="49">
        <f ca="1">C3131*Inputs!$B$12</f>
        <v>55320000</v>
      </c>
    </row>
    <row r="3132" spans="1:4" ht="13.5" customHeight="1" x14ac:dyDescent="0.3">
      <c r="A3132" s="50">
        <v>3128</v>
      </c>
      <c r="B3132" s="51">
        <f t="shared" ca="1" si="48"/>
        <v>0.65333954379232717</v>
      </c>
      <c r="C3132" s="48">
        <f t="array" aca="1" ref="C3132" ca="1">MAX(0,ROUND(Inputs!$B$10*Inputs!$B$11+NORMSINV(B3132)*SQRT(Inputs!$B$10*Inputs!$B$11),0))</f>
        <v>509</v>
      </c>
      <c r="D3132" s="52">
        <f ca="1">C3132*Inputs!$B$12</f>
        <v>61080000</v>
      </c>
    </row>
    <row r="3133" spans="1:4" ht="13.5" customHeight="1" x14ac:dyDescent="0.3">
      <c r="A3133" s="46">
        <v>3129</v>
      </c>
      <c r="B3133" s="47">
        <f t="shared" ca="1" si="48"/>
        <v>9.3656717270414025E-2</v>
      </c>
      <c r="C3133" s="48">
        <f t="array" aca="1" ref="C3133" ca="1">MAX(0,ROUND(Inputs!$B$10*Inputs!$B$11+NORMSINV(B3133)*SQRT(Inputs!$B$10*Inputs!$B$11),0))</f>
        <v>471</v>
      </c>
      <c r="D3133" s="49">
        <f ca="1">C3133*Inputs!$B$12</f>
        <v>56520000</v>
      </c>
    </row>
    <row r="3134" spans="1:4" ht="13.5" customHeight="1" x14ac:dyDescent="0.3">
      <c r="A3134" s="50">
        <v>3130</v>
      </c>
      <c r="B3134" s="51">
        <f t="shared" ca="1" si="48"/>
        <v>0.5410750884774429</v>
      </c>
      <c r="C3134" s="48">
        <f t="array" aca="1" ref="C3134" ca="1">MAX(0,ROUND(Inputs!$B$10*Inputs!$B$11+NORMSINV(B3134)*SQRT(Inputs!$B$10*Inputs!$B$11),0))</f>
        <v>502</v>
      </c>
      <c r="D3134" s="52">
        <f ca="1">C3134*Inputs!$B$12</f>
        <v>60240000</v>
      </c>
    </row>
    <row r="3135" spans="1:4" ht="13.5" customHeight="1" x14ac:dyDescent="0.3">
      <c r="A3135" s="46">
        <v>3131</v>
      </c>
      <c r="B3135" s="47">
        <f t="shared" ca="1" si="48"/>
        <v>0.67677886568416856</v>
      </c>
      <c r="C3135" s="48">
        <f t="array" aca="1" ref="C3135" ca="1">MAX(0,ROUND(Inputs!$B$10*Inputs!$B$11+NORMSINV(B3135)*SQRT(Inputs!$B$10*Inputs!$B$11),0))</f>
        <v>510</v>
      </c>
      <c r="D3135" s="49">
        <f ca="1">C3135*Inputs!$B$12</f>
        <v>61200000</v>
      </c>
    </row>
    <row r="3136" spans="1:4" ht="13.5" customHeight="1" x14ac:dyDescent="0.3">
      <c r="A3136" s="50">
        <v>3132</v>
      </c>
      <c r="B3136" s="51">
        <f t="shared" ca="1" si="48"/>
        <v>0.31418731380820941</v>
      </c>
      <c r="C3136" s="48">
        <f t="array" aca="1" ref="C3136" ca="1">MAX(0,ROUND(Inputs!$B$10*Inputs!$B$11+NORMSINV(B3136)*SQRT(Inputs!$B$10*Inputs!$B$11),0))</f>
        <v>489</v>
      </c>
      <c r="D3136" s="52">
        <f ca="1">C3136*Inputs!$B$12</f>
        <v>58680000</v>
      </c>
    </row>
    <row r="3137" spans="1:4" ht="13.5" customHeight="1" x14ac:dyDescent="0.3">
      <c r="A3137" s="46">
        <v>3133</v>
      </c>
      <c r="B3137" s="47">
        <f t="shared" ca="1" si="48"/>
        <v>0.84481054485420393</v>
      </c>
      <c r="C3137" s="48">
        <f t="array" aca="1" ref="C3137" ca="1">MAX(0,ROUND(Inputs!$B$10*Inputs!$B$11+NORMSINV(B3137)*SQRT(Inputs!$B$10*Inputs!$B$11),0))</f>
        <v>523</v>
      </c>
      <c r="D3137" s="49">
        <f ca="1">C3137*Inputs!$B$12</f>
        <v>62760000</v>
      </c>
    </row>
    <row r="3138" spans="1:4" ht="13.5" customHeight="1" x14ac:dyDescent="0.3">
      <c r="A3138" s="50">
        <v>3134</v>
      </c>
      <c r="B3138" s="51">
        <f t="shared" ca="1" si="48"/>
        <v>0.78167329362329308</v>
      </c>
      <c r="C3138" s="48">
        <f t="array" aca="1" ref="C3138" ca="1">MAX(0,ROUND(Inputs!$B$10*Inputs!$B$11+NORMSINV(B3138)*SQRT(Inputs!$B$10*Inputs!$B$11),0))</f>
        <v>517</v>
      </c>
      <c r="D3138" s="52">
        <f ca="1">C3138*Inputs!$B$12</f>
        <v>62040000</v>
      </c>
    </row>
    <row r="3139" spans="1:4" ht="13.5" customHeight="1" x14ac:dyDescent="0.3">
      <c r="A3139" s="46">
        <v>3135</v>
      </c>
      <c r="B3139" s="47">
        <f t="shared" ca="1" si="48"/>
        <v>0.45393338378730941</v>
      </c>
      <c r="C3139" s="48">
        <f t="array" aca="1" ref="C3139" ca="1">MAX(0,ROUND(Inputs!$B$10*Inputs!$B$11+NORMSINV(B3139)*SQRT(Inputs!$B$10*Inputs!$B$11),0))</f>
        <v>497</v>
      </c>
      <c r="D3139" s="49">
        <f ca="1">C3139*Inputs!$B$12</f>
        <v>59640000</v>
      </c>
    </row>
    <row r="3140" spans="1:4" ht="13.5" customHeight="1" x14ac:dyDescent="0.3">
      <c r="A3140" s="50">
        <v>3136</v>
      </c>
      <c r="B3140" s="51">
        <f t="shared" ca="1" si="48"/>
        <v>0.81052165624268591</v>
      </c>
      <c r="C3140" s="48">
        <f t="array" aca="1" ref="C3140" ca="1">MAX(0,ROUND(Inputs!$B$10*Inputs!$B$11+NORMSINV(B3140)*SQRT(Inputs!$B$10*Inputs!$B$11),0))</f>
        <v>520</v>
      </c>
      <c r="D3140" s="52">
        <f ca="1">C3140*Inputs!$B$12</f>
        <v>62400000</v>
      </c>
    </row>
    <row r="3141" spans="1:4" ht="13.5" customHeight="1" x14ac:dyDescent="0.3">
      <c r="A3141" s="46">
        <v>3137</v>
      </c>
      <c r="B3141" s="47">
        <f t="shared" ref="B3141:B3204" ca="1" si="49">RAND()</f>
        <v>0.52500308004804652</v>
      </c>
      <c r="C3141" s="48">
        <f t="array" aca="1" ref="C3141" ca="1">MAX(0,ROUND(Inputs!$B$10*Inputs!$B$11+NORMSINV(B3141)*SQRT(Inputs!$B$10*Inputs!$B$11),0))</f>
        <v>501</v>
      </c>
      <c r="D3141" s="49">
        <f ca="1">C3141*Inputs!$B$12</f>
        <v>60120000</v>
      </c>
    </row>
    <row r="3142" spans="1:4" ht="13.5" customHeight="1" x14ac:dyDescent="0.3">
      <c r="A3142" s="50">
        <v>3138</v>
      </c>
      <c r="B3142" s="51">
        <f t="shared" ca="1" si="49"/>
        <v>0.17858383727716787</v>
      </c>
      <c r="C3142" s="48">
        <f t="array" aca="1" ref="C3142" ca="1">MAX(0,ROUND(Inputs!$B$10*Inputs!$B$11+NORMSINV(B3142)*SQRT(Inputs!$B$10*Inputs!$B$11),0))</f>
        <v>479</v>
      </c>
      <c r="D3142" s="52">
        <f ca="1">C3142*Inputs!$B$12</f>
        <v>57480000</v>
      </c>
    </row>
    <row r="3143" spans="1:4" ht="13.5" customHeight="1" x14ac:dyDescent="0.3">
      <c r="A3143" s="46">
        <v>3139</v>
      </c>
      <c r="B3143" s="47">
        <f t="shared" ca="1" si="49"/>
        <v>0.85490628578199412</v>
      </c>
      <c r="C3143" s="48">
        <f t="array" aca="1" ref="C3143" ca="1">MAX(0,ROUND(Inputs!$B$10*Inputs!$B$11+NORMSINV(B3143)*SQRT(Inputs!$B$10*Inputs!$B$11),0))</f>
        <v>524</v>
      </c>
      <c r="D3143" s="49">
        <f ca="1">C3143*Inputs!$B$12</f>
        <v>62880000</v>
      </c>
    </row>
    <row r="3144" spans="1:4" ht="13.5" customHeight="1" x14ac:dyDescent="0.3">
      <c r="A3144" s="50">
        <v>3140</v>
      </c>
      <c r="B3144" s="51">
        <f t="shared" ca="1" si="49"/>
        <v>0.97601875579033437</v>
      </c>
      <c r="C3144" s="48">
        <f t="array" aca="1" ref="C3144" ca="1">MAX(0,ROUND(Inputs!$B$10*Inputs!$B$11+NORMSINV(B3144)*SQRT(Inputs!$B$10*Inputs!$B$11),0))</f>
        <v>544</v>
      </c>
      <c r="D3144" s="52">
        <f ca="1">C3144*Inputs!$B$12</f>
        <v>65280000</v>
      </c>
    </row>
    <row r="3145" spans="1:4" ht="13.5" customHeight="1" x14ac:dyDescent="0.3">
      <c r="A3145" s="46">
        <v>3141</v>
      </c>
      <c r="B3145" s="47">
        <f t="shared" ca="1" si="49"/>
        <v>1.703268145357939E-2</v>
      </c>
      <c r="C3145" s="48">
        <f t="array" aca="1" ref="C3145" ca="1">MAX(0,ROUND(Inputs!$B$10*Inputs!$B$11+NORMSINV(B3145)*SQRT(Inputs!$B$10*Inputs!$B$11),0))</f>
        <v>453</v>
      </c>
      <c r="D3145" s="49">
        <f ca="1">C3145*Inputs!$B$12</f>
        <v>54360000</v>
      </c>
    </row>
    <row r="3146" spans="1:4" ht="13.5" customHeight="1" x14ac:dyDescent="0.3">
      <c r="A3146" s="50">
        <v>3142</v>
      </c>
      <c r="B3146" s="51">
        <f t="shared" ca="1" si="49"/>
        <v>0.10187566843489559</v>
      </c>
      <c r="C3146" s="48">
        <f t="array" aca="1" ref="C3146" ca="1">MAX(0,ROUND(Inputs!$B$10*Inputs!$B$11+NORMSINV(B3146)*SQRT(Inputs!$B$10*Inputs!$B$11),0))</f>
        <v>472</v>
      </c>
      <c r="D3146" s="52">
        <f ca="1">C3146*Inputs!$B$12</f>
        <v>56640000</v>
      </c>
    </row>
    <row r="3147" spans="1:4" ht="13.5" customHeight="1" x14ac:dyDescent="0.3">
      <c r="A3147" s="46">
        <v>3143</v>
      </c>
      <c r="B3147" s="47">
        <f t="shared" ca="1" si="49"/>
        <v>0.30658032663152546</v>
      </c>
      <c r="C3147" s="48">
        <f t="array" aca="1" ref="C3147" ca="1">MAX(0,ROUND(Inputs!$B$10*Inputs!$B$11+NORMSINV(B3147)*SQRT(Inputs!$B$10*Inputs!$B$11),0))</f>
        <v>489</v>
      </c>
      <c r="D3147" s="49">
        <f ca="1">C3147*Inputs!$B$12</f>
        <v>58680000</v>
      </c>
    </row>
    <row r="3148" spans="1:4" ht="13.5" customHeight="1" x14ac:dyDescent="0.3">
      <c r="A3148" s="50">
        <v>3144</v>
      </c>
      <c r="B3148" s="51">
        <f t="shared" ca="1" si="49"/>
        <v>0.34113905872771566</v>
      </c>
      <c r="C3148" s="48">
        <f t="array" aca="1" ref="C3148" ca="1">MAX(0,ROUND(Inputs!$B$10*Inputs!$B$11+NORMSINV(B3148)*SQRT(Inputs!$B$10*Inputs!$B$11),0))</f>
        <v>491</v>
      </c>
      <c r="D3148" s="52">
        <f ca="1">C3148*Inputs!$B$12</f>
        <v>58920000</v>
      </c>
    </row>
    <row r="3149" spans="1:4" ht="13.5" customHeight="1" x14ac:dyDescent="0.3">
      <c r="A3149" s="46">
        <v>3145</v>
      </c>
      <c r="B3149" s="47">
        <f t="shared" ca="1" si="49"/>
        <v>3.5830962065109273E-2</v>
      </c>
      <c r="C3149" s="48">
        <f t="array" aca="1" ref="C3149" ca="1">MAX(0,ROUND(Inputs!$B$10*Inputs!$B$11+NORMSINV(B3149)*SQRT(Inputs!$B$10*Inputs!$B$11),0))</f>
        <v>460</v>
      </c>
      <c r="D3149" s="49">
        <f ca="1">C3149*Inputs!$B$12</f>
        <v>55200000</v>
      </c>
    </row>
    <row r="3150" spans="1:4" ht="13.5" customHeight="1" x14ac:dyDescent="0.3">
      <c r="A3150" s="50">
        <v>3146</v>
      </c>
      <c r="B3150" s="51">
        <f t="shared" ca="1" si="49"/>
        <v>0.19670002195792735</v>
      </c>
      <c r="C3150" s="48">
        <f t="array" aca="1" ref="C3150" ca="1">MAX(0,ROUND(Inputs!$B$10*Inputs!$B$11+NORMSINV(B3150)*SQRT(Inputs!$B$10*Inputs!$B$11),0))</f>
        <v>481</v>
      </c>
      <c r="D3150" s="52">
        <f ca="1">C3150*Inputs!$B$12</f>
        <v>57720000</v>
      </c>
    </row>
    <row r="3151" spans="1:4" ht="13.5" customHeight="1" x14ac:dyDescent="0.3">
      <c r="A3151" s="46">
        <v>3147</v>
      </c>
      <c r="B3151" s="47">
        <f t="shared" ca="1" si="49"/>
        <v>0.73255172813602365</v>
      </c>
      <c r="C3151" s="48">
        <f t="array" aca="1" ref="C3151" ca="1">MAX(0,ROUND(Inputs!$B$10*Inputs!$B$11+NORMSINV(B3151)*SQRT(Inputs!$B$10*Inputs!$B$11),0))</f>
        <v>514</v>
      </c>
      <c r="D3151" s="49">
        <f ca="1">C3151*Inputs!$B$12</f>
        <v>61680000</v>
      </c>
    </row>
    <row r="3152" spans="1:4" ht="13.5" customHeight="1" x14ac:dyDescent="0.3">
      <c r="A3152" s="50">
        <v>3148</v>
      </c>
      <c r="B3152" s="51">
        <f t="shared" ca="1" si="49"/>
        <v>0.14562301161135671</v>
      </c>
      <c r="C3152" s="48">
        <f t="array" aca="1" ref="C3152" ca="1">MAX(0,ROUND(Inputs!$B$10*Inputs!$B$11+NORMSINV(B3152)*SQRT(Inputs!$B$10*Inputs!$B$11),0))</f>
        <v>476</v>
      </c>
      <c r="D3152" s="52">
        <f ca="1">C3152*Inputs!$B$12</f>
        <v>57120000</v>
      </c>
    </row>
    <row r="3153" spans="1:4" ht="13.5" customHeight="1" x14ac:dyDescent="0.3">
      <c r="A3153" s="46">
        <v>3149</v>
      </c>
      <c r="B3153" s="47">
        <f t="shared" ca="1" si="49"/>
        <v>0.99022967439168674</v>
      </c>
      <c r="C3153" s="48">
        <f t="array" aca="1" ref="C3153" ca="1">MAX(0,ROUND(Inputs!$B$10*Inputs!$B$11+NORMSINV(B3153)*SQRT(Inputs!$B$10*Inputs!$B$11),0))</f>
        <v>552</v>
      </c>
      <c r="D3153" s="49">
        <f ca="1">C3153*Inputs!$B$12</f>
        <v>66240000</v>
      </c>
    </row>
    <row r="3154" spans="1:4" ht="13.5" customHeight="1" x14ac:dyDescent="0.3">
      <c r="A3154" s="50">
        <v>3150</v>
      </c>
      <c r="B3154" s="51">
        <f t="shared" ca="1" si="49"/>
        <v>0.31672521246823937</v>
      </c>
      <c r="C3154" s="48">
        <f t="array" aca="1" ref="C3154" ca="1">MAX(0,ROUND(Inputs!$B$10*Inputs!$B$11+NORMSINV(B3154)*SQRT(Inputs!$B$10*Inputs!$B$11),0))</f>
        <v>489</v>
      </c>
      <c r="D3154" s="52">
        <f ca="1">C3154*Inputs!$B$12</f>
        <v>58680000</v>
      </c>
    </row>
    <row r="3155" spans="1:4" ht="13.5" customHeight="1" x14ac:dyDescent="0.3">
      <c r="A3155" s="46">
        <v>3151</v>
      </c>
      <c r="B3155" s="47">
        <f t="shared" ca="1" si="49"/>
        <v>0.99485339322128485</v>
      </c>
      <c r="C3155" s="48">
        <f t="array" aca="1" ref="C3155" ca="1">MAX(0,ROUND(Inputs!$B$10*Inputs!$B$11+NORMSINV(B3155)*SQRT(Inputs!$B$10*Inputs!$B$11),0))</f>
        <v>557</v>
      </c>
      <c r="D3155" s="49">
        <f ca="1">C3155*Inputs!$B$12</f>
        <v>66840000</v>
      </c>
    </row>
    <row r="3156" spans="1:4" ht="13.5" customHeight="1" x14ac:dyDescent="0.3">
      <c r="A3156" s="50">
        <v>3152</v>
      </c>
      <c r="B3156" s="51">
        <f t="shared" ca="1" si="49"/>
        <v>0.74394982499594997</v>
      </c>
      <c r="C3156" s="48">
        <f t="array" aca="1" ref="C3156" ca="1">MAX(0,ROUND(Inputs!$B$10*Inputs!$B$11+NORMSINV(B3156)*SQRT(Inputs!$B$10*Inputs!$B$11),0))</f>
        <v>515</v>
      </c>
      <c r="D3156" s="52">
        <f ca="1">C3156*Inputs!$B$12</f>
        <v>61800000</v>
      </c>
    </row>
    <row r="3157" spans="1:4" ht="13.5" customHeight="1" x14ac:dyDescent="0.3">
      <c r="A3157" s="46">
        <v>3153</v>
      </c>
      <c r="B3157" s="47">
        <f t="shared" ca="1" si="49"/>
        <v>0.33818680951630797</v>
      </c>
      <c r="C3157" s="48">
        <f t="array" aca="1" ref="C3157" ca="1">MAX(0,ROUND(Inputs!$B$10*Inputs!$B$11+NORMSINV(B3157)*SQRT(Inputs!$B$10*Inputs!$B$11),0))</f>
        <v>491</v>
      </c>
      <c r="D3157" s="49">
        <f ca="1">C3157*Inputs!$B$12</f>
        <v>58920000</v>
      </c>
    </row>
    <row r="3158" spans="1:4" ht="13.5" customHeight="1" x14ac:dyDescent="0.3">
      <c r="A3158" s="50">
        <v>3154</v>
      </c>
      <c r="B3158" s="51">
        <f t="shared" ca="1" si="49"/>
        <v>0.71330207987716721</v>
      </c>
      <c r="C3158" s="48">
        <f t="array" aca="1" ref="C3158" ca="1">MAX(0,ROUND(Inputs!$B$10*Inputs!$B$11+NORMSINV(B3158)*SQRT(Inputs!$B$10*Inputs!$B$11),0))</f>
        <v>513</v>
      </c>
      <c r="D3158" s="52">
        <f ca="1">C3158*Inputs!$B$12</f>
        <v>61560000</v>
      </c>
    </row>
    <row r="3159" spans="1:4" ht="13.5" customHeight="1" x14ac:dyDescent="0.3">
      <c r="A3159" s="46">
        <v>3155</v>
      </c>
      <c r="B3159" s="47">
        <f t="shared" ca="1" si="49"/>
        <v>2.0666741325649496E-2</v>
      </c>
      <c r="C3159" s="48">
        <f t="array" aca="1" ref="C3159" ca="1">MAX(0,ROUND(Inputs!$B$10*Inputs!$B$11+NORMSINV(B3159)*SQRT(Inputs!$B$10*Inputs!$B$11),0))</f>
        <v>454</v>
      </c>
      <c r="D3159" s="49">
        <f ca="1">C3159*Inputs!$B$12</f>
        <v>54480000</v>
      </c>
    </row>
    <row r="3160" spans="1:4" ht="13.5" customHeight="1" x14ac:dyDescent="0.3">
      <c r="A3160" s="50">
        <v>3156</v>
      </c>
      <c r="B3160" s="51">
        <f t="shared" ca="1" si="49"/>
        <v>0.41808069584509067</v>
      </c>
      <c r="C3160" s="48">
        <f t="array" aca="1" ref="C3160" ca="1">MAX(0,ROUND(Inputs!$B$10*Inputs!$B$11+NORMSINV(B3160)*SQRT(Inputs!$B$10*Inputs!$B$11),0))</f>
        <v>495</v>
      </c>
      <c r="D3160" s="52">
        <f ca="1">C3160*Inputs!$B$12</f>
        <v>59400000</v>
      </c>
    </row>
    <row r="3161" spans="1:4" ht="13.5" customHeight="1" x14ac:dyDescent="0.3">
      <c r="A3161" s="46">
        <v>3157</v>
      </c>
      <c r="B3161" s="47">
        <f t="shared" ca="1" si="49"/>
        <v>0.74692916548632127</v>
      </c>
      <c r="C3161" s="48">
        <f t="array" aca="1" ref="C3161" ca="1">MAX(0,ROUND(Inputs!$B$10*Inputs!$B$11+NORMSINV(B3161)*SQRT(Inputs!$B$10*Inputs!$B$11),0))</f>
        <v>515</v>
      </c>
      <c r="D3161" s="49">
        <f ca="1">C3161*Inputs!$B$12</f>
        <v>61800000</v>
      </c>
    </row>
    <row r="3162" spans="1:4" ht="13.5" customHeight="1" x14ac:dyDescent="0.3">
      <c r="A3162" s="50">
        <v>3158</v>
      </c>
      <c r="B3162" s="51">
        <f t="shared" ca="1" si="49"/>
        <v>9.4796340302061743E-2</v>
      </c>
      <c r="C3162" s="48">
        <f t="array" aca="1" ref="C3162" ca="1">MAX(0,ROUND(Inputs!$B$10*Inputs!$B$11+NORMSINV(B3162)*SQRT(Inputs!$B$10*Inputs!$B$11),0))</f>
        <v>471</v>
      </c>
      <c r="D3162" s="52">
        <f ca="1">C3162*Inputs!$B$12</f>
        <v>56520000</v>
      </c>
    </row>
    <row r="3163" spans="1:4" ht="13.5" customHeight="1" x14ac:dyDescent="0.3">
      <c r="A3163" s="46">
        <v>3159</v>
      </c>
      <c r="B3163" s="47">
        <f t="shared" ca="1" si="49"/>
        <v>0.63257860841779034</v>
      </c>
      <c r="C3163" s="48">
        <f t="array" aca="1" ref="C3163" ca="1">MAX(0,ROUND(Inputs!$B$10*Inputs!$B$11+NORMSINV(B3163)*SQRT(Inputs!$B$10*Inputs!$B$11),0))</f>
        <v>508</v>
      </c>
      <c r="D3163" s="49">
        <f ca="1">C3163*Inputs!$B$12</f>
        <v>60960000</v>
      </c>
    </row>
    <row r="3164" spans="1:4" ht="13.5" customHeight="1" x14ac:dyDescent="0.3">
      <c r="A3164" s="50">
        <v>3160</v>
      </c>
      <c r="B3164" s="51">
        <f t="shared" ca="1" si="49"/>
        <v>0.18510520111319573</v>
      </c>
      <c r="C3164" s="48">
        <f t="array" aca="1" ref="C3164" ca="1">MAX(0,ROUND(Inputs!$B$10*Inputs!$B$11+NORMSINV(B3164)*SQRT(Inputs!$B$10*Inputs!$B$11),0))</f>
        <v>480</v>
      </c>
      <c r="D3164" s="52">
        <f ca="1">C3164*Inputs!$B$12</f>
        <v>57600000</v>
      </c>
    </row>
    <row r="3165" spans="1:4" ht="13.5" customHeight="1" x14ac:dyDescent="0.3">
      <c r="A3165" s="46">
        <v>3161</v>
      </c>
      <c r="B3165" s="47">
        <f t="shared" ca="1" si="49"/>
        <v>0.30789220670121697</v>
      </c>
      <c r="C3165" s="48">
        <f t="array" aca="1" ref="C3165" ca="1">MAX(0,ROUND(Inputs!$B$10*Inputs!$B$11+NORMSINV(B3165)*SQRT(Inputs!$B$10*Inputs!$B$11),0))</f>
        <v>489</v>
      </c>
      <c r="D3165" s="49">
        <f ca="1">C3165*Inputs!$B$12</f>
        <v>58680000</v>
      </c>
    </row>
    <row r="3166" spans="1:4" ht="13.5" customHeight="1" x14ac:dyDescent="0.3">
      <c r="A3166" s="50">
        <v>3162</v>
      </c>
      <c r="B3166" s="51">
        <f t="shared" ca="1" si="49"/>
        <v>0.13165635741504333</v>
      </c>
      <c r="C3166" s="48">
        <f t="array" aca="1" ref="C3166" ca="1">MAX(0,ROUND(Inputs!$B$10*Inputs!$B$11+NORMSINV(B3166)*SQRT(Inputs!$B$10*Inputs!$B$11),0))</f>
        <v>475</v>
      </c>
      <c r="D3166" s="52">
        <f ca="1">C3166*Inputs!$B$12</f>
        <v>57000000</v>
      </c>
    </row>
    <row r="3167" spans="1:4" ht="13.5" customHeight="1" x14ac:dyDescent="0.3">
      <c r="A3167" s="46">
        <v>3163</v>
      </c>
      <c r="B3167" s="47">
        <f t="shared" ca="1" si="49"/>
        <v>0.22612438805714197</v>
      </c>
      <c r="C3167" s="48">
        <f t="array" aca="1" ref="C3167" ca="1">MAX(0,ROUND(Inputs!$B$10*Inputs!$B$11+NORMSINV(B3167)*SQRT(Inputs!$B$10*Inputs!$B$11),0))</f>
        <v>483</v>
      </c>
      <c r="D3167" s="49">
        <f ca="1">C3167*Inputs!$B$12</f>
        <v>57960000</v>
      </c>
    </row>
    <row r="3168" spans="1:4" ht="13.5" customHeight="1" x14ac:dyDescent="0.3">
      <c r="A3168" s="50">
        <v>3164</v>
      </c>
      <c r="B3168" s="51">
        <f t="shared" ca="1" si="49"/>
        <v>0.11898224530015944</v>
      </c>
      <c r="C3168" s="48">
        <f t="array" aca="1" ref="C3168" ca="1">MAX(0,ROUND(Inputs!$B$10*Inputs!$B$11+NORMSINV(B3168)*SQRT(Inputs!$B$10*Inputs!$B$11),0))</f>
        <v>474</v>
      </c>
      <c r="D3168" s="52">
        <f ca="1">C3168*Inputs!$B$12</f>
        <v>56880000</v>
      </c>
    </row>
    <row r="3169" spans="1:4" ht="13.5" customHeight="1" x14ac:dyDescent="0.3">
      <c r="A3169" s="46">
        <v>3165</v>
      </c>
      <c r="B3169" s="47">
        <f t="shared" ca="1" si="49"/>
        <v>0.79036985763536549</v>
      </c>
      <c r="C3169" s="48">
        <f t="array" aca="1" ref="C3169" ca="1">MAX(0,ROUND(Inputs!$B$10*Inputs!$B$11+NORMSINV(B3169)*SQRT(Inputs!$B$10*Inputs!$B$11),0))</f>
        <v>518</v>
      </c>
      <c r="D3169" s="49">
        <f ca="1">C3169*Inputs!$B$12</f>
        <v>62160000</v>
      </c>
    </row>
    <row r="3170" spans="1:4" ht="13.5" customHeight="1" x14ac:dyDescent="0.3">
      <c r="A3170" s="50">
        <v>3166</v>
      </c>
      <c r="B3170" s="51">
        <f t="shared" ca="1" si="49"/>
        <v>0.28426183251653137</v>
      </c>
      <c r="C3170" s="48">
        <f t="array" aca="1" ref="C3170" ca="1">MAX(0,ROUND(Inputs!$B$10*Inputs!$B$11+NORMSINV(B3170)*SQRT(Inputs!$B$10*Inputs!$B$11),0))</f>
        <v>487</v>
      </c>
      <c r="D3170" s="52">
        <f ca="1">C3170*Inputs!$B$12</f>
        <v>58440000</v>
      </c>
    </row>
    <row r="3171" spans="1:4" ht="13.5" customHeight="1" x14ac:dyDescent="0.3">
      <c r="A3171" s="46">
        <v>3167</v>
      </c>
      <c r="B3171" s="47">
        <f t="shared" ca="1" si="49"/>
        <v>0.73220127840297156</v>
      </c>
      <c r="C3171" s="48">
        <f t="array" aca="1" ref="C3171" ca="1">MAX(0,ROUND(Inputs!$B$10*Inputs!$B$11+NORMSINV(B3171)*SQRT(Inputs!$B$10*Inputs!$B$11),0))</f>
        <v>514</v>
      </c>
      <c r="D3171" s="49">
        <f ca="1">C3171*Inputs!$B$12</f>
        <v>61680000</v>
      </c>
    </row>
    <row r="3172" spans="1:4" ht="13.5" customHeight="1" x14ac:dyDescent="0.3">
      <c r="A3172" s="50">
        <v>3168</v>
      </c>
      <c r="B3172" s="51">
        <f t="shared" ca="1" si="49"/>
        <v>0.25323185764397482</v>
      </c>
      <c r="C3172" s="48">
        <f t="array" aca="1" ref="C3172" ca="1">MAX(0,ROUND(Inputs!$B$10*Inputs!$B$11+NORMSINV(B3172)*SQRT(Inputs!$B$10*Inputs!$B$11),0))</f>
        <v>485</v>
      </c>
      <c r="D3172" s="52">
        <f ca="1">C3172*Inputs!$B$12</f>
        <v>58200000</v>
      </c>
    </row>
    <row r="3173" spans="1:4" ht="13.5" customHeight="1" x14ac:dyDescent="0.3">
      <c r="A3173" s="46">
        <v>3169</v>
      </c>
      <c r="B3173" s="47">
        <f t="shared" ca="1" si="49"/>
        <v>0.22525992209616652</v>
      </c>
      <c r="C3173" s="48">
        <f t="array" aca="1" ref="C3173" ca="1">MAX(0,ROUND(Inputs!$B$10*Inputs!$B$11+NORMSINV(B3173)*SQRT(Inputs!$B$10*Inputs!$B$11),0))</f>
        <v>483</v>
      </c>
      <c r="D3173" s="49">
        <f ca="1">C3173*Inputs!$B$12</f>
        <v>57960000</v>
      </c>
    </row>
    <row r="3174" spans="1:4" ht="13.5" customHeight="1" x14ac:dyDescent="0.3">
      <c r="A3174" s="50">
        <v>3170</v>
      </c>
      <c r="B3174" s="51">
        <f t="shared" ca="1" si="49"/>
        <v>1.7085318517970682E-2</v>
      </c>
      <c r="C3174" s="48">
        <f t="array" aca="1" ref="C3174" ca="1">MAX(0,ROUND(Inputs!$B$10*Inputs!$B$11+NORMSINV(B3174)*SQRT(Inputs!$B$10*Inputs!$B$11),0))</f>
        <v>453</v>
      </c>
      <c r="D3174" s="52">
        <f ca="1">C3174*Inputs!$B$12</f>
        <v>54360000</v>
      </c>
    </row>
    <row r="3175" spans="1:4" ht="13.5" customHeight="1" x14ac:dyDescent="0.3">
      <c r="A3175" s="46">
        <v>3171</v>
      </c>
      <c r="B3175" s="47">
        <f t="shared" ca="1" si="49"/>
        <v>0.32199863312084531</v>
      </c>
      <c r="C3175" s="48">
        <f t="array" aca="1" ref="C3175" ca="1">MAX(0,ROUND(Inputs!$B$10*Inputs!$B$11+NORMSINV(B3175)*SQRT(Inputs!$B$10*Inputs!$B$11),0))</f>
        <v>490</v>
      </c>
      <c r="D3175" s="49">
        <f ca="1">C3175*Inputs!$B$12</f>
        <v>58800000</v>
      </c>
    </row>
    <row r="3176" spans="1:4" ht="13.5" customHeight="1" x14ac:dyDescent="0.3">
      <c r="A3176" s="50">
        <v>3172</v>
      </c>
      <c r="B3176" s="51">
        <f t="shared" ca="1" si="49"/>
        <v>0.554062305234854</v>
      </c>
      <c r="C3176" s="48">
        <f t="array" aca="1" ref="C3176" ca="1">MAX(0,ROUND(Inputs!$B$10*Inputs!$B$11+NORMSINV(B3176)*SQRT(Inputs!$B$10*Inputs!$B$11),0))</f>
        <v>503</v>
      </c>
      <c r="D3176" s="52">
        <f ca="1">C3176*Inputs!$B$12</f>
        <v>60360000</v>
      </c>
    </row>
    <row r="3177" spans="1:4" ht="13.5" customHeight="1" x14ac:dyDescent="0.3">
      <c r="A3177" s="46">
        <v>3173</v>
      </c>
      <c r="B3177" s="47">
        <f t="shared" ca="1" si="49"/>
        <v>0.31438786882379688</v>
      </c>
      <c r="C3177" s="48">
        <f t="array" aca="1" ref="C3177" ca="1">MAX(0,ROUND(Inputs!$B$10*Inputs!$B$11+NORMSINV(B3177)*SQRT(Inputs!$B$10*Inputs!$B$11),0))</f>
        <v>489</v>
      </c>
      <c r="D3177" s="49">
        <f ca="1">C3177*Inputs!$B$12</f>
        <v>58680000</v>
      </c>
    </row>
    <row r="3178" spans="1:4" ht="13.5" customHeight="1" x14ac:dyDescent="0.3">
      <c r="A3178" s="50">
        <v>3174</v>
      </c>
      <c r="B3178" s="51">
        <f t="shared" ca="1" si="49"/>
        <v>0.69012981243288707</v>
      </c>
      <c r="C3178" s="48">
        <f t="array" aca="1" ref="C3178" ca="1">MAX(0,ROUND(Inputs!$B$10*Inputs!$B$11+NORMSINV(B3178)*SQRT(Inputs!$B$10*Inputs!$B$11),0))</f>
        <v>511</v>
      </c>
      <c r="D3178" s="52">
        <f ca="1">C3178*Inputs!$B$12</f>
        <v>61320000</v>
      </c>
    </row>
    <row r="3179" spans="1:4" ht="13.5" customHeight="1" x14ac:dyDescent="0.3">
      <c r="A3179" s="46">
        <v>3175</v>
      </c>
      <c r="B3179" s="47">
        <f t="shared" ca="1" si="49"/>
        <v>0.83459763824723643</v>
      </c>
      <c r="C3179" s="48">
        <f t="array" aca="1" ref="C3179" ca="1">MAX(0,ROUND(Inputs!$B$10*Inputs!$B$11+NORMSINV(B3179)*SQRT(Inputs!$B$10*Inputs!$B$11),0))</f>
        <v>522</v>
      </c>
      <c r="D3179" s="49">
        <f ca="1">C3179*Inputs!$B$12</f>
        <v>62640000</v>
      </c>
    </row>
    <row r="3180" spans="1:4" ht="13.5" customHeight="1" x14ac:dyDescent="0.3">
      <c r="A3180" s="50">
        <v>3176</v>
      </c>
      <c r="B3180" s="51">
        <f t="shared" ca="1" si="49"/>
        <v>0.17575271062827991</v>
      </c>
      <c r="C3180" s="48">
        <f t="array" aca="1" ref="C3180" ca="1">MAX(0,ROUND(Inputs!$B$10*Inputs!$B$11+NORMSINV(B3180)*SQRT(Inputs!$B$10*Inputs!$B$11),0))</f>
        <v>479</v>
      </c>
      <c r="D3180" s="52">
        <f ca="1">C3180*Inputs!$B$12</f>
        <v>57480000</v>
      </c>
    </row>
    <row r="3181" spans="1:4" ht="13.5" customHeight="1" x14ac:dyDescent="0.3">
      <c r="A3181" s="46">
        <v>3177</v>
      </c>
      <c r="B3181" s="47">
        <f t="shared" ca="1" si="49"/>
        <v>0.55923995522189718</v>
      </c>
      <c r="C3181" s="48">
        <f t="array" aca="1" ref="C3181" ca="1">MAX(0,ROUND(Inputs!$B$10*Inputs!$B$11+NORMSINV(B3181)*SQRT(Inputs!$B$10*Inputs!$B$11),0))</f>
        <v>503</v>
      </c>
      <c r="D3181" s="49">
        <f ca="1">C3181*Inputs!$B$12</f>
        <v>60360000</v>
      </c>
    </row>
    <row r="3182" spans="1:4" ht="13.5" customHeight="1" x14ac:dyDescent="0.3">
      <c r="A3182" s="50">
        <v>3178</v>
      </c>
      <c r="B3182" s="51">
        <f t="shared" ca="1" si="49"/>
        <v>2.3693893645870601E-2</v>
      </c>
      <c r="C3182" s="48">
        <f t="array" aca="1" ref="C3182" ca="1">MAX(0,ROUND(Inputs!$B$10*Inputs!$B$11+NORMSINV(B3182)*SQRT(Inputs!$B$10*Inputs!$B$11),0))</f>
        <v>456</v>
      </c>
      <c r="D3182" s="52">
        <f ca="1">C3182*Inputs!$B$12</f>
        <v>54720000</v>
      </c>
    </row>
    <row r="3183" spans="1:4" ht="13.5" customHeight="1" x14ac:dyDescent="0.3">
      <c r="A3183" s="46">
        <v>3179</v>
      </c>
      <c r="B3183" s="47">
        <f t="shared" ca="1" si="49"/>
        <v>0.18351070405533254</v>
      </c>
      <c r="C3183" s="48">
        <f t="array" aca="1" ref="C3183" ca="1">MAX(0,ROUND(Inputs!$B$10*Inputs!$B$11+NORMSINV(B3183)*SQRT(Inputs!$B$10*Inputs!$B$11),0))</f>
        <v>480</v>
      </c>
      <c r="D3183" s="49">
        <f ca="1">C3183*Inputs!$B$12</f>
        <v>57600000</v>
      </c>
    </row>
    <row r="3184" spans="1:4" ht="13.5" customHeight="1" x14ac:dyDescent="0.3">
      <c r="A3184" s="50">
        <v>3180</v>
      </c>
      <c r="B3184" s="51">
        <f t="shared" ca="1" si="49"/>
        <v>0.6922959223778764</v>
      </c>
      <c r="C3184" s="48">
        <f t="array" aca="1" ref="C3184" ca="1">MAX(0,ROUND(Inputs!$B$10*Inputs!$B$11+NORMSINV(B3184)*SQRT(Inputs!$B$10*Inputs!$B$11),0))</f>
        <v>511</v>
      </c>
      <c r="D3184" s="52">
        <f ca="1">C3184*Inputs!$B$12</f>
        <v>61320000</v>
      </c>
    </row>
    <row r="3185" spans="1:4" ht="13.5" customHeight="1" x14ac:dyDescent="0.3">
      <c r="A3185" s="46">
        <v>3181</v>
      </c>
      <c r="B3185" s="47">
        <f t="shared" ca="1" si="49"/>
        <v>0.27974246009005332</v>
      </c>
      <c r="C3185" s="48">
        <f t="array" aca="1" ref="C3185" ca="1">MAX(0,ROUND(Inputs!$B$10*Inputs!$B$11+NORMSINV(B3185)*SQRT(Inputs!$B$10*Inputs!$B$11),0))</f>
        <v>487</v>
      </c>
      <c r="D3185" s="49">
        <f ca="1">C3185*Inputs!$B$12</f>
        <v>58440000</v>
      </c>
    </row>
    <row r="3186" spans="1:4" ht="13.5" customHeight="1" x14ac:dyDescent="0.3">
      <c r="A3186" s="50">
        <v>3182</v>
      </c>
      <c r="B3186" s="51">
        <f t="shared" ca="1" si="49"/>
        <v>0.27491074230317425</v>
      </c>
      <c r="C3186" s="48">
        <f t="array" aca="1" ref="C3186" ca="1">MAX(0,ROUND(Inputs!$B$10*Inputs!$B$11+NORMSINV(B3186)*SQRT(Inputs!$B$10*Inputs!$B$11),0))</f>
        <v>487</v>
      </c>
      <c r="D3186" s="52">
        <f ca="1">C3186*Inputs!$B$12</f>
        <v>58440000</v>
      </c>
    </row>
    <row r="3187" spans="1:4" ht="13.5" customHeight="1" x14ac:dyDescent="0.3">
      <c r="A3187" s="46">
        <v>3183</v>
      </c>
      <c r="B3187" s="47">
        <f t="shared" ca="1" si="49"/>
        <v>0.76176360414286348</v>
      </c>
      <c r="C3187" s="48">
        <f t="array" aca="1" ref="C3187" ca="1">MAX(0,ROUND(Inputs!$B$10*Inputs!$B$11+NORMSINV(B3187)*SQRT(Inputs!$B$10*Inputs!$B$11),0))</f>
        <v>516</v>
      </c>
      <c r="D3187" s="49">
        <f ca="1">C3187*Inputs!$B$12</f>
        <v>61920000</v>
      </c>
    </row>
    <row r="3188" spans="1:4" ht="13.5" customHeight="1" x14ac:dyDescent="0.3">
      <c r="A3188" s="50">
        <v>3184</v>
      </c>
      <c r="B3188" s="51">
        <f t="shared" ca="1" si="49"/>
        <v>0.37018610115059214</v>
      </c>
      <c r="C3188" s="48">
        <f t="array" aca="1" ref="C3188" ca="1">MAX(0,ROUND(Inputs!$B$10*Inputs!$B$11+NORMSINV(B3188)*SQRT(Inputs!$B$10*Inputs!$B$11),0))</f>
        <v>493</v>
      </c>
      <c r="D3188" s="52">
        <f ca="1">C3188*Inputs!$B$12</f>
        <v>59160000</v>
      </c>
    </row>
    <row r="3189" spans="1:4" ht="13.5" customHeight="1" x14ac:dyDescent="0.3">
      <c r="A3189" s="46">
        <v>3185</v>
      </c>
      <c r="B3189" s="47">
        <f t="shared" ca="1" si="49"/>
        <v>0.94003471366643032</v>
      </c>
      <c r="C3189" s="48">
        <f t="array" aca="1" ref="C3189" ca="1">MAX(0,ROUND(Inputs!$B$10*Inputs!$B$11+NORMSINV(B3189)*SQRT(Inputs!$B$10*Inputs!$B$11),0))</f>
        <v>535</v>
      </c>
      <c r="D3189" s="49">
        <f ca="1">C3189*Inputs!$B$12</f>
        <v>64200000</v>
      </c>
    </row>
    <row r="3190" spans="1:4" ht="13.5" customHeight="1" x14ac:dyDescent="0.3">
      <c r="A3190" s="50">
        <v>3186</v>
      </c>
      <c r="B3190" s="51">
        <f t="shared" ca="1" si="49"/>
        <v>0.3966173571672702</v>
      </c>
      <c r="C3190" s="48">
        <f t="array" aca="1" ref="C3190" ca="1">MAX(0,ROUND(Inputs!$B$10*Inputs!$B$11+NORMSINV(B3190)*SQRT(Inputs!$B$10*Inputs!$B$11),0))</f>
        <v>494</v>
      </c>
      <c r="D3190" s="52">
        <f ca="1">C3190*Inputs!$B$12</f>
        <v>59280000</v>
      </c>
    </row>
    <row r="3191" spans="1:4" ht="13.5" customHeight="1" x14ac:dyDescent="0.3">
      <c r="A3191" s="46">
        <v>3187</v>
      </c>
      <c r="B3191" s="47">
        <f t="shared" ca="1" si="49"/>
        <v>9.0505561828834513E-2</v>
      </c>
      <c r="C3191" s="48">
        <f t="array" aca="1" ref="C3191" ca="1">MAX(0,ROUND(Inputs!$B$10*Inputs!$B$11+NORMSINV(B3191)*SQRT(Inputs!$B$10*Inputs!$B$11),0))</f>
        <v>470</v>
      </c>
      <c r="D3191" s="49">
        <f ca="1">C3191*Inputs!$B$12</f>
        <v>56400000</v>
      </c>
    </row>
    <row r="3192" spans="1:4" ht="13.5" customHeight="1" x14ac:dyDescent="0.3">
      <c r="A3192" s="50">
        <v>3188</v>
      </c>
      <c r="B3192" s="51">
        <f t="shared" ca="1" si="49"/>
        <v>0.1003629209092175</v>
      </c>
      <c r="C3192" s="48">
        <f t="array" aca="1" ref="C3192" ca="1">MAX(0,ROUND(Inputs!$B$10*Inputs!$B$11+NORMSINV(B3192)*SQRT(Inputs!$B$10*Inputs!$B$11),0))</f>
        <v>471</v>
      </c>
      <c r="D3192" s="52">
        <f ca="1">C3192*Inputs!$B$12</f>
        <v>56520000</v>
      </c>
    </row>
    <row r="3193" spans="1:4" ht="13.5" customHeight="1" x14ac:dyDescent="0.3">
      <c r="A3193" s="46">
        <v>3189</v>
      </c>
      <c r="B3193" s="47">
        <f t="shared" ca="1" si="49"/>
        <v>0.60383506387591557</v>
      </c>
      <c r="C3193" s="48">
        <f t="array" aca="1" ref="C3193" ca="1">MAX(0,ROUND(Inputs!$B$10*Inputs!$B$11+NORMSINV(B3193)*SQRT(Inputs!$B$10*Inputs!$B$11),0))</f>
        <v>506</v>
      </c>
      <c r="D3193" s="49">
        <f ca="1">C3193*Inputs!$B$12</f>
        <v>60720000</v>
      </c>
    </row>
    <row r="3194" spans="1:4" ht="13.5" customHeight="1" x14ac:dyDescent="0.3">
      <c r="A3194" s="50">
        <v>3190</v>
      </c>
      <c r="B3194" s="51">
        <f t="shared" ca="1" si="49"/>
        <v>0.83327384009166183</v>
      </c>
      <c r="C3194" s="48">
        <f t="array" aca="1" ref="C3194" ca="1">MAX(0,ROUND(Inputs!$B$10*Inputs!$B$11+NORMSINV(B3194)*SQRT(Inputs!$B$10*Inputs!$B$11),0))</f>
        <v>522</v>
      </c>
      <c r="D3194" s="52">
        <f ca="1">C3194*Inputs!$B$12</f>
        <v>62640000</v>
      </c>
    </row>
    <row r="3195" spans="1:4" ht="13.5" customHeight="1" x14ac:dyDescent="0.3">
      <c r="A3195" s="46">
        <v>3191</v>
      </c>
      <c r="B3195" s="47">
        <f t="shared" ca="1" si="49"/>
        <v>0.32172346289904186</v>
      </c>
      <c r="C3195" s="48">
        <f t="array" aca="1" ref="C3195" ca="1">MAX(0,ROUND(Inputs!$B$10*Inputs!$B$11+NORMSINV(B3195)*SQRT(Inputs!$B$10*Inputs!$B$11),0))</f>
        <v>490</v>
      </c>
      <c r="D3195" s="49">
        <f ca="1">C3195*Inputs!$B$12</f>
        <v>58800000</v>
      </c>
    </row>
    <row r="3196" spans="1:4" ht="13.5" customHeight="1" x14ac:dyDescent="0.3">
      <c r="A3196" s="50">
        <v>3192</v>
      </c>
      <c r="B3196" s="51">
        <f t="shared" ca="1" si="49"/>
        <v>0.20461043367081277</v>
      </c>
      <c r="C3196" s="48">
        <f t="array" aca="1" ref="C3196" ca="1">MAX(0,ROUND(Inputs!$B$10*Inputs!$B$11+NORMSINV(B3196)*SQRT(Inputs!$B$10*Inputs!$B$11),0))</f>
        <v>482</v>
      </c>
      <c r="D3196" s="52">
        <f ca="1">C3196*Inputs!$B$12</f>
        <v>57840000</v>
      </c>
    </row>
    <row r="3197" spans="1:4" ht="13.5" customHeight="1" x14ac:dyDescent="0.3">
      <c r="A3197" s="46">
        <v>3193</v>
      </c>
      <c r="B3197" s="47">
        <f t="shared" ca="1" si="49"/>
        <v>0.24795065482603251</v>
      </c>
      <c r="C3197" s="48">
        <f t="array" aca="1" ref="C3197" ca="1">MAX(0,ROUND(Inputs!$B$10*Inputs!$B$11+NORMSINV(B3197)*SQRT(Inputs!$B$10*Inputs!$B$11),0))</f>
        <v>485</v>
      </c>
      <c r="D3197" s="49">
        <f ca="1">C3197*Inputs!$B$12</f>
        <v>58200000</v>
      </c>
    </row>
    <row r="3198" spans="1:4" ht="13.5" customHeight="1" x14ac:dyDescent="0.3">
      <c r="A3198" s="50">
        <v>3194</v>
      </c>
      <c r="B3198" s="51">
        <f t="shared" ca="1" si="49"/>
        <v>0.20749883531883495</v>
      </c>
      <c r="C3198" s="48">
        <f t="array" aca="1" ref="C3198" ca="1">MAX(0,ROUND(Inputs!$B$10*Inputs!$B$11+NORMSINV(B3198)*SQRT(Inputs!$B$10*Inputs!$B$11),0))</f>
        <v>482</v>
      </c>
      <c r="D3198" s="52">
        <f ca="1">C3198*Inputs!$B$12</f>
        <v>57840000</v>
      </c>
    </row>
    <row r="3199" spans="1:4" ht="13.5" customHeight="1" x14ac:dyDescent="0.3">
      <c r="A3199" s="46">
        <v>3195</v>
      </c>
      <c r="B3199" s="47">
        <f t="shared" ca="1" si="49"/>
        <v>0.1144094327091546</v>
      </c>
      <c r="C3199" s="48">
        <f t="array" aca="1" ref="C3199" ca="1">MAX(0,ROUND(Inputs!$B$10*Inputs!$B$11+NORMSINV(B3199)*SQRT(Inputs!$B$10*Inputs!$B$11),0))</f>
        <v>473</v>
      </c>
      <c r="D3199" s="49">
        <f ca="1">C3199*Inputs!$B$12</f>
        <v>56760000</v>
      </c>
    </row>
    <row r="3200" spans="1:4" ht="13.5" customHeight="1" x14ac:dyDescent="0.3">
      <c r="A3200" s="50">
        <v>3196</v>
      </c>
      <c r="B3200" s="51">
        <f t="shared" ca="1" si="49"/>
        <v>0.18053359818974746</v>
      </c>
      <c r="C3200" s="48">
        <f t="array" aca="1" ref="C3200" ca="1">MAX(0,ROUND(Inputs!$B$10*Inputs!$B$11+NORMSINV(B3200)*SQRT(Inputs!$B$10*Inputs!$B$11),0))</f>
        <v>480</v>
      </c>
      <c r="D3200" s="52">
        <f ca="1">C3200*Inputs!$B$12</f>
        <v>57600000</v>
      </c>
    </row>
    <row r="3201" spans="1:4" ht="13.5" customHeight="1" x14ac:dyDescent="0.3">
      <c r="A3201" s="46">
        <v>3197</v>
      </c>
      <c r="B3201" s="47">
        <f t="shared" ca="1" si="49"/>
        <v>0.13124522873881972</v>
      </c>
      <c r="C3201" s="48">
        <f t="array" aca="1" ref="C3201" ca="1">MAX(0,ROUND(Inputs!$B$10*Inputs!$B$11+NORMSINV(B3201)*SQRT(Inputs!$B$10*Inputs!$B$11),0))</f>
        <v>475</v>
      </c>
      <c r="D3201" s="49">
        <f ca="1">C3201*Inputs!$B$12</f>
        <v>57000000</v>
      </c>
    </row>
    <row r="3202" spans="1:4" ht="13.5" customHeight="1" x14ac:dyDescent="0.3">
      <c r="A3202" s="50">
        <v>3198</v>
      </c>
      <c r="B3202" s="51">
        <f t="shared" ca="1" si="49"/>
        <v>0.80575272462336578</v>
      </c>
      <c r="C3202" s="48">
        <f t="array" aca="1" ref="C3202" ca="1">MAX(0,ROUND(Inputs!$B$10*Inputs!$B$11+NORMSINV(B3202)*SQRT(Inputs!$B$10*Inputs!$B$11),0))</f>
        <v>519</v>
      </c>
      <c r="D3202" s="52">
        <f ca="1">C3202*Inputs!$B$12</f>
        <v>62280000</v>
      </c>
    </row>
    <row r="3203" spans="1:4" ht="13.5" customHeight="1" x14ac:dyDescent="0.3">
      <c r="A3203" s="46">
        <v>3199</v>
      </c>
      <c r="B3203" s="47">
        <f t="shared" ca="1" si="49"/>
        <v>0.20148910150815613</v>
      </c>
      <c r="C3203" s="48">
        <f t="array" aca="1" ref="C3203" ca="1">MAX(0,ROUND(Inputs!$B$10*Inputs!$B$11+NORMSINV(B3203)*SQRT(Inputs!$B$10*Inputs!$B$11),0))</f>
        <v>481</v>
      </c>
      <c r="D3203" s="49">
        <f ca="1">C3203*Inputs!$B$12</f>
        <v>57720000</v>
      </c>
    </row>
    <row r="3204" spans="1:4" ht="13.5" customHeight="1" x14ac:dyDescent="0.3">
      <c r="A3204" s="50">
        <v>3200</v>
      </c>
      <c r="B3204" s="51">
        <f t="shared" ca="1" si="49"/>
        <v>0.94002235944460655</v>
      </c>
      <c r="C3204" s="48">
        <f t="array" aca="1" ref="C3204" ca="1">MAX(0,ROUND(Inputs!$B$10*Inputs!$B$11+NORMSINV(B3204)*SQRT(Inputs!$B$10*Inputs!$B$11),0))</f>
        <v>535</v>
      </c>
      <c r="D3204" s="52">
        <f ca="1">C3204*Inputs!$B$12</f>
        <v>64200000</v>
      </c>
    </row>
    <row r="3205" spans="1:4" ht="13.5" customHeight="1" x14ac:dyDescent="0.3">
      <c r="A3205" s="46">
        <v>3201</v>
      </c>
      <c r="B3205" s="47">
        <f t="shared" ref="B3205:B3268" ca="1" si="50">RAND()</f>
        <v>0.35886874213278508</v>
      </c>
      <c r="C3205" s="48">
        <f t="array" aca="1" ref="C3205" ca="1">MAX(0,ROUND(Inputs!$B$10*Inputs!$B$11+NORMSINV(B3205)*SQRT(Inputs!$B$10*Inputs!$B$11),0))</f>
        <v>492</v>
      </c>
      <c r="D3205" s="49">
        <f ca="1">C3205*Inputs!$B$12</f>
        <v>59040000</v>
      </c>
    </row>
    <row r="3206" spans="1:4" ht="13.5" customHeight="1" x14ac:dyDescent="0.3">
      <c r="A3206" s="50">
        <v>3202</v>
      </c>
      <c r="B3206" s="51">
        <f t="shared" ca="1" si="50"/>
        <v>0.23880113307617468</v>
      </c>
      <c r="C3206" s="48">
        <f t="array" aca="1" ref="C3206" ca="1">MAX(0,ROUND(Inputs!$B$10*Inputs!$B$11+NORMSINV(B3206)*SQRT(Inputs!$B$10*Inputs!$B$11),0))</f>
        <v>484</v>
      </c>
      <c r="D3206" s="52">
        <f ca="1">C3206*Inputs!$B$12</f>
        <v>58080000</v>
      </c>
    </row>
    <row r="3207" spans="1:4" ht="13.5" customHeight="1" x14ac:dyDescent="0.3">
      <c r="A3207" s="46">
        <v>3203</v>
      </c>
      <c r="B3207" s="47">
        <f t="shared" ca="1" si="50"/>
        <v>0.99438059125277378</v>
      </c>
      <c r="C3207" s="48">
        <f t="array" aca="1" ref="C3207" ca="1">MAX(0,ROUND(Inputs!$B$10*Inputs!$B$11+NORMSINV(B3207)*SQRT(Inputs!$B$10*Inputs!$B$11),0))</f>
        <v>557</v>
      </c>
      <c r="D3207" s="49">
        <f ca="1">C3207*Inputs!$B$12</f>
        <v>66840000</v>
      </c>
    </row>
    <row r="3208" spans="1:4" ht="13.5" customHeight="1" x14ac:dyDescent="0.3">
      <c r="A3208" s="50">
        <v>3204</v>
      </c>
      <c r="B3208" s="51">
        <f t="shared" ca="1" si="50"/>
        <v>0.41149720284539626</v>
      </c>
      <c r="C3208" s="48">
        <f t="array" aca="1" ref="C3208" ca="1">MAX(0,ROUND(Inputs!$B$10*Inputs!$B$11+NORMSINV(B3208)*SQRT(Inputs!$B$10*Inputs!$B$11),0))</f>
        <v>495</v>
      </c>
      <c r="D3208" s="52">
        <f ca="1">C3208*Inputs!$B$12</f>
        <v>59400000</v>
      </c>
    </row>
    <row r="3209" spans="1:4" ht="13.5" customHeight="1" x14ac:dyDescent="0.3">
      <c r="A3209" s="46">
        <v>3205</v>
      </c>
      <c r="B3209" s="47">
        <f t="shared" ca="1" si="50"/>
        <v>0.50115081287028795</v>
      </c>
      <c r="C3209" s="48">
        <f t="array" aca="1" ref="C3209" ca="1">MAX(0,ROUND(Inputs!$B$10*Inputs!$B$11+NORMSINV(B3209)*SQRT(Inputs!$B$10*Inputs!$B$11),0))</f>
        <v>500</v>
      </c>
      <c r="D3209" s="49">
        <f ca="1">C3209*Inputs!$B$12</f>
        <v>60000000</v>
      </c>
    </row>
    <row r="3210" spans="1:4" ht="13.5" customHeight="1" x14ac:dyDescent="0.3">
      <c r="A3210" s="50">
        <v>3206</v>
      </c>
      <c r="B3210" s="51">
        <f t="shared" ca="1" si="50"/>
        <v>0.69680725387382347</v>
      </c>
      <c r="C3210" s="48">
        <f t="array" aca="1" ref="C3210" ca="1">MAX(0,ROUND(Inputs!$B$10*Inputs!$B$11+NORMSINV(B3210)*SQRT(Inputs!$B$10*Inputs!$B$11),0))</f>
        <v>512</v>
      </c>
      <c r="D3210" s="52">
        <f ca="1">C3210*Inputs!$B$12</f>
        <v>61440000</v>
      </c>
    </row>
    <row r="3211" spans="1:4" ht="13.5" customHeight="1" x14ac:dyDescent="0.3">
      <c r="A3211" s="46">
        <v>3207</v>
      </c>
      <c r="B3211" s="47">
        <f t="shared" ca="1" si="50"/>
        <v>0.9640273743106349</v>
      </c>
      <c r="C3211" s="48">
        <f t="array" aca="1" ref="C3211" ca="1">MAX(0,ROUND(Inputs!$B$10*Inputs!$B$11+NORMSINV(B3211)*SQRT(Inputs!$B$10*Inputs!$B$11),0))</f>
        <v>540</v>
      </c>
      <c r="D3211" s="49">
        <f ca="1">C3211*Inputs!$B$12</f>
        <v>64800000</v>
      </c>
    </row>
    <row r="3212" spans="1:4" ht="13.5" customHeight="1" x14ac:dyDescent="0.3">
      <c r="A3212" s="50">
        <v>3208</v>
      </c>
      <c r="B3212" s="51">
        <f t="shared" ca="1" si="50"/>
        <v>8.9508276971245859E-2</v>
      </c>
      <c r="C3212" s="48">
        <f t="array" aca="1" ref="C3212" ca="1">MAX(0,ROUND(Inputs!$B$10*Inputs!$B$11+NORMSINV(B3212)*SQRT(Inputs!$B$10*Inputs!$B$11),0))</f>
        <v>470</v>
      </c>
      <c r="D3212" s="52">
        <f ca="1">C3212*Inputs!$B$12</f>
        <v>56400000</v>
      </c>
    </row>
    <row r="3213" spans="1:4" ht="13.5" customHeight="1" x14ac:dyDescent="0.3">
      <c r="A3213" s="46">
        <v>3209</v>
      </c>
      <c r="B3213" s="47">
        <f t="shared" ca="1" si="50"/>
        <v>0.70289159132720691</v>
      </c>
      <c r="C3213" s="48">
        <f t="array" aca="1" ref="C3213" ca="1">MAX(0,ROUND(Inputs!$B$10*Inputs!$B$11+NORMSINV(B3213)*SQRT(Inputs!$B$10*Inputs!$B$11),0))</f>
        <v>512</v>
      </c>
      <c r="D3213" s="49">
        <f ca="1">C3213*Inputs!$B$12</f>
        <v>61440000</v>
      </c>
    </row>
    <row r="3214" spans="1:4" ht="13.5" customHeight="1" x14ac:dyDescent="0.3">
      <c r="A3214" s="50">
        <v>3210</v>
      </c>
      <c r="B3214" s="51">
        <f t="shared" ca="1" si="50"/>
        <v>0.956310392036826</v>
      </c>
      <c r="C3214" s="48">
        <f t="array" aca="1" ref="C3214" ca="1">MAX(0,ROUND(Inputs!$B$10*Inputs!$B$11+NORMSINV(B3214)*SQRT(Inputs!$B$10*Inputs!$B$11),0))</f>
        <v>538</v>
      </c>
      <c r="D3214" s="52">
        <f ca="1">C3214*Inputs!$B$12</f>
        <v>64560000</v>
      </c>
    </row>
    <row r="3215" spans="1:4" ht="13.5" customHeight="1" x14ac:dyDescent="0.3">
      <c r="A3215" s="46">
        <v>3211</v>
      </c>
      <c r="B3215" s="47">
        <f t="shared" ca="1" si="50"/>
        <v>0.96221647199711868</v>
      </c>
      <c r="C3215" s="48">
        <f t="array" aca="1" ref="C3215" ca="1">MAX(0,ROUND(Inputs!$B$10*Inputs!$B$11+NORMSINV(B3215)*SQRT(Inputs!$B$10*Inputs!$B$11),0))</f>
        <v>540</v>
      </c>
      <c r="D3215" s="49">
        <f ca="1">C3215*Inputs!$B$12</f>
        <v>64800000</v>
      </c>
    </row>
    <row r="3216" spans="1:4" ht="13.5" customHeight="1" x14ac:dyDescent="0.3">
      <c r="A3216" s="50">
        <v>3212</v>
      </c>
      <c r="B3216" s="51">
        <f t="shared" ca="1" si="50"/>
        <v>0.74015442414474963</v>
      </c>
      <c r="C3216" s="48">
        <f t="array" aca="1" ref="C3216" ca="1">MAX(0,ROUND(Inputs!$B$10*Inputs!$B$11+NORMSINV(B3216)*SQRT(Inputs!$B$10*Inputs!$B$11),0))</f>
        <v>514</v>
      </c>
      <c r="D3216" s="52">
        <f ca="1">C3216*Inputs!$B$12</f>
        <v>61680000</v>
      </c>
    </row>
    <row r="3217" spans="1:4" ht="13.5" customHeight="1" x14ac:dyDescent="0.3">
      <c r="A3217" s="46">
        <v>3213</v>
      </c>
      <c r="B3217" s="47">
        <f t="shared" ca="1" si="50"/>
        <v>0.70134853011705367</v>
      </c>
      <c r="C3217" s="48">
        <f t="array" aca="1" ref="C3217" ca="1">MAX(0,ROUND(Inputs!$B$10*Inputs!$B$11+NORMSINV(B3217)*SQRT(Inputs!$B$10*Inputs!$B$11),0))</f>
        <v>512</v>
      </c>
      <c r="D3217" s="49">
        <f ca="1">C3217*Inputs!$B$12</f>
        <v>61440000</v>
      </c>
    </row>
    <row r="3218" spans="1:4" ht="13.5" customHeight="1" x14ac:dyDescent="0.3">
      <c r="A3218" s="50">
        <v>3214</v>
      </c>
      <c r="B3218" s="51">
        <f t="shared" ca="1" si="50"/>
        <v>0.1395640714471782</v>
      </c>
      <c r="C3218" s="48">
        <f t="array" aca="1" ref="C3218" ca="1">MAX(0,ROUND(Inputs!$B$10*Inputs!$B$11+NORMSINV(B3218)*SQRT(Inputs!$B$10*Inputs!$B$11),0))</f>
        <v>476</v>
      </c>
      <c r="D3218" s="52">
        <f ca="1">C3218*Inputs!$B$12</f>
        <v>57120000</v>
      </c>
    </row>
    <row r="3219" spans="1:4" ht="13.5" customHeight="1" x14ac:dyDescent="0.3">
      <c r="A3219" s="46">
        <v>3215</v>
      </c>
      <c r="B3219" s="47">
        <f t="shared" ca="1" si="50"/>
        <v>0.17424710871889548</v>
      </c>
      <c r="C3219" s="48">
        <f t="array" aca="1" ref="C3219" ca="1">MAX(0,ROUND(Inputs!$B$10*Inputs!$B$11+NORMSINV(B3219)*SQRT(Inputs!$B$10*Inputs!$B$11),0))</f>
        <v>479</v>
      </c>
      <c r="D3219" s="49">
        <f ca="1">C3219*Inputs!$B$12</f>
        <v>57480000</v>
      </c>
    </row>
    <row r="3220" spans="1:4" ht="13.5" customHeight="1" x14ac:dyDescent="0.3">
      <c r="A3220" s="50">
        <v>3216</v>
      </c>
      <c r="B3220" s="51">
        <f t="shared" ca="1" si="50"/>
        <v>0.43288675389940179</v>
      </c>
      <c r="C3220" s="48">
        <f t="array" aca="1" ref="C3220" ca="1">MAX(0,ROUND(Inputs!$B$10*Inputs!$B$11+NORMSINV(B3220)*SQRT(Inputs!$B$10*Inputs!$B$11),0))</f>
        <v>496</v>
      </c>
      <c r="D3220" s="52">
        <f ca="1">C3220*Inputs!$B$12</f>
        <v>59520000</v>
      </c>
    </row>
    <row r="3221" spans="1:4" ht="13.5" customHeight="1" x14ac:dyDescent="0.3">
      <c r="A3221" s="46">
        <v>3217</v>
      </c>
      <c r="B3221" s="47">
        <f t="shared" ca="1" si="50"/>
        <v>0.32864348317350256</v>
      </c>
      <c r="C3221" s="48">
        <f t="array" aca="1" ref="C3221" ca="1">MAX(0,ROUND(Inputs!$B$10*Inputs!$B$11+NORMSINV(B3221)*SQRT(Inputs!$B$10*Inputs!$B$11),0))</f>
        <v>490</v>
      </c>
      <c r="D3221" s="49">
        <f ca="1">C3221*Inputs!$B$12</f>
        <v>58800000</v>
      </c>
    </row>
    <row r="3222" spans="1:4" ht="13.5" customHeight="1" x14ac:dyDescent="0.3">
      <c r="A3222" s="50">
        <v>3218</v>
      </c>
      <c r="B3222" s="51">
        <f t="shared" ca="1" si="50"/>
        <v>0.90760148180976008</v>
      </c>
      <c r="C3222" s="48">
        <f t="array" aca="1" ref="C3222" ca="1">MAX(0,ROUND(Inputs!$B$10*Inputs!$B$11+NORMSINV(B3222)*SQRT(Inputs!$B$10*Inputs!$B$11),0))</f>
        <v>530</v>
      </c>
      <c r="D3222" s="52">
        <f ca="1">C3222*Inputs!$B$12</f>
        <v>63600000</v>
      </c>
    </row>
    <row r="3223" spans="1:4" ht="13.5" customHeight="1" x14ac:dyDescent="0.3">
      <c r="A3223" s="46">
        <v>3219</v>
      </c>
      <c r="B3223" s="47">
        <f t="shared" ca="1" si="50"/>
        <v>0.31889308885197309</v>
      </c>
      <c r="C3223" s="48">
        <f t="array" aca="1" ref="C3223" ca="1">MAX(0,ROUND(Inputs!$B$10*Inputs!$B$11+NORMSINV(B3223)*SQRT(Inputs!$B$10*Inputs!$B$11),0))</f>
        <v>489</v>
      </c>
      <c r="D3223" s="49">
        <f ca="1">C3223*Inputs!$B$12</f>
        <v>58680000</v>
      </c>
    </row>
    <row r="3224" spans="1:4" ht="13.5" customHeight="1" x14ac:dyDescent="0.3">
      <c r="A3224" s="50">
        <v>3220</v>
      </c>
      <c r="B3224" s="51">
        <f t="shared" ca="1" si="50"/>
        <v>0.26771744835787903</v>
      </c>
      <c r="C3224" s="48">
        <f t="array" aca="1" ref="C3224" ca="1">MAX(0,ROUND(Inputs!$B$10*Inputs!$B$11+NORMSINV(B3224)*SQRT(Inputs!$B$10*Inputs!$B$11),0))</f>
        <v>486</v>
      </c>
      <c r="D3224" s="52">
        <f ca="1">C3224*Inputs!$B$12</f>
        <v>58320000</v>
      </c>
    </row>
    <row r="3225" spans="1:4" ht="13.5" customHeight="1" x14ac:dyDescent="0.3">
      <c r="A3225" s="46">
        <v>3221</v>
      </c>
      <c r="B3225" s="47">
        <f t="shared" ca="1" si="50"/>
        <v>0.90671896434341837</v>
      </c>
      <c r="C3225" s="48">
        <f t="array" aca="1" ref="C3225" ca="1">MAX(0,ROUND(Inputs!$B$10*Inputs!$B$11+NORMSINV(B3225)*SQRT(Inputs!$B$10*Inputs!$B$11),0))</f>
        <v>530</v>
      </c>
      <c r="D3225" s="49">
        <f ca="1">C3225*Inputs!$B$12</f>
        <v>63600000</v>
      </c>
    </row>
    <row r="3226" spans="1:4" ht="13.5" customHeight="1" x14ac:dyDescent="0.3">
      <c r="A3226" s="50">
        <v>3222</v>
      </c>
      <c r="B3226" s="51">
        <f t="shared" ca="1" si="50"/>
        <v>0.76121817289526938</v>
      </c>
      <c r="C3226" s="48">
        <f t="array" aca="1" ref="C3226" ca="1">MAX(0,ROUND(Inputs!$B$10*Inputs!$B$11+NORMSINV(B3226)*SQRT(Inputs!$B$10*Inputs!$B$11),0))</f>
        <v>516</v>
      </c>
      <c r="D3226" s="52">
        <f ca="1">C3226*Inputs!$B$12</f>
        <v>61920000</v>
      </c>
    </row>
    <row r="3227" spans="1:4" ht="13.5" customHeight="1" x14ac:dyDescent="0.3">
      <c r="A3227" s="46">
        <v>3223</v>
      </c>
      <c r="B3227" s="47">
        <f t="shared" ca="1" si="50"/>
        <v>0.450441390169948</v>
      </c>
      <c r="C3227" s="48">
        <f t="array" aca="1" ref="C3227" ca="1">MAX(0,ROUND(Inputs!$B$10*Inputs!$B$11+NORMSINV(B3227)*SQRT(Inputs!$B$10*Inputs!$B$11),0))</f>
        <v>497</v>
      </c>
      <c r="D3227" s="49">
        <f ca="1">C3227*Inputs!$B$12</f>
        <v>59640000</v>
      </c>
    </row>
    <row r="3228" spans="1:4" ht="13.5" customHeight="1" x14ac:dyDescent="0.3">
      <c r="A3228" s="50">
        <v>3224</v>
      </c>
      <c r="B3228" s="51">
        <f t="shared" ca="1" si="50"/>
        <v>0.65205443720325296</v>
      </c>
      <c r="C3228" s="48">
        <f t="array" aca="1" ref="C3228" ca="1">MAX(0,ROUND(Inputs!$B$10*Inputs!$B$11+NORMSINV(B3228)*SQRT(Inputs!$B$10*Inputs!$B$11),0))</f>
        <v>509</v>
      </c>
      <c r="D3228" s="52">
        <f ca="1">C3228*Inputs!$B$12</f>
        <v>61080000</v>
      </c>
    </row>
    <row r="3229" spans="1:4" ht="13.5" customHeight="1" x14ac:dyDescent="0.3">
      <c r="A3229" s="46">
        <v>3225</v>
      </c>
      <c r="B3229" s="47">
        <f t="shared" ca="1" si="50"/>
        <v>0.89696487055368024</v>
      </c>
      <c r="C3229" s="48">
        <f t="array" aca="1" ref="C3229" ca="1">MAX(0,ROUND(Inputs!$B$10*Inputs!$B$11+NORMSINV(B3229)*SQRT(Inputs!$B$10*Inputs!$B$11),0))</f>
        <v>528</v>
      </c>
      <c r="D3229" s="49">
        <f ca="1">C3229*Inputs!$B$12</f>
        <v>63360000</v>
      </c>
    </row>
    <row r="3230" spans="1:4" ht="13.5" customHeight="1" x14ac:dyDescent="0.3">
      <c r="A3230" s="50">
        <v>3226</v>
      </c>
      <c r="B3230" s="51">
        <f t="shared" ca="1" si="50"/>
        <v>0.2439239537964597</v>
      </c>
      <c r="C3230" s="48">
        <f t="array" aca="1" ref="C3230" ca="1">MAX(0,ROUND(Inputs!$B$10*Inputs!$B$11+NORMSINV(B3230)*SQRT(Inputs!$B$10*Inputs!$B$11),0))</f>
        <v>484</v>
      </c>
      <c r="D3230" s="52">
        <f ca="1">C3230*Inputs!$B$12</f>
        <v>58080000</v>
      </c>
    </row>
    <row r="3231" spans="1:4" ht="13.5" customHeight="1" x14ac:dyDescent="0.3">
      <c r="A3231" s="46">
        <v>3227</v>
      </c>
      <c r="B3231" s="47">
        <f t="shared" ca="1" si="50"/>
        <v>5.5817405954209698E-2</v>
      </c>
      <c r="C3231" s="48">
        <f t="array" aca="1" ref="C3231" ca="1">MAX(0,ROUND(Inputs!$B$10*Inputs!$B$11+NORMSINV(B3231)*SQRT(Inputs!$B$10*Inputs!$B$11),0))</f>
        <v>464</v>
      </c>
      <c r="D3231" s="49">
        <f ca="1">C3231*Inputs!$B$12</f>
        <v>55680000</v>
      </c>
    </row>
    <row r="3232" spans="1:4" ht="13.5" customHeight="1" x14ac:dyDescent="0.3">
      <c r="A3232" s="50">
        <v>3228</v>
      </c>
      <c r="B3232" s="51">
        <f t="shared" ca="1" si="50"/>
        <v>0.91612490325268614</v>
      </c>
      <c r="C3232" s="48">
        <f t="array" aca="1" ref="C3232" ca="1">MAX(0,ROUND(Inputs!$B$10*Inputs!$B$11+NORMSINV(B3232)*SQRT(Inputs!$B$10*Inputs!$B$11),0))</f>
        <v>531</v>
      </c>
      <c r="D3232" s="52">
        <f ca="1">C3232*Inputs!$B$12</f>
        <v>63720000</v>
      </c>
    </row>
    <row r="3233" spans="1:4" ht="13.5" customHeight="1" x14ac:dyDescent="0.3">
      <c r="A3233" s="46">
        <v>3229</v>
      </c>
      <c r="B3233" s="47">
        <f t="shared" ca="1" si="50"/>
        <v>0.92862587325032198</v>
      </c>
      <c r="C3233" s="48">
        <f t="array" aca="1" ref="C3233" ca="1">MAX(0,ROUND(Inputs!$B$10*Inputs!$B$11+NORMSINV(B3233)*SQRT(Inputs!$B$10*Inputs!$B$11),0))</f>
        <v>533</v>
      </c>
      <c r="D3233" s="49">
        <f ca="1">C3233*Inputs!$B$12</f>
        <v>63960000</v>
      </c>
    </row>
    <row r="3234" spans="1:4" ht="13.5" customHeight="1" x14ac:dyDescent="0.3">
      <c r="A3234" s="50">
        <v>3230</v>
      </c>
      <c r="B3234" s="51">
        <f t="shared" ca="1" si="50"/>
        <v>0.50646507907610128</v>
      </c>
      <c r="C3234" s="48">
        <f t="array" aca="1" ref="C3234" ca="1">MAX(0,ROUND(Inputs!$B$10*Inputs!$B$11+NORMSINV(B3234)*SQRT(Inputs!$B$10*Inputs!$B$11),0))</f>
        <v>500</v>
      </c>
      <c r="D3234" s="52">
        <f ca="1">C3234*Inputs!$B$12</f>
        <v>60000000</v>
      </c>
    </row>
    <row r="3235" spans="1:4" ht="13.5" customHeight="1" x14ac:dyDescent="0.3">
      <c r="A3235" s="46">
        <v>3231</v>
      </c>
      <c r="B3235" s="47">
        <f t="shared" ca="1" si="50"/>
        <v>0.47860884978239671</v>
      </c>
      <c r="C3235" s="48">
        <f t="array" aca="1" ref="C3235" ca="1">MAX(0,ROUND(Inputs!$B$10*Inputs!$B$11+NORMSINV(B3235)*SQRT(Inputs!$B$10*Inputs!$B$11),0))</f>
        <v>499</v>
      </c>
      <c r="D3235" s="49">
        <f ca="1">C3235*Inputs!$B$12</f>
        <v>59880000</v>
      </c>
    </row>
    <row r="3236" spans="1:4" ht="13.5" customHeight="1" x14ac:dyDescent="0.3">
      <c r="A3236" s="50">
        <v>3232</v>
      </c>
      <c r="B3236" s="51">
        <f t="shared" ca="1" si="50"/>
        <v>0.40613279907178013</v>
      </c>
      <c r="C3236" s="48">
        <f t="array" aca="1" ref="C3236" ca="1">MAX(0,ROUND(Inputs!$B$10*Inputs!$B$11+NORMSINV(B3236)*SQRT(Inputs!$B$10*Inputs!$B$11),0))</f>
        <v>495</v>
      </c>
      <c r="D3236" s="52">
        <f ca="1">C3236*Inputs!$B$12</f>
        <v>59400000</v>
      </c>
    </row>
    <row r="3237" spans="1:4" ht="13.5" customHeight="1" x14ac:dyDescent="0.3">
      <c r="A3237" s="46">
        <v>3233</v>
      </c>
      <c r="B3237" s="47">
        <f t="shared" ca="1" si="50"/>
        <v>0.97882721664606032</v>
      </c>
      <c r="C3237" s="48">
        <f t="array" aca="1" ref="C3237" ca="1">MAX(0,ROUND(Inputs!$B$10*Inputs!$B$11+NORMSINV(B3237)*SQRT(Inputs!$B$10*Inputs!$B$11),0))</f>
        <v>545</v>
      </c>
      <c r="D3237" s="49">
        <f ca="1">C3237*Inputs!$B$12</f>
        <v>65400000</v>
      </c>
    </row>
    <row r="3238" spans="1:4" ht="13.5" customHeight="1" x14ac:dyDescent="0.3">
      <c r="A3238" s="50">
        <v>3234</v>
      </c>
      <c r="B3238" s="51">
        <f t="shared" ca="1" si="50"/>
        <v>0.96462292945226091</v>
      </c>
      <c r="C3238" s="48">
        <f t="array" aca="1" ref="C3238" ca="1">MAX(0,ROUND(Inputs!$B$10*Inputs!$B$11+NORMSINV(B3238)*SQRT(Inputs!$B$10*Inputs!$B$11),0))</f>
        <v>540</v>
      </c>
      <c r="D3238" s="52">
        <f ca="1">C3238*Inputs!$B$12</f>
        <v>64800000</v>
      </c>
    </row>
    <row r="3239" spans="1:4" ht="13.5" customHeight="1" x14ac:dyDescent="0.3">
      <c r="A3239" s="46">
        <v>3235</v>
      </c>
      <c r="B3239" s="47">
        <f t="shared" ca="1" si="50"/>
        <v>1.6265775664727866E-2</v>
      </c>
      <c r="C3239" s="48">
        <f t="array" aca="1" ref="C3239" ca="1">MAX(0,ROUND(Inputs!$B$10*Inputs!$B$11+NORMSINV(B3239)*SQRT(Inputs!$B$10*Inputs!$B$11),0))</f>
        <v>452</v>
      </c>
      <c r="D3239" s="49">
        <f ca="1">C3239*Inputs!$B$12</f>
        <v>54240000</v>
      </c>
    </row>
    <row r="3240" spans="1:4" ht="13.5" customHeight="1" x14ac:dyDescent="0.3">
      <c r="A3240" s="50">
        <v>3236</v>
      </c>
      <c r="B3240" s="51">
        <f t="shared" ca="1" si="50"/>
        <v>0.46130075151048255</v>
      </c>
      <c r="C3240" s="48">
        <f t="array" aca="1" ref="C3240" ca="1">MAX(0,ROUND(Inputs!$B$10*Inputs!$B$11+NORMSINV(B3240)*SQRT(Inputs!$B$10*Inputs!$B$11),0))</f>
        <v>498</v>
      </c>
      <c r="D3240" s="52">
        <f ca="1">C3240*Inputs!$B$12</f>
        <v>59760000</v>
      </c>
    </row>
    <row r="3241" spans="1:4" ht="13.5" customHeight="1" x14ac:dyDescent="0.3">
      <c r="A3241" s="46">
        <v>3237</v>
      </c>
      <c r="B3241" s="47">
        <f t="shared" ca="1" si="50"/>
        <v>0.84508299988053581</v>
      </c>
      <c r="C3241" s="48">
        <f t="array" aca="1" ref="C3241" ca="1">MAX(0,ROUND(Inputs!$B$10*Inputs!$B$11+NORMSINV(B3241)*SQRT(Inputs!$B$10*Inputs!$B$11),0))</f>
        <v>523</v>
      </c>
      <c r="D3241" s="49">
        <f ca="1">C3241*Inputs!$B$12</f>
        <v>62760000</v>
      </c>
    </row>
    <row r="3242" spans="1:4" ht="13.5" customHeight="1" x14ac:dyDescent="0.3">
      <c r="A3242" s="50">
        <v>3238</v>
      </c>
      <c r="B3242" s="51">
        <f t="shared" ca="1" si="50"/>
        <v>0.52976646371344038</v>
      </c>
      <c r="C3242" s="48">
        <f t="array" aca="1" ref="C3242" ca="1">MAX(0,ROUND(Inputs!$B$10*Inputs!$B$11+NORMSINV(B3242)*SQRT(Inputs!$B$10*Inputs!$B$11),0))</f>
        <v>502</v>
      </c>
      <c r="D3242" s="52">
        <f ca="1">C3242*Inputs!$B$12</f>
        <v>60240000</v>
      </c>
    </row>
    <row r="3243" spans="1:4" ht="13.5" customHeight="1" x14ac:dyDescent="0.3">
      <c r="A3243" s="46">
        <v>3239</v>
      </c>
      <c r="B3243" s="47">
        <f t="shared" ca="1" si="50"/>
        <v>0.5888027109205104</v>
      </c>
      <c r="C3243" s="48">
        <f t="array" aca="1" ref="C3243" ca="1">MAX(0,ROUND(Inputs!$B$10*Inputs!$B$11+NORMSINV(B3243)*SQRT(Inputs!$B$10*Inputs!$B$11),0))</f>
        <v>505</v>
      </c>
      <c r="D3243" s="49">
        <f ca="1">C3243*Inputs!$B$12</f>
        <v>60600000</v>
      </c>
    </row>
    <row r="3244" spans="1:4" ht="13.5" customHeight="1" x14ac:dyDescent="0.3">
      <c r="A3244" s="50">
        <v>3240</v>
      </c>
      <c r="B3244" s="51">
        <f t="shared" ca="1" si="50"/>
        <v>0.49094891756505876</v>
      </c>
      <c r="C3244" s="48">
        <f t="array" aca="1" ref="C3244" ca="1">MAX(0,ROUND(Inputs!$B$10*Inputs!$B$11+NORMSINV(B3244)*SQRT(Inputs!$B$10*Inputs!$B$11),0))</f>
        <v>499</v>
      </c>
      <c r="D3244" s="52">
        <f ca="1">C3244*Inputs!$B$12</f>
        <v>59880000</v>
      </c>
    </row>
    <row r="3245" spans="1:4" ht="13.5" customHeight="1" x14ac:dyDescent="0.3">
      <c r="A3245" s="46">
        <v>3241</v>
      </c>
      <c r="B3245" s="47">
        <f t="shared" ca="1" si="50"/>
        <v>0.9088857054308318</v>
      </c>
      <c r="C3245" s="48">
        <f t="array" aca="1" ref="C3245" ca="1">MAX(0,ROUND(Inputs!$B$10*Inputs!$B$11+NORMSINV(B3245)*SQRT(Inputs!$B$10*Inputs!$B$11),0))</f>
        <v>530</v>
      </c>
      <c r="D3245" s="49">
        <f ca="1">C3245*Inputs!$B$12</f>
        <v>63600000</v>
      </c>
    </row>
    <row r="3246" spans="1:4" ht="13.5" customHeight="1" x14ac:dyDescent="0.3">
      <c r="A3246" s="50">
        <v>3242</v>
      </c>
      <c r="B3246" s="51">
        <f t="shared" ca="1" si="50"/>
        <v>0.82688618333432351</v>
      </c>
      <c r="C3246" s="48">
        <f t="array" aca="1" ref="C3246" ca="1">MAX(0,ROUND(Inputs!$B$10*Inputs!$B$11+NORMSINV(B3246)*SQRT(Inputs!$B$10*Inputs!$B$11),0))</f>
        <v>521</v>
      </c>
      <c r="D3246" s="52">
        <f ca="1">C3246*Inputs!$B$12</f>
        <v>62520000</v>
      </c>
    </row>
    <row r="3247" spans="1:4" ht="13.5" customHeight="1" x14ac:dyDescent="0.3">
      <c r="A3247" s="46">
        <v>3243</v>
      </c>
      <c r="B3247" s="47">
        <f t="shared" ca="1" si="50"/>
        <v>4.4899149724771714E-2</v>
      </c>
      <c r="C3247" s="48">
        <f t="array" aca="1" ref="C3247" ca="1">MAX(0,ROUND(Inputs!$B$10*Inputs!$B$11+NORMSINV(B3247)*SQRT(Inputs!$B$10*Inputs!$B$11),0))</f>
        <v>462</v>
      </c>
      <c r="D3247" s="49">
        <f ca="1">C3247*Inputs!$B$12</f>
        <v>55440000</v>
      </c>
    </row>
    <row r="3248" spans="1:4" ht="13.5" customHeight="1" x14ac:dyDescent="0.3">
      <c r="A3248" s="50">
        <v>3244</v>
      </c>
      <c r="B3248" s="51">
        <f t="shared" ca="1" si="50"/>
        <v>0.6225391418446693</v>
      </c>
      <c r="C3248" s="48">
        <f t="array" aca="1" ref="C3248" ca="1">MAX(0,ROUND(Inputs!$B$10*Inputs!$B$11+NORMSINV(B3248)*SQRT(Inputs!$B$10*Inputs!$B$11),0))</f>
        <v>507</v>
      </c>
      <c r="D3248" s="52">
        <f ca="1">C3248*Inputs!$B$12</f>
        <v>60840000</v>
      </c>
    </row>
    <row r="3249" spans="1:4" ht="13.5" customHeight="1" x14ac:dyDescent="0.3">
      <c r="A3249" s="46">
        <v>3245</v>
      </c>
      <c r="B3249" s="47">
        <f t="shared" ca="1" si="50"/>
        <v>0.75940472887660126</v>
      </c>
      <c r="C3249" s="48">
        <f t="array" aca="1" ref="C3249" ca="1">MAX(0,ROUND(Inputs!$B$10*Inputs!$B$11+NORMSINV(B3249)*SQRT(Inputs!$B$10*Inputs!$B$11),0))</f>
        <v>516</v>
      </c>
      <c r="D3249" s="49">
        <f ca="1">C3249*Inputs!$B$12</f>
        <v>61920000</v>
      </c>
    </row>
    <row r="3250" spans="1:4" ht="13.5" customHeight="1" x14ac:dyDescent="0.3">
      <c r="A3250" s="50">
        <v>3246</v>
      </c>
      <c r="B3250" s="51">
        <f t="shared" ca="1" si="50"/>
        <v>0.92226091471070537</v>
      </c>
      <c r="C3250" s="48">
        <f t="array" aca="1" ref="C3250" ca="1">MAX(0,ROUND(Inputs!$B$10*Inputs!$B$11+NORMSINV(B3250)*SQRT(Inputs!$B$10*Inputs!$B$11),0))</f>
        <v>532</v>
      </c>
      <c r="D3250" s="52">
        <f ca="1">C3250*Inputs!$B$12</f>
        <v>63840000</v>
      </c>
    </row>
    <row r="3251" spans="1:4" ht="13.5" customHeight="1" x14ac:dyDescent="0.3">
      <c r="A3251" s="46">
        <v>3247</v>
      </c>
      <c r="B3251" s="47">
        <f t="shared" ca="1" si="50"/>
        <v>4.7548659711905583E-2</v>
      </c>
      <c r="C3251" s="48">
        <f t="array" aca="1" ref="C3251" ca="1">MAX(0,ROUND(Inputs!$B$10*Inputs!$B$11+NORMSINV(B3251)*SQRT(Inputs!$B$10*Inputs!$B$11),0))</f>
        <v>463</v>
      </c>
      <c r="D3251" s="49">
        <f ca="1">C3251*Inputs!$B$12</f>
        <v>55560000</v>
      </c>
    </row>
    <row r="3252" spans="1:4" ht="13.5" customHeight="1" x14ac:dyDescent="0.3">
      <c r="A3252" s="50">
        <v>3248</v>
      </c>
      <c r="B3252" s="51">
        <f t="shared" ca="1" si="50"/>
        <v>0.5634401622418882</v>
      </c>
      <c r="C3252" s="48">
        <f t="array" aca="1" ref="C3252" ca="1">MAX(0,ROUND(Inputs!$B$10*Inputs!$B$11+NORMSINV(B3252)*SQRT(Inputs!$B$10*Inputs!$B$11),0))</f>
        <v>504</v>
      </c>
      <c r="D3252" s="52">
        <f ca="1">C3252*Inputs!$B$12</f>
        <v>60480000</v>
      </c>
    </row>
    <row r="3253" spans="1:4" ht="13.5" customHeight="1" x14ac:dyDescent="0.3">
      <c r="A3253" s="46">
        <v>3249</v>
      </c>
      <c r="B3253" s="47">
        <f t="shared" ca="1" si="50"/>
        <v>0.24251768805364093</v>
      </c>
      <c r="C3253" s="48">
        <f t="array" aca="1" ref="C3253" ca="1">MAX(0,ROUND(Inputs!$B$10*Inputs!$B$11+NORMSINV(B3253)*SQRT(Inputs!$B$10*Inputs!$B$11),0))</f>
        <v>484</v>
      </c>
      <c r="D3253" s="49">
        <f ca="1">C3253*Inputs!$B$12</f>
        <v>58080000</v>
      </c>
    </row>
    <row r="3254" spans="1:4" ht="13.5" customHeight="1" x14ac:dyDescent="0.3">
      <c r="A3254" s="50">
        <v>3250</v>
      </c>
      <c r="B3254" s="51">
        <f t="shared" ca="1" si="50"/>
        <v>0.62686739387578605</v>
      </c>
      <c r="C3254" s="48">
        <f t="array" aca="1" ref="C3254" ca="1">MAX(0,ROUND(Inputs!$B$10*Inputs!$B$11+NORMSINV(B3254)*SQRT(Inputs!$B$10*Inputs!$B$11),0))</f>
        <v>507</v>
      </c>
      <c r="D3254" s="52">
        <f ca="1">C3254*Inputs!$B$12</f>
        <v>60840000</v>
      </c>
    </row>
    <row r="3255" spans="1:4" ht="13.5" customHeight="1" x14ac:dyDescent="0.3">
      <c r="A3255" s="46">
        <v>3251</v>
      </c>
      <c r="B3255" s="47">
        <f t="shared" ca="1" si="50"/>
        <v>0.36661600724309462</v>
      </c>
      <c r="C3255" s="48">
        <f t="array" aca="1" ref="C3255" ca="1">MAX(0,ROUND(Inputs!$B$10*Inputs!$B$11+NORMSINV(B3255)*SQRT(Inputs!$B$10*Inputs!$B$11),0))</f>
        <v>492</v>
      </c>
      <c r="D3255" s="49">
        <f ca="1">C3255*Inputs!$B$12</f>
        <v>59040000</v>
      </c>
    </row>
    <row r="3256" spans="1:4" ht="13.5" customHeight="1" x14ac:dyDescent="0.3">
      <c r="A3256" s="50">
        <v>3252</v>
      </c>
      <c r="B3256" s="51">
        <f t="shared" ca="1" si="50"/>
        <v>0.78285009913908277</v>
      </c>
      <c r="C3256" s="48">
        <f t="array" aca="1" ref="C3256" ca="1">MAX(0,ROUND(Inputs!$B$10*Inputs!$B$11+NORMSINV(B3256)*SQRT(Inputs!$B$10*Inputs!$B$11),0))</f>
        <v>517</v>
      </c>
      <c r="D3256" s="52">
        <f ca="1">C3256*Inputs!$B$12</f>
        <v>62040000</v>
      </c>
    </row>
    <row r="3257" spans="1:4" ht="13.5" customHeight="1" x14ac:dyDescent="0.3">
      <c r="A3257" s="46">
        <v>3253</v>
      </c>
      <c r="B3257" s="47">
        <f t="shared" ca="1" si="50"/>
        <v>0.84997362532518916</v>
      </c>
      <c r="C3257" s="48">
        <f t="array" aca="1" ref="C3257" ca="1">MAX(0,ROUND(Inputs!$B$10*Inputs!$B$11+NORMSINV(B3257)*SQRT(Inputs!$B$10*Inputs!$B$11),0))</f>
        <v>523</v>
      </c>
      <c r="D3257" s="49">
        <f ca="1">C3257*Inputs!$B$12</f>
        <v>62760000</v>
      </c>
    </row>
    <row r="3258" spans="1:4" ht="13.5" customHeight="1" x14ac:dyDescent="0.3">
      <c r="A3258" s="50">
        <v>3254</v>
      </c>
      <c r="B3258" s="51">
        <f t="shared" ca="1" si="50"/>
        <v>0.13127477790417641</v>
      </c>
      <c r="C3258" s="48">
        <f t="array" aca="1" ref="C3258" ca="1">MAX(0,ROUND(Inputs!$B$10*Inputs!$B$11+NORMSINV(B3258)*SQRT(Inputs!$B$10*Inputs!$B$11),0))</f>
        <v>475</v>
      </c>
      <c r="D3258" s="52">
        <f ca="1">C3258*Inputs!$B$12</f>
        <v>57000000</v>
      </c>
    </row>
    <row r="3259" spans="1:4" ht="13.5" customHeight="1" x14ac:dyDescent="0.3">
      <c r="A3259" s="46">
        <v>3255</v>
      </c>
      <c r="B3259" s="47">
        <f t="shared" ca="1" si="50"/>
        <v>0.69021958910785219</v>
      </c>
      <c r="C3259" s="48">
        <f t="array" aca="1" ref="C3259" ca="1">MAX(0,ROUND(Inputs!$B$10*Inputs!$B$11+NORMSINV(B3259)*SQRT(Inputs!$B$10*Inputs!$B$11),0))</f>
        <v>511</v>
      </c>
      <c r="D3259" s="49">
        <f ca="1">C3259*Inputs!$B$12</f>
        <v>61320000</v>
      </c>
    </row>
    <row r="3260" spans="1:4" ht="13.5" customHeight="1" x14ac:dyDescent="0.3">
      <c r="A3260" s="50">
        <v>3256</v>
      </c>
      <c r="B3260" s="51">
        <f t="shared" ca="1" si="50"/>
        <v>0.13102981977377393</v>
      </c>
      <c r="C3260" s="48">
        <f t="array" aca="1" ref="C3260" ca="1">MAX(0,ROUND(Inputs!$B$10*Inputs!$B$11+NORMSINV(B3260)*SQRT(Inputs!$B$10*Inputs!$B$11),0))</f>
        <v>475</v>
      </c>
      <c r="D3260" s="52">
        <f ca="1">C3260*Inputs!$B$12</f>
        <v>57000000</v>
      </c>
    </row>
    <row r="3261" spans="1:4" ht="13.5" customHeight="1" x14ac:dyDescent="0.3">
      <c r="A3261" s="46">
        <v>3257</v>
      </c>
      <c r="B3261" s="47">
        <f t="shared" ca="1" si="50"/>
        <v>0.67172328832130201</v>
      </c>
      <c r="C3261" s="48">
        <f t="array" aca="1" ref="C3261" ca="1">MAX(0,ROUND(Inputs!$B$10*Inputs!$B$11+NORMSINV(B3261)*SQRT(Inputs!$B$10*Inputs!$B$11),0))</f>
        <v>510</v>
      </c>
      <c r="D3261" s="49">
        <f ca="1">C3261*Inputs!$B$12</f>
        <v>61200000</v>
      </c>
    </row>
    <row r="3262" spans="1:4" ht="13.5" customHeight="1" x14ac:dyDescent="0.3">
      <c r="A3262" s="50">
        <v>3258</v>
      </c>
      <c r="B3262" s="51">
        <f t="shared" ca="1" si="50"/>
        <v>0.53892642557664616</v>
      </c>
      <c r="C3262" s="48">
        <f t="array" aca="1" ref="C3262" ca="1">MAX(0,ROUND(Inputs!$B$10*Inputs!$B$11+NORMSINV(B3262)*SQRT(Inputs!$B$10*Inputs!$B$11),0))</f>
        <v>502</v>
      </c>
      <c r="D3262" s="52">
        <f ca="1">C3262*Inputs!$B$12</f>
        <v>60240000</v>
      </c>
    </row>
    <row r="3263" spans="1:4" ht="13.5" customHeight="1" x14ac:dyDescent="0.3">
      <c r="A3263" s="46">
        <v>3259</v>
      </c>
      <c r="B3263" s="47">
        <f t="shared" ca="1" si="50"/>
        <v>0.58786936562550485</v>
      </c>
      <c r="C3263" s="48">
        <f t="array" aca="1" ref="C3263" ca="1">MAX(0,ROUND(Inputs!$B$10*Inputs!$B$11+NORMSINV(B3263)*SQRT(Inputs!$B$10*Inputs!$B$11),0))</f>
        <v>505</v>
      </c>
      <c r="D3263" s="49">
        <f ca="1">C3263*Inputs!$B$12</f>
        <v>60600000</v>
      </c>
    </row>
    <row r="3264" spans="1:4" ht="13.5" customHeight="1" x14ac:dyDescent="0.3">
      <c r="A3264" s="50">
        <v>3260</v>
      </c>
      <c r="B3264" s="51">
        <f t="shared" ca="1" si="50"/>
        <v>0.28503795968468615</v>
      </c>
      <c r="C3264" s="48">
        <f t="array" aca="1" ref="C3264" ca="1">MAX(0,ROUND(Inputs!$B$10*Inputs!$B$11+NORMSINV(B3264)*SQRT(Inputs!$B$10*Inputs!$B$11),0))</f>
        <v>487</v>
      </c>
      <c r="D3264" s="52">
        <f ca="1">C3264*Inputs!$B$12</f>
        <v>58440000</v>
      </c>
    </row>
    <row r="3265" spans="1:4" ht="13.5" customHeight="1" x14ac:dyDescent="0.3">
      <c r="A3265" s="46">
        <v>3261</v>
      </c>
      <c r="B3265" s="47">
        <f t="shared" ca="1" si="50"/>
        <v>0.47487506105662258</v>
      </c>
      <c r="C3265" s="48">
        <f t="array" aca="1" ref="C3265" ca="1">MAX(0,ROUND(Inputs!$B$10*Inputs!$B$11+NORMSINV(B3265)*SQRT(Inputs!$B$10*Inputs!$B$11),0))</f>
        <v>499</v>
      </c>
      <c r="D3265" s="49">
        <f ca="1">C3265*Inputs!$B$12</f>
        <v>59880000</v>
      </c>
    </row>
    <row r="3266" spans="1:4" ht="13.5" customHeight="1" x14ac:dyDescent="0.3">
      <c r="A3266" s="50">
        <v>3262</v>
      </c>
      <c r="B3266" s="51">
        <f t="shared" ca="1" si="50"/>
        <v>9.3770420083406414E-2</v>
      </c>
      <c r="C3266" s="48">
        <f t="array" aca="1" ref="C3266" ca="1">MAX(0,ROUND(Inputs!$B$10*Inputs!$B$11+NORMSINV(B3266)*SQRT(Inputs!$B$10*Inputs!$B$11),0))</f>
        <v>471</v>
      </c>
      <c r="D3266" s="52">
        <f ca="1">C3266*Inputs!$B$12</f>
        <v>56520000</v>
      </c>
    </row>
    <row r="3267" spans="1:4" ht="13.5" customHeight="1" x14ac:dyDescent="0.3">
      <c r="A3267" s="46">
        <v>3263</v>
      </c>
      <c r="B3267" s="47">
        <f t="shared" ca="1" si="50"/>
        <v>0.42405206283871943</v>
      </c>
      <c r="C3267" s="48">
        <f t="array" aca="1" ref="C3267" ca="1">MAX(0,ROUND(Inputs!$B$10*Inputs!$B$11+NORMSINV(B3267)*SQRT(Inputs!$B$10*Inputs!$B$11),0))</f>
        <v>496</v>
      </c>
      <c r="D3267" s="49">
        <f ca="1">C3267*Inputs!$B$12</f>
        <v>59520000</v>
      </c>
    </row>
    <row r="3268" spans="1:4" ht="13.5" customHeight="1" x14ac:dyDescent="0.3">
      <c r="A3268" s="50">
        <v>3264</v>
      </c>
      <c r="B3268" s="51">
        <f t="shared" ca="1" si="50"/>
        <v>0.70738469959209471</v>
      </c>
      <c r="C3268" s="48">
        <f t="array" aca="1" ref="C3268" ca="1">MAX(0,ROUND(Inputs!$B$10*Inputs!$B$11+NORMSINV(B3268)*SQRT(Inputs!$B$10*Inputs!$B$11),0))</f>
        <v>512</v>
      </c>
      <c r="D3268" s="52">
        <f ca="1">C3268*Inputs!$B$12</f>
        <v>61440000</v>
      </c>
    </row>
    <row r="3269" spans="1:4" ht="13.5" customHeight="1" x14ac:dyDescent="0.3">
      <c r="A3269" s="46">
        <v>3265</v>
      </c>
      <c r="B3269" s="47">
        <f t="shared" ref="B3269:B3332" ca="1" si="51">RAND()</f>
        <v>4.6626277080300094E-2</v>
      </c>
      <c r="C3269" s="48">
        <f t="array" aca="1" ref="C3269" ca="1">MAX(0,ROUND(Inputs!$B$10*Inputs!$B$11+NORMSINV(B3269)*SQRT(Inputs!$B$10*Inputs!$B$11),0))</f>
        <v>462</v>
      </c>
      <c r="D3269" s="49">
        <f ca="1">C3269*Inputs!$B$12</f>
        <v>55440000</v>
      </c>
    </row>
    <row r="3270" spans="1:4" ht="13.5" customHeight="1" x14ac:dyDescent="0.3">
      <c r="A3270" s="50">
        <v>3266</v>
      </c>
      <c r="B3270" s="51">
        <f t="shared" ca="1" si="51"/>
        <v>0.15342183444573676</v>
      </c>
      <c r="C3270" s="48">
        <f t="array" aca="1" ref="C3270" ca="1">MAX(0,ROUND(Inputs!$B$10*Inputs!$B$11+NORMSINV(B3270)*SQRT(Inputs!$B$10*Inputs!$B$11),0))</f>
        <v>477</v>
      </c>
      <c r="D3270" s="52">
        <f ca="1">C3270*Inputs!$B$12</f>
        <v>57240000</v>
      </c>
    </row>
    <row r="3271" spans="1:4" ht="13.5" customHeight="1" x14ac:dyDescent="0.3">
      <c r="A3271" s="46">
        <v>3267</v>
      </c>
      <c r="B3271" s="47">
        <f t="shared" ca="1" si="51"/>
        <v>7.3946066198056326E-2</v>
      </c>
      <c r="C3271" s="48">
        <f t="array" aca="1" ref="C3271" ca="1">MAX(0,ROUND(Inputs!$B$10*Inputs!$B$11+NORMSINV(B3271)*SQRT(Inputs!$B$10*Inputs!$B$11),0))</f>
        <v>468</v>
      </c>
      <c r="D3271" s="49">
        <f ca="1">C3271*Inputs!$B$12</f>
        <v>56160000</v>
      </c>
    </row>
    <row r="3272" spans="1:4" ht="13.5" customHeight="1" x14ac:dyDescent="0.3">
      <c r="A3272" s="50">
        <v>3268</v>
      </c>
      <c r="B3272" s="51">
        <f t="shared" ca="1" si="51"/>
        <v>0.62988238256081786</v>
      </c>
      <c r="C3272" s="48">
        <f t="array" aca="1" ref="C3272" ca="1">MAX(0,ROUND(Inputs!$B$10*Inputs!$B$11+NORMSINV(B3272)*SQRT(Inputs!$B$10*Inputs!$B$11),0))</f>
        <v>507</v>
      </c>
      <c r="D3272" s="52">
        <f ca="1">C3272*Inputs!$B$12</f>
        <v>60840000</v>
      </c>
    </row>
    <row r="3273" spans="1:4" ht="13.5" customHeight="1" x14ac:dyDescent="0.3">
      <c r="A3273" s="46">
        <v>3269</v>
      </c>
      <c r="B3273" s="47">
        <f t="shared" ca="1" si="51"/>
        <v>0.95944574062094545</v>
      </c>
      <c r="C3273" s="48">
        <f t="array" aca="1" ref="C3273" ca="1">MAX(0,ROUND(Inputs!$B$10*Inputs!$B$11+NORMSINV(B3273)*SQRT(Inputs!$B$10*Inputs!$B$11),0))</f>
        <v>539</v>
      </c>
      <c r="D3273" s="49">
        <f ca="1">C3273*Inputs!$B$12</f>
        <v>64680000</v>
      </c>
    </row>
    <row r="3274" spans="1:4" ht="13.5" customHeight="1" x14ac:dyDescent="0.3">
      <c r="A3274" s="50">
        <v>3270</v>
      </c>
      <c r="B3274" s="51">
        <f t="shared" ca="1" si="51"/>
        <v>0.3055443092867336</v>
      </c>
      <c r="C3274" s="48">
        <f t="array" aca="1" ref="C3274" ca="1">MAX(0,ROUND(Inputs!$B$10*Inputs!$B$11+NORMSINV(B3274)*SQRT(Inputs!$B$10*Inputs!$B$11),0))</f>
        <v>489</v>
      </c>
      <c r="D3274" s="52">
        <f ca="1">C3274*Inputs!$B$12</f>
        <v>58680000</v>
      </c>
    </row>
    <row r="3275" spans="1:4" ht="13.5" customHeight="1" x14ac:dyDescent="0.3">
      <c r="A3275" s="46">
        <v>3271</v>
      </c>
      <c r="B3275" s="47">
        <f t="shared" ca="1" si="51"/>
        <v>0.79248959727866575</v>
      </c>
      <c r="C3275" s="48">
        <f t="array" aca="1" ref="C3275" ca="1">MAX(0,ROUND(Inputs!$B$10*Inputs!$B$11+NORMSINV(B3275)*SQRT(Inputs!$B$10*Inputs!$B$11),0))</f>
        <v>518</v>
      </c>
      <c r="D3275" s="49">
        <f ca="1">C3275*Inputs!$B$12</f>
        <v>62160000</v>
      </c>
    </row>
    <row r="3276" spans="1:4" ht="13.5" customHeight="1" x14ac:dyDescent="0.3">
      <c r="A3276" s="50">
        <v>3272</v>
      </c>
      <c r="B3276" s="51">
        <f t="shared" ca="1" si="51"/>
        <v>0.81478381696166025</v>
      </c>
      <c r="C3276" s="48">
        <f t="array" aca="1" ref="C3276" ca="1">MAX(0,ROUND(Inputs!$B$10*Inputs!$B$11+NORMSINV(B3276)*SQRT(Inputs!$B$10*Inputs!$B$11),0))</f>
        <v>520</v>
      </c>
      <c r="D3276" s="52">
        <f ca="1">C3276*Inputs!$B$12</f>
        <v>62400000</v>
      </c>
    </row>
    <row r="3277" spans="1:4" ht="13.5" customHeight="1" x14ac:dyDescent="0.3">
      <c r="A3277" s="46">
        <v>3273</v>
      </c>
      <c r="B3277" s="47">
        <f t="shared" ca="1" si="51"/>
        <v>0.80562646598137111</v>
      </c>
      <c r="C3277" s="48">
        <f t="array" aca="1" ref="C3277" ca="1">MAX(0,ROUND(Inputs!$B$10*Inputs!$B$11+NORMSINV(B3277)*SQRT(Inputs!$B$10*Inputs!$B$11),0))</f>
        <v>519</v>
      </c>
      <c r="D3277" s="49">
        <f ca="1">C3277*Inputs!$B$12</f>
        <v>62280000</v>
      </c>
    </row>
    <row r="3278" spans="1:4" ht="13.5" customHeight="1" x14ac:dyDescent="0.3">
      <c r="A3278" s="50">
        <v>3274</v>
      </c>
      <c r="B3278" s="51">
        <f t="shared" ca="1" si="51"/>
        <v>0.15019910806043557</v>
      </c>
      <c r="C3278" s="48">
        <f t="array" aca="1" ref="C3278" ca="1">MAX(0,ROUND(Inputs!$B$10*Inputs!$B$11+NORMSINV(B3278)*SQRT(Inputs!$B$10*Inputs!$B$11),0))</f>
        <v>477</v>
      </c>
      <c r="D3278" s="52">
        <f ca="1">C3278*Inputs!$B$12</f>
        <v>57240000</v>
      </c>
    </row>
    <row r="3279" spans="1:4" ht="13.5" customHeight="1" x14ac:dyDescent="0.3">
      <c r="A3279" s="46">
        <v>3275</v>
      </c>
      <c r="B3279" s="47">
        <f t="shared" ca="1" si="51"/>
        <v>0.21638827660002879</v>
      </c>
      <c r="C3279" s="48">
        <f t="array" aca="1" ref="C3279" ca="1">MAX(0,ROUND(Inputs!$B$10*Inputs!$B$11+NORMSINV(B3279)*SQRT(Inputs!$B$10*Inputs!$B$11),0))</f>
        <v>482</v>
      </c>
      <c r="D3279" s="49">
        <f ca="1">C3279*Inputs!$B$12</f>
        <v>57840000</v>
      </c>
    </row>
    <row r="3280" spans="1:4" ht="13.5" customHeight="1" x14ac:dyDescent="0.3">
      <c r="A3280" s="50">
        <v>3276</v>
      </c>
      <c r="B3280" s="51">
        <f t="shared" ca="1" si="51"/>
        <v>0.67858742557902063</v>
      </c>
      <c r="C3280" s="48">
        <f t="array" aca="1" ref="C3280" ca="1">MAX(0,ROUND(Inputs!$B$10*Inputs!$B$11+NORMSINV(B3280)*SQRT(Inputs!$B$10*Inputs!$B$11),0))</f>
        <v>510</v>
      </c>
      <c r="D3280" s="52">
        <f ca="1">C3280*Inputs!$B$12</f>
        <v>61200000</v>
      </c>
    </row>
    <row r="3281" spans="1:4" ht="13.5" customHeight="1" x14ac:dyDescent="0.3">
      <c r="A3281" s="46">
        <v>3277</v>
      </c>
      <c r="B3281" s="47">
        <f t="shared" ca="1" si="51"/>
        <v>0.41290992004636984</v>
      </c>
      <c r="C3281" s="48">
        <f t="array" aca="1" ref="C3281" ca="1">MAX(0,ROUND(Inputs!$B$10*Inputs!$B$11+NORMSINV(B3281)*SQRT(Inputs!$B$10*Inputs!$B$11),0))</f>
        <v>495</v>
      </c>
      <c r="D3281" s="49">
        <f ca="1">C3281*Inputs!$B$12</f>
        <v>59400000</v>
      </c>
    </row>
    <row r="3282" spans="1:4" ht="13.5" customHeight="1" x14ac:dyDescent="0.3">
      <c r="A3282" s="50">
        <v>3278</v>
      </c>
      <c r="B3282" s="51">
        <f t="shared" ca="1" si="51"/>
        <v>5.4863341766729912E-2</v>
      </c>
      <c r="C3282" s="48">
        <f t="array" aca="1" ref="C3282" ca="1">MAX(0,ROUND(Inputs!$B$10*Inputs!$B$11+NORMSINV(B3282)*SQRT(Inputs!$B$10*Inputs!$B$11),0))</f>
        <v>464</v>
      </c>
      <c r="D3282" s="52">
        <f ca="1">C3282*Inputs!$B$12</f>
        <v>55680000</v>
      </c>
    </row>
    <row r="3283" spans="1:4" ht="13.5" customHeight="1" x14ac:dyDescent="0.3">
      <c r="A3283" s="46">
        <v>3279</v>
      </c>
      <c r="B3283" s="47">
        <f t="shared" ca="1" si="51"/>
        <v>0.55040167057508371</v>
      </c>
      <c r="C3283" s="48">
        <f t="array" aca="1" ref="C3283" ca="1">MAX(0,ROUND(Inputs!$B$10*Inputs!$B$11+NORMSINV(B3283)*SQRT(Inputs!$B$10*Inputs!$B$11),0))</f>
        <v>503</v>
      </c>
      <c r="D3283" s="49">
        <f ca="1">C3283*Inputs!$B$12</f>
        <v>60360000</v>
      </c>
    </row>
    <row r="3284" spans="1:4" ht="13.5" customHeight="1" x14ac:dyDescent="0.3">
      <c r="A3284" s="50">
        <v>3280</v>
      </c>
      <c r="B3284" s="51">
        <f t="shared" ca="1" si="51"/>
        <v>0.67149270450697929</v>
      </c>
      <c r="C3284" s="48">
        <f t="array" aca="1" ref="C3284" ca="1">MAX(0,ROUND(Inputs!$B$10*Inputs!$B$11+NORMSINV(B3284)*SQRT(Inputs!$B$10*Inputs!$B$11),0))</f>
        <v>510</v>
      </c>
      <c r="D3284" s="52">
        <f ca="1">C3284*Inputs!$B$12</f>
        <v>61200000</v>
      </c>
    </row>
    <row r="3285" spans="1:4" ht="13.5" customHeight="1" x14ac:dyDescent="0.3">
      <c r="A3285" s="46">
        <v>3281</v>
      </c>
      <c r="B3285" s="47">
        <f t="shared" ca="1" si="51"/>
        <v>0.79247273309758448</v>
      </c>
      <c r="C3285" s="48">
        <f t="array" aca="1" ref="C3285" ca="1">MAX(0,ROUND(Inputs!$B$10*Inputs!$B$11+NORMSINV(B3285)*SQRT(Inputs!$B$10*Inputs!$B$11),0))</f>
        <v>518</v>
      </c>
      <c r="D3285" s="49">
        <f ca="1">C3285*Inputs!$B$12</f>
        <v>62160000</v>
      </c>
    </row>
    <row r="3286" spans="1:4" ht="13.5" customHeight="1" x14ac:dyDescent="0.3">
      <c r="A3286" s="50">
        <v>3282</v>
      </c>
      <c r="B3286" s="51">
        <f t="shared" ca="1" si="51"/>
        <v>0.7919192261062431</v>
      </c>
      <c r="C3286" s="48">
        <f t="array" aca="1" ref="C3286" ca="1">MAX(0,ROUND(Inputs!$B$10*Inputs!$B$11+NORMSINV(B3286)*SQRT(Inputs!$B$10*Inputs!$B$11),0))</f>
        <v>518</v>
      </c>
      <c r="D3286" s="52">
        <f ca="1">C3286*Inputs!$B$12</f>
        <v>62160000</v>
      </c>
    </row>
    <row r="3287" spans="1:4" ht="13.5" customHeight="1" x14ac:dyDescent="0.3">
      <c r="A3287" s="46">
        <v>3283</v>
      </c>
      <c r="B3287" s="47">
        <f t="shared" ca="1" si="51"/>
        <v>0.13578593113436577</v>
      </c>
      <c r="C3287" s="48">
        <f t="array" aca="1" ref="C3287" ca="1">MAX(0,ROUND(Inputs!$B$10*Inputs!$B$11+NORMSINV(B3287)*SQRT(Inputs!$B$10*Inputs!$B$11),0))</f>
        <v>475</v>
      </c>
      <c r="D3287" s="49">
        <f ca="1">C3287*Inputs!$B$12</f>
        <v>57000000</v>
      </c>
    </row>
    <row r="3288" spans="1:4" ht="13.5" customHeight="1" x14ac:dyDescent="0.3">
      <c r="A3288" s="50">
        <v>3284</v>
      </c>
      <c r="B3288" s="51">
        <f t="shared" ca="1" si="51"/>
        <v>0.44433081299577148</v>
      </c>
      <c r="C3288" s="48">
        <f t="array" aca="1" ref="C3288" ca="1">MAX(0,ROUND(Inputs!$B$10*Inputs!$B$11+NORMSINV(B3288)*SQRT(Inputs!$B$10*Inputs!$B$11),0))</f>
        <v>497</v>
      </c>
      <c r="D3288" s="52">
        <f ca="1">C3288*Inputs!$B$12</f>
        <v>59640000</v>
      </c>
    </row>
    <row r="3289" spans="1:4" ht="13.5" customHeight="1" x14ac:dyDescent="0.3">
      <c r="A3289" s="46">
        <v>3285</v>
      </c>
      <c r="B3289" s="47">
        <f t="shared" ca="1" si="51"/>
        <v>0.18125325905622625</v>
      </c>
      <c r="C3289" s="48">
        <f t="array" aca="1" ref="C3289" ca="1">MAX(0,ROUND(Inputs!$B$10*Inputs!$B$11+NORMSINV(B3289)*SQRT(Inputs!$B$10*Inputs!$B$11),0))</f>
        <v>480</v>
      </c>
      <c r="D3289" s="49">
        <f ca="1">C3289*Inputs!$B$12</f>
        <v>57600000</v>
      </c>
    </row>
    <row r="3290" spans="1:4" ht="13.5" customHeight="1" x14ac:dyDescent="0.3">
      <c r="A3290" s="50">
        <v>3286</v>
      </c>
      <c r="B3290" s="51">
        <f t="shared" ca="1" si="51"/>
        <v>0.96346497694546063</v>
      </c>
      <c r="C3290" s="48">
        <f t="array" aca="1" ref="C3290" ca="1">MAX(0,ROUND(Inputs!$B$10*Inputs!$B$11+NORMSINV(B3290)*SQRT(Inputs!$B$10*Inputs!$B$11),0))</f>
        <v>540</v>
      </c>
      <c r="D3290" s="52">
        <f ca="1">C3290*Inputs!$B$12</f>
        <v>64800000</v>
      </c>
    </row>
    <row r="3291" spans="1:4" ht="13.5" customHeight="1" x14ac:dyDescent="0.3">
      <c r="A3291" s="46">
        <v>3287</v>
      </c>
      <c r="B3291" s="47">
        <f t="shared" ca="1" si="51"/>
        <v>0.43210117621962962</v>
      </c>
      <c r="C3291" s="48">
        <f t="array" aca="1" ref="C3291" ca="1">MAX(0,ROUND(Inputs!$B$10*Inputs!$B$11+NORMSINV(B3291)*SQRT(Inputs!$B$10*Inputs!$B$11),0))</f>
        <v>496</v>
      </c>
      <c r="D3291" s="49">
        <f ca="1">C3291*Inputs!$B$12</f>
        <v>59520000</v>
      </c>
    </row>
    <row r="3292" spans="1:4" ht="13.5" customHeight="1" x14ac:dyDescent="0.3">
      <c r="A3292" s="50">
        <v>3288</v>
      </c>
      <c r="B3292" s="51">
        <f t="shared" ca="1" si="51"/>
        <v>0.58984738473159026</v>
      </c>
      <c r="C3292" s="48">
        <f t="array" aca="1" ref="C3292" ca="1">MAX(0,ROUND(Inputs!$B$10*Inputs!$B$11+NORMSINV(B3292)*SQRT(Inputs!$B$10*Inputs!$B$11),0))</f>
        <v>505</v>
      </c>
      <c r="D3292" s="52">
        <f ca="1">C3292*Inputs!$B$12</f>
        <v>60600000</v>
      </c>
    </row>
    <row r="3293" spans="1:4" ht="13.5" customHeight="1" x14ac:dyDescent="0.3">
      <c r="A3293" s="46">
        <v>3289</v>
      </c>
      <c r="B3293" s="47">
        <f t="shared" ca="1" si="51"/>
        <v>0.39364417173587307</v>
      </c>
      <c r="C3293" s="48">
        <f t="array" aca="1" ref="C3293" ca="1">MAX(0,ROUND(Inputs!$B$10*Inputs!$B$11+NORMSINV(B3293)*SQRT(Inputs!$B$10*Inputs!$B$11),0))</f>
        <v>494</v>
      </c>
      <c r="D3293" s="49">
        <f ca="1">C3293*Inputs!$B$12</f>
        <v>59280000</v>
      </c>
    </row>
    <row r="3294" spans="1:4" ht="13.5" customHeight="1" x14ac:dyDescent="0.3">
      <c r="A3294" s="50">
        <v>3290</v>
      </c>
      <c r="B3294" s="51">
        <f t="shared" ca="1" si="51"/>
        <v>0.46348396255948054</v>
      </c>
      <c r="C3294" s="48">
        <f t="array" aca="1" ref="C3294" ca="1">MAX(0,ROUND(Inputs!$B$10*Inputs!$B$11+NORMSINV(B3294)*SQRT(Inputs!$B$10*Inputs!$B$11),0))</f>
        <v>498</v>
      </c>
      <c r="D3294" s="52">
        <f ca="1">C3294*Inputs!$B$12</f>
        <v>59760000</v>
      </c>
    </row>
    <row r="3295" spans="1:4" ht="13.5" customHeight="1" x14ac:dyDescent="0.3">
      <c r="A3295" s="46">
        <v>3291</v>
      </c>
      <c r="B3295" s="47">
        <f t="shared" ca="1" si="51"/>
        <v>0.55733730934300829</v>
      </c>
      <c r="C3295" s="48">
        <f t="array" aca="1" ref="C3295" ca="1">MAX(0,ROUND(Inputs!$B$10*Inputs!$B$11+NORMSINV(B3295)*SQRT(Inputs!$B$10*Inputs!$B$11),0))</f>
        <v>503</v>
      </c>
      <c r="D3295" s="49">
        <f ca="1">C3295*Inputs!$B$12</f>
        <v>60360000</v>
      </c>
    </row>
    <row r="3296" spans="1:4" ht="13.5" customHeight="1" x14ac:dyDescent="0.3">
      <c r="A3296" s="50">
        <v>3292</v>
      </c>
      <c r="B3296" s="51">
        <f t="shared" ca="1" si="51"/>
        <v>0.96891618054473228</v>
      </c>
      <c r="C3296" s="48">
        <f t="array" aca="1" ref="C3296" ca="1">MAX(0,ROUND(Inputs!$B$10*Inputs!$B$11+NORMSINV(B3296)*SQRT(Inputs!$B$10*Inputs!$B$11),0))</f>
        <v>542</v>
      </c>
      <c r="D3296" s="52">
        <f ca="1">C3296*Inputs!$B$12</f>
        <v>65040000</v>
      </c>
    </row>
    <row r="3297" spans="1:4" ht="13.5" customHeight="1" x14ac:dyDescent="0.3">
      <c r="A3297" s="46">
        <v>3293</v>
      </c>
      <c r="B3297" s="47">
        <f t="shared" ca="1" si="51"/>
        <v>3.6875356053871045E-2</v>
      </c>
      <c r="C3297" s="48">
        <f t="array" aca="1" ref="C3297" ca="1">MAX(0,ROUND(Inputs!$B$10*Inputs!$B$11+NORMSINV(B3297)*SQRT(Inputs!$B$10*Inputs!$B$11),0))</f>
        <v>460</v>
      </c>
      <c r="D3297" s="49">
        <f ca="1">C3297*Inputs!$B$12</f>
        <v>55200000</v>
      </c>
    </row>
    <row r="3298" spans="1:4" ht="13.5" customHeight="1" x14ac:dyDescent="0.3">
      <c r="A3298" s="50">
        <v>3294</v>
      </c>
      <c r="B3298" s="51">
        <f t="shared" ca="1" si="51"/>
        <v>0.59110964338286198</v>
      </c>
      <c r="C3298" s="48">
        <f t="array" aca="1" ref="C3298" ca="1">MAX(0,ROUND(Inputs!$B$10*Inputs!$B$11+NORMSINV(B3298)*SQRT(Inputs!$B$10*Inputs!$B$11),0))</f>
        <v>505</v>
      </c>
      <c r="D3298" s="52">
        <f ca="1">C3298*Inputs!$B$12</f>
        <v>60600000</v>
      </c>
    </row>
    <row r="3299" spans="1:4" ht="13.5" customHeight="1" x14ac:dyDescent="0.3">
      <c r="A3299" s="46">
        <v>3295</v>
      </c>
      <c r="B3299" s="47">
        <f t="shared" ca="1" si="51"/>
        <v>0.76783756870890851</v>
      </c>
      <c r="C3299" s="48">
        <f t="array" aca="1" ref="C3299" ca="1">MAX(0,ROUND(Inputs!$B$10*Inputs!$B$11+NORMSINV(B3299)*SQRT(Inputs!$B$10*Inputs!$B$11),0))</f>
        <v>516</v>
      </c>
      <c r="D3299" s="49">
        <f ca="1">C3299*Inputs!$B$12</f>
        <v>61920000</v>
      </c>
    </row>
    <row r="3300" spans="1:4" ht="13.5" customHeight="1" x14ac:dyDescent="0.3">
      <c r="A3300" s="50">
        <v>3296</v>
      </c>
      <c r="B3300" s="51">
        <f t="shared" ca="1" si="51"/>
        <v>0.28579101098902315</v>
      </c>
      <c r="C3300" s="48">
        <f t="array" aca="1" ref="C3300" ca="1">MAX(0,ROUND(Inputs!$B$10*Inputs!$B$11+NORMSINV(B3300)*SQRT(Inputs!$B$10*Inputs!$B$11),0))</f>
        <v>487</v>
      </c>
      <c r="D3300" s="52">
        <f ca="1">C3300*Inputs!$B$12</f>
        <v>58440000</v>
      </c>
    </row>
    <row r="3301" spans="1:4" ht="13.5" customHeight="1" x14ac:dyDescent="0.3">
      <c r="A3301" s="46">
        <v>3297</v>
      </c>
      <c r="B3301" s="47">
        <f t="shared" ca="1" si="51"/>
        <v>5.7248310376501022E-2</v>
      </c>
      <c r="C3301" s="48">
        <f t="array" aca="1" ref="C3301" ca="1">MAX(0,ROUND(Inputs!$B$10*Inputs!$B$11+NORMSINV(B3301)*SQRT(Inputs!$B$10*Inputs!$B$11),0))</f>
        <v>465</v>
      </c>
      <c r="D3301" s="49">
        <f ca="1">C3301*Inputs!$B$12</f>
        <v>55800000</v>
      </c>
    </row>
    <row r="3302" spans="1:4" ht="13.5" customHeight="1" x14ac:dyDescent="0.3">
      <c r="A3302" s="50">
        <v>3298</v>
      </c>
      <c r="B3302" s="51">
        <f t="shared" ca="1" si="51"/>
        <v>0.61229027652292134</v>
      </c>
      <c r="C3302" s="48">
        <f t="array" aca="1" ref="C3302" ca="1">MAX(0,ROUND(Inputs!$B$10*Inputs!$B$11+NORMSINV(B3302)*SQRT(Inputs!$B$10*Inputs!$B$11),0))</f>
        <v>506</v>
      </c>
      <c r="D3302" s="52">
        <f ca="1">C3302*Inputs!$B$12</f>
        <v>60720000</v>
      </c>
    </row>
    <row r="3303" spans="1:4" ht="13.5" customHeight="1" x14ac:dyDescent="0.3">
      <c r="A3303" s="46">
        <v>3299</v>
      </c>
      <c r="B3303" s="47">
        <f t="shared" ca="1" si="51"/>
        <v>0.18877439595598944</v>
      </c>
      <c r="C3303" s="48">
        <f t="array" aca="1" ref="C3303" ca="1">MAX(0,ROUND(Inputs!$B$10*Inputs!$B$11+NORMSINV(B3303)*SQRT(Inputs!$B$10*Inputs!$B$11),0))</f>
        <v>480</v>
      </c>
      <c r="D3303" s="49">
        <f ca="1">C3303*Inputs!$B$12</f>
        <v>57600000</v>
      </c>
    </row>
    <row r="3304" spans="1:4" ht="13.5" customHeight="1" x14ac:dyDescent="0.3">
      <c r="A3304" s="50">
        <v>3300</v>
      </c>
      <c r="B3304" s="51">
        <f t="shared" ca="1" si="51"/>
        <v>0.27987254802658246</v>
      </c>
      <c r="C3304" s="48">
        <f t="array" aca="1" ref="C3304" ca="1">MAX(0,ROUND(Inputs!$B$10*Inputs!$B$11+NORMSINV(B3304)*SQRT(Inputs!$B$10*Inputs!$B$11),0))</f>
        <v>487</v>
      </c>
      <c r="D3304" s="52">
        <f ca="1">C3304*Inputs!$B$12</f>
        <v>58440000</v>
      </c>
    </row>
    <row r="3305" spans="1:4" ht="13.5" customHeight="1" x14ac:dyDescent="0.3">
      <c r="A3305" s="46">
        <v>3301</v>
      </c>
      <c r="B3305" s="47">
        <f t="shared" ca="1" si="51"/>
        <v>0.68533603048197367</v>
      </c>
      <c r="C3305" s="48">
        <f t="array" aca="1" ref="C3305" ca="1">MAX(0,ROUND(Inputs!$B$10*Inputs!$B$11+NORMSINV(B3305)*SQRT(Inputs!$B$10*Inputs!$B$11),0))</f>
        <v>511</v>
      </c>
      <c r="D3305" s="49">
        <f ca="1">C3305*Inputs!$B$12</f>
        <v>61320000</v>
      </c>
    </row>
    <row r="3306" spans="1:4" ht="13.5" customHeight="1" x14ac:dyDescent="0.3">
      <c r="A3306" s="50">
        <v>3302</v>
      </c>
      <c r="B3306" s="51">
        <f t="shared" ca="1" si="51"/>
        <v>0.37427386395962292</v>
      </c>
      <c r="C3306" s="48">
        <f t="array" aca="1" ref="C3306" ca="1">MAX(0,ROUND(Inputs!$B$10*Inputs!$B$11+NORMSINV(B3306)*SQRT(Inputs!$B$10*Inputs!$B$11),0))</f>
        <v>493</v>
      </c>
      <c r="D3306" s="52">
        <f ca="1">C3306*Inputs!$B$12</f>
        <v>59160000</v>
      </c>
    </row>
    <row r="3307" spans="1:4" ht="13.5" customHeight="1" x14ac:dyDescent="0.3">
      <c r="A3307" s="46">
        <v>3303</v>
      </c>
      <c r="B3307" s="47">
        <f t="shared" ca="1" si="51"/>
        <v>0.95391036266741758</v>
      </c>
      <c r="C3307" s="48">
        <f t="array" aca="1" ref="C3307" ca="1">MAX(0,ROUND(Inputs!$B$10*Inputs!$B$11+NORMSINV(B3307)*SQRT(Inputs!$B$10*Inputs!$B$11),0))</f>
        <v>538</v>
      </c>
      <c r="D3307" s="49">
        <f ca="1">C3307*Inputs!$B$12</f>
        <v>64560000</v>
      </c>
    </row>
    <row r="3308" spans="1:4" ht="13.5" customHeight="1" x14ac:dyDescent="0.3">
      <c r="A3308" s="50">
        <v>3304</v>
      </c>
      <c r="B3308" s="51">
        <f t="shared" ca="1" si="51"/>
        <v>0.85708821615805975</v>
      </c>
      <c r="C3308" s="48">
        <f t="array" aca="1" ref="C3308" ca="1">MAX(0,ROUND(Inputs!$B$10*Inputs!$B$11+NORMSINV(B3308)*SQRT(Inputs!$B$10*Inputs!$B$11),0))</f>
        <v>524</v>
      </c>
      <c r="D3308" s="52">
        <f ca="1">C3308*Inputs!$B$12</f>
        <v>62880000</v>
      </c>
    </row>
    <row r="3309" spans="1:4" ht="13.5" customHeight="1" x14ac:dyDescent="0.3">
      <c r="A3309" s="46">
        <v>3305</v>
      </c>
      <c r="B3309" s="47">
        <f t="shared" ca="1" si="51"/>
        <v>0.72098060978100542</v>
      </c>
      <c r="C3309" s="48">
        <f t="array" aca="1" ref="C3309" ca="1">MAX(0,ROUND(Inputs!$B$10*Inputs!$B$11+NORMSINV(B3309)*SQRT(Inputs!$B$10*Inputs!$B$11),0))</f>
        <v>513</v>
      </c>
      <c r="D3309" s="49">
        <f ca="1">C3309*Inputs!$B$12</f>
        <v>61560000</v>
      </c>
    </row>
    <row r="3310" spans="1:4" ht="13.5" customHeight="1" x14ac:dyDescent="0.3">
      <c r="A3310" s="50">
        <v>3306</v>
      </c>
      <c r="B3310" s="51">
        <f t="shared" ca="1" si="51"/>
        <v>5.5193294219555877E-2</v>
      </c>
      <c r="C3310" s="48">
        <f t="array" aca="1" ref="C3310" ca="1">MAX(0,ROUND(Inputs!$B$10*Inputs!$B$11+NORMSINV(B3310)*SQRT(Inputs!$B$10*Inputs!$B$11),0))</f>
        <v>464</v>
      </c>
      <c r="D3310" s="52">
        <f ca="1">C3310*Inputs!$B$12</f>
        <v>55680000</v>
      </c>
    </row>
    <row r="3311" spans="1:4" ht="13.5" customHeight="1" x14ac:dyDescent="0.3">
      <c r="A3311" s="46">
        <v>3307</v>
      </c>
      <c r="B3311" s="47">
        <f t="shared" ca="1" si="51"/>
        <v>0.82911616998476134</v>
      </c>
      <c r="C3311" s="48">
        <f t="array" aca="1" ref="C3311" ca="1">MAX(0,ROUND(Inputs!$B$10*Inputs!$B$11+NORMSINV(B3311)*SQRT(Inputs!$B$10*Inputs!$B$11),0))</f>
        <v>521</v>
      </c>
      <c r="D3311" s="49">
        <f ca="1">C3311*Inputs!$B$12</f>
        <v>62520000</v>
      </c>
    </row>
    <row r="3312" spans="1:4" ht="13.5" customHeight="1" x14ac:dyDescent="0.3">
      <c r="A3312" s="50">
        <v>3308</v>
      </c>
      <c r="B3312" s="51">
        <f t="shared" ca="1" si="51"/>
        <v>0.5696487888240318</v>
      </c>
      <c r="C3312" s="48">
        <f t="array" aca="1" ref="C3312" ca="1">MAX(0,ROUND(Inputs!$B$10*Inputs!$B$11+NORMSINV(B3312)*SQRT(Inputs!$B$10*Inputs!$B$11),0))</f>
        <v>504</v>
      </c>
      <c r="D3312" s="52">
        <f ca="1">C3312*Inputs!$B$12</f>
        <v>60480000</v>
      </c>
    </row>
    <row r="3313" spans="1:4" ht="13.5" customHeight="1" x14ac:dyDescent="0.3">
      <c r="A3313" s="46">
        <v>3309</v>
      </c>
      <c r="B3313" s="47">
        <f t="shared" ca="1" si="51"/>
        <v>0.1159850609040155</v>
      </c>
      <c r="C3313" s="48">
        <f t="array" aca="1" ref="C3313" ca="1">MAX(0,ROUND(Inputs!$B$10*Inputs!$B$11+NORMSINV(B3313)*SQRT(Inputs!$B$10*Inputs!$B$11),0))</f>
        <v>473</v>
      </c>
      <c r="D3313" s="49">
        <f ca="1">C3313*Inputs!$B$12</f>
        <v>56760000</v>
      </c>
    </row>
    <row r="3314" spans="1:4" ht="13.5" customHeight="1" x14ac:dyDescent="0.3">
      <c r="A3314" s="50">
        <v>3310</v>
      </c>
      <c r="B3314" s="51">
        <f t="shared" ca="1" si="51"/>
        <v>0.3655478096373288</v>
      </c>
      <c r="C3314" s="48">
        <f t="array" aca="1" ref="C3314" ca="1">MAX(0,ROUND(Inputs!$B$10*Inputs!$B$11+NORMSINV(B3314)*SQRT(Inputs!$B$10*Inputs!$B$11),0))</f>
        <v>492</v>
      </c>
      <c r="D3314" s="52">
        <f ca="1">C3314*Inputs!$B$12</f>
        <v>59040000</v>
      </c>
    </row>
    <row r="3315" spans="1:4" ht="13.5" customHeight="1" x14ac:dyDescent="0.3">
      <c r="A3315" s="46">
        <v>3311</v>
      </c>
      <c r="B3315" s="47">
        <f t="shared" ca="1" si="51"/>
        <v>0.73963474783681638</v>
      </c>
      <c r="C3315" s="48">
        <f t="array" aca="1" ref="C3315" ca="1">MAX(0,ROUND(Inputs!$B$10*Inputs!$B$11+NORMSINV(B3315)*SQRT(Inputs!$B$10*Inputs!$B$11),0))</f>
        <v>514</v>
      </c>
      <c r="D3315" s="49">
        <f ca="1">C3315*Inputs!$B$12</f>
        <v>61680000</v>
      </c>
    </row>
    <row r="3316" spans="1:4" ht="13.5" customHeight="1" x14ac:dyDescent="0.3">
      <c r="A3316" s="50">
        <v>3312</v>
      </c>
      <c r="B3316" s="51">
        <f t="shared" ca="1" si="51"/>
        <v>0.45094885346003699</v>
      </c>
      <c r="C3316" s="48">
        <f t="array" aca="1" ref="C3316" ca="1">MAX(0,ROUND(Inputs!$B$10*Inputs!$B$11+NORMSINV(B3316)*SQRT(Inputs!$B$10*Inputs!$B$11),0))</f>
        <v>497</v>
      </c>
      <c r="D3316" s="52">
        <f ca="1">C3316*Inputs!$B$12</f>
        <v>59640000</v>
      </c>
    </row>
    <row r="3317" spans="1:4" ht="13.5" customHeight="1" x14ac:dyDescent="0.3">
      <c r="A3317" s="46">
        <v>3313</v>
      </c>
      <c r="B3317" s="47">
        <f t="shared" ca="1" si="51"/>
        <v>0.83619709372281981</v>
      </c>
      <c r="C3317" s="48">
        <f t="array" aca="1" ref="C3317" ca="1">MAX(0,ROUND(Inputs!$B$10*Inputs!$B$11+NORMSINV(B3317)*SQRT(Inputs!$B$10*Inputs!$B$11),0))</f>
        <v>522</v>
      </c>
      <c r="D3317" s="49">
        <f ca="1">C3317*Inputs!$B$12</f>
        <v>62640000</v>
      </c>
    </row>
    <row r="3318" spans="1:4" ht="13.5" customHeight="1" x14ac:dyDescent="0.3">
      <c r="A3318" s="50">
        <v>3314</v>
      </c>
      <c r="B3318" s="51">
        <f t="shared" ca="1" si="51"/>
        <v>0.79512403807259635</v>
      </c>
      <c r="C3318" s="48">
        <f t="array" aca="1" ref="C3318" ca="1">MAX(0,ROUND(Inputs!$B$10*Inputs!$B$11+NORMSINV(B3318)*SQRT(Inputs!$B$10*Inputs!$B$11),0))</f>
        <v>518</v>
      </c>
      <c r="D3318" s="52">
        <f ca="1">C3318*Inputs!$B$12</f>
        <v>62160000</v>
      </c>
    </row>
    <row r="3319" spans="1:4" ht="13.5" customHeight="1" x14ac:dyDescent="0.3">
      <c r="A3319" s="46">
        <v>3315</v>
      </c>
      <c r="B3319" s="47">
        <f t="shared" ca="1" si="51"/>
        <v>0.96716151502727965</v>
      </c>
      <c r="C3319" s="48">
        <f t="array" aca="1" ref="C3319" ca="1">MAX(0,ROUND(Inputs!$B$10*Inputs!$B$11+NORMSINV(B3319)*SQRT(Inputs!$B$10*Inputs!$B$11),0))</f>
        <v>541</v>
      </c>
      <c r="D3319" s="49">
        <f ca="1">C3319*Inputs!$B$12</f>
        <v>64920000</v>
      </c>
    </row>
    <row r="3320" spans="1:4" ht="13.5" customHeight="1" x14ac:dyDescent="0.3">
      <c r="A3320" s="50">
        <v>3316</v>
      </c>
      <c r="B3320" s="51">
        <f t="shared" ca="1" si="51"/>
        <v>0.51376004842167222</v>
      </c>
      <c r="C3320" s="48">
        <f t="array" aca="1" ref="C3320" ca="1">MAX(0,ROUND(Inputs!$B$10*Inputs!$B$11+NORMSINV(B3320)*SQRT(Inputs!$B$10*Inputs!$B$11),0))</f>
        <v>501</v>
      </c>
      <c r="D3320" s="52">
        <f ca="1">C3320*Inputs!$B$12</f>
        <v>60120000</v>
      </c>
    </row>
    <row r="3321" spans="1:4" ht="13.5" customHeight="1" x14ac:dyDescent="0.3">
      <c r="A3321" s="46">
        <v>3317</v>
      </c>
      <c r="B3321" s="47">
        <f t="shared" ca="1" si="51"/>
        <v>0.90407878495652683</v>
      </c>
      <c r="C3321" s="48">
        <f t="array" aca="1" ref="C3321" ca="1">MAX(0,ROUND(Inputs!$B$10*Inputs!$B$11+NORMSINV(B3321)*SQRT(Inputs!$B$10*Inputs!$B$11),0))</f>
        <v>529</v>
      </c>
      <c r="D3321" s="49">
        <f ca="1">C3321*Inputs!$B$12</f>
        <v>63480000</v>
      </c>
    </row>
    <row r="3322" spans="1:4" ht="13.5" customHeight="1" x14ac:dyDescent="0.3">
      <c r="A3322" s="50">
        <v>3318</v>
      </c>
      <c r="B3322" s="51">
        <f t="shared" ca="1" si="51"/>
        <v>0.19238235092439315</v>
      </c>
      <c r="C3322" s="48">
        <f t="array" aca="1" ref="C3322" ca="1">MAX(0,ROUND(Inputs!$B$10*Inputs!$B$11+NORMSINV(B3322)*SQRT(Inputs!$B$10*Inputs!$B$11),0))</f>
        <v>481</v>
      </c>
      <c r="D3322" s="52">
        <f ca="1">C3322*Inputs!$B$12</f>
        <v>57720000</v>
      </c>
    </row>
    <row r="3323" spans="1:4" ht="13.5" customHeight="1" x14ac:dyDescent="0.3">
      <c r="A3323" s="46">
        <v>3319</v>
      </c>
      <c r="B3323" s="47">
        <f t="shared" ca="1" si="51"/>
        <v>0.35760454520736418</v>
      </c>
      <c r="C3323" s="48">
        <f t="array" aca="1" ref="C3323" ca="1">MAX(0,ROUND(Inputs!$B$10*Inputs!$B$11+NORMSINV(B3323)*SQRT(Inputs!$B$10*Inputs!$B$11),0))</f>
        <v>492</v>
      </c>
      <c r="D3323" s="49">
        <f ca="1">C3323*Inputs!$B$12</f>
        <v>59040000</v>
      </c>
    </row>
    <row r="3324" spans="1:4" ht="13.5" customHeight="1" x14ac:dyDescent="0.3">
      <c r="A3324" s="50">
        <v>3320</v>
      </c>
      <c r="B3324" s="51">
        <f t="shared" ca="1" si="51"/>
        <v>0.78103036285344152</v>
      </c>
      <c r="C3324" s="48">
        <f t="array" aca="1" ref="C3324" ca="1">MAX(0,ROUND(Inputs!$B$10*Inputs!$B$11+NORMSINV(B3324)*SQRT(Inputs!$B$10*Inputs!$B$11),0))</f>
        <v>517</v>
      </c>
      <c r="D3324" s="52">
        <f ca="1">C3324*Inputs!$B$12</f>
        <v>62040000</v>
      </c>
    </row>
    <row r="3325" spans="1:4" ht="13.5" customHeight="1" x14ac:dyDescent="0.3">
      <c r="A3325" s="46">
        <v>3321</v>
      </c>
      <c r="B3325" s="47">
        <f t="shared" ca="1" si="51"/>
        <v>0.58477404135583222</v>
      </c>
      <c r="C3325" s="48">
        <f t="array" aca="1" ref="C3325" ca="1">MAX(0,ROUND(Inputs!$B$10*Inputs!$B$11+NORMSINV(B3325)*SQRT(Inputs!$B$10*Inputs!$B$11),0))</f>
        <v>505</v>
      </c>
      <c r="D3325" s="49">
        <f ca="1">C3325*Inputs!$B$12</f>
        <v>60600000</v>
      </c>
    </row>
    <row r="3326" spans="1:4" ht="13.5" customHeight="1" x14ac:dyDescent="0.3">
      <c r="A3326" s="50">
        <v>3322</v>
      </c>
      <c r="B3326" s="51">
        <f t="shared" ca="1" si="51"/>
        <v>0.84188147678819958</v>
      </c>
      <c r="C3326" s="48">
        <f t="array" aca="1" ref="C3326" ca="1">MAX(0,ROUND(Inputs!$B$10*Inputs!$B$11+NORMSINV(B3326)*SQRT(Inputs!$B$10*Inputs!$B$11),0))</f>
        <v>522</v>
      </c>
      <c r="D3326" s="52">
        <f ca="1">C3326*Inputs!$B$12</f>
        <v>62640000</v>
      </c>
    </row>
    <row r="3327" spans="1:4" ht="13.5" customHeight="1" x14ac:dyDescent="0.3">
      <c r="A3327" s="46">
        <v>3323</v>
      </c>
      <c r="B3327" s="47">
        <f t="shared" ca="1" si="51"/>
        <v>0.94082973576896478</v>
      </c>
      <c r="C3327" s="48">
        <f t="array" aca="1" ref="C3327" ca="1">MAX(0,ROUND(Inputs!$B$10*Inputs!$B$11+NORMSINV(B3327)*SQRT(Inputs!$B$10*Inputs!$B$11),0))</f>
        <v>535</v>
      </c>
      <c r="D3327" s="49">
        <f ca="1">C3327*Inputs!$B$12</f>
        <v>64200000</v>
      </c>
    </row>
    <row r="3328" spans="1:4" ht="13.5" customHeight="1" x14ac:dyDescent="0.3">
      <c r="A3328" s="50">
        <v>3324</v>
      </c>
      <c r="B3328" s="51">
        <f t="shared" ca="1" si="51"/>
        <v>0.33780009112172626</v>
      </c>
      <c r="C3328" s="48">
        <f t="array" aca="1" ref="C3328" ca="1">MAX(0,ROUND(Inputs!$B$10*Inputs!$B$11+NORMSINV(B3328)*SQRT(Inputs!$B$10*Inputs!$B$11),0))</f>
        <v>491</v>
      </c>
      <c r="D3328" s="52">
        <f ca="1">C3328*Inputs!$B$12</f>
        <v>58920000</v>
      </c>
    </row>
    <row r="3329" spans="1:4" ht="13.5" customHeight="1" x14ac:dyDescent="0.3">
      <c r="A3329" s="46">
        <v>3325</v>
      </c>
      <c r="B3329" s="47">
        <f t="shared" ca="1" si="51"/>
        <v>0.91934546060143574</v>
      </c>
      <c r="C3329" s="48">
        <f t="array" aca="1" ref="C3329" ca="1">MAX(0,ROUND(Inputs!$B$10*Inputs!$B$11+NORMSINV(B3329)*SQRT(Inputs!$B$10*Inputs!$B$11),0))</f>
        <v>531</v>
      </c>
      <c r="D3329" s="49">
        <f ca="1">C3329*Inputs!$B$12</f>
        <v>63720000</v>
      </c>
    </row>
    <row r="3330" spans="1:4" ht="13.5" customHeight="1" x14ac:dyDescent="0.3">
      <c r="A3330" s="50">
        <v>3326</v>
      </c>
      <c r="B3330" s="51">
        <f t="shared" ca="1" si="51"/>
        <v>0.63479119445506471</v>
      </c>
      <c r="C3330" s="48">
        <f t="array" aca="1" ref="C3330" ca="1">MAX(0,ROUND(Inputs!$B$10*Inputs!$B$11+NORMSINV(B3330)*SQRT(Inputs!$B$10*Inputs!$B$11),0))</f>
        <v>508</v>
      </c>
      <c r="D3330" s="52">
        <f ca="1">C3330*Inputs!$B$12</f>
        <v>60960000</v>
      </c>
    </row>
    <row r="3331" spans="1:4" ht="13.5" customHeight="1" x14ac:dyDescent="0.3">
      <c r="A3331" s="46">
        <v>3327</v>
      </c>
      <c r="B3331" s="47">
        <f t="shared" ca="1" si="51"/>
        <v>0.15389314348641481</v>
      </c>
      <c r="C3331" s="48">
        <f t="array" aca="1" ref="C3331" ca="1">MAX(0,ROUND(Inputs!$B$10*Inputs!$B$11+NORMSINV(B3331)*SQRT(Inputs!$B$10*Inputs!$B$11),0))</f>
        <v>477</v>
      </c>
      <c r="D3331" s="49">
        <f ca="1">C3331*Inputs!$B$12</f>
        <v>57240000</v>
      </c>
    </row>
    <row r="3332" spans="1:4" ht="13.5" customHeight="1" x14ac:dyDescent="0.3">
      <c r="A3332" s="50">
        <v>3328</v>
      </c>
      <c r="B3332" s="51">
        <f t="shared" ca="1" si="51"/>
        <v>0.78022934774841235</v>
      </c>
      <c r="C3332" s="48">
        <f t="array" aca="1" ref="C3332" ca="1">MAX(0,ROUND(Inputs!$B$10*Inputs!$B$11+NORMSINV(B3332)*SQRT(Inputs!$B$10*Inputs!$B$11),0))</f>
        <v>517</v>
      </c>
      <c r="D3332" s="52">
        <f ca="1">C3332*Inputs!$B$12</f>
        <v>62040000</v>
      </c>
    </row>
    <row r="3333" spans="1:4" ht="13.5" customHeight="1" x14ac:dyDescent="0.3">
      <c r="A3333" s="46">
        <v>3329</v>
      </c>
      <c r="B3333" s="47">
        <f t="shared" ref="B3333:B3396" ca="1" si="52">RAND()</f>
        <v>0.69773788234858414</v>
      </c>
      <c r="C3333" s="48">
        <f t="array" aca="1" ref="C3333" ca="1">MAX(0,ROUND(Inputs!$B$10*Inputs!$B$11+NORMSINV(B3333)*SQRT(Inputs!$B$10*Inputs!$B$11),0))</f>
        <v>512</v>
      </c>
      <c r="D3333" s="49">
        <f ca="1">C3333*Inputs!$B$12</f>
        <v>61440000</v>
      </c>
    </row>
    <row r="3334" spans="1:4" ht="13.5" customHeight="1" x14ac:dyDescent="0.3">
      <c r="A3334" s="50">
        <v>3330</v>
      </c>
      <c r="B3334" s="51">
        <f t="shared" ca="1" si="52"/>
        <v>0.25168291011683563</v>
      </c>
      <c r="C3334" s="48">
        <f t="array" aca="1" ref="C3334" ca="1">MAX(0,ROUND(Inputs!$B$10*Inputs!$B$11+NORMSINV(B3334)*SQRT(Inputs!$B$10*Inputs!$B$11),0))</f>
        <v>485</v>
      </c>
      <c r="D3334" s="52">
        <f ca="1">C3334*Inputs!$B$12</f>
        <v>58200000</v>
      </c>
    </row>
    <row r="3335" spans="1:4" ht="13.5" customHeight="1" x14ac:dyDescent="0.3">
      <c r="A3335" s="46">
        <v>3331</v>
      </c>
      <c r="B3335" s="47">
        <f t="shared" ca="1" si="52"/>
        <v>0.95011026346496419</v>
      </c>
      <c r="C3335" s="48">
        <f t="array" aca="1" ref="C3335" ca="1">MAX(0,ROUND(Inputs!$B$10*Inputs!$B$11+NORMSINV(B3335)*SQRT(Inputs!$B$10*Inputs!$B$11),0))</f>
        <v>537</v>
      </c>
      <c r="D3335" s="49">
        <f ca="1">C3335*Inputs!$B$12</f>
        <v>64440000</v>
      </c>
    </row>
    <row r="3336" spans="1:4" ht="13.5" customHeight="1" x14ac:dyDescent="0.3">
      <c r="A3336" s="50">
        <v>3332</v>
      </c>
      <c r="B3336" s="51">
        <f t="shared" ca="1" si="52"/>
        <v>0.93911146872562101</v>
      </c>
      <c r="C3336" s="48">
        <f t="array" aca="1" ref="C3336" ca="1">MAX(0,ROUND(Inputs!$B$10*Inputs!$B$11+NORMSINV(B3336)*SQRT(Inputs!$B$10*Inputs!$B$11),0))</f>
        <v>535</v>
      </c>
      <c r="D3336" s="52">
        <f ca="1">C3336*Inputs!$B$12</f>
        <v>64200000</v>
      </c>
    </row>
    <row r="3337" spans="1:4" ht="13.5" customHeight="1" x14ac:dyDescent="0.3">
      <c r="A3337" s="46">
        <v>3333</v>
      </c>
      <c r="B3337" s="47">
        <f t="shared" ca="1" si="52"/>
        <v>0.56700811072279178</v>
      </c>
      <c r="C3337" s="48">
        <f t="array" aca="1" ref="C3337" ca="1">MAX(0,ROUND(Inputs!$B$10*Inputs!$B$11+NORMSINV(B3337)*SQRT(Inputs!$B$10*Inputs!$B$11),0))</f>
        <v>504</v>
      </c>
      <c r="D3337" s="49">
        <f ca="1">C3337*Inputs!$B$12</f>
        <v>60480000</v>
      </c>
    </row>
    <row r="3338" spans="1:4" ht="13.5" customHeight="1" x14ac:dyDescent="0.3">
      <c r="A3338" s="50">
        <v>3334</v>
      </c>
      <c r="B3338" s="51">
        <f t="shared" ca="1" si="52"/>
        <v>0.40800737923514308</v>
      </c>
      <c r="C3338" s="48">
        <f t="array" aca="1" ref="C3338" ca="1">MAX(0,ROUND(Inputs!$B$10*Inputs!$B$11+NORMSINV(B3338)*SQRT(Inputs!$B$10*Inputs!$B$11),0))</f>
        <v>495</v>
      </c>
      <c r="D3338" s="52">
        <f ca="1">C3338*Inputs!$B$12</f>
        <v>59400000</v>
      </c>
    </row>
    <row r="3339" spans="1:4" ht="13.5" customHeight="1" x14ac:dyDescent="0.3">
      <c r="A3339" s="46">
        <v>3335</v>
      </c>
      <c r="B3339" s="47">
        <f t="shared" ca="1" si="52"/>
        <v>0.29702300074896892</v>
      </c>
      <c r="C3339" s="48">
        <f t="array" aca="1" ref="C3339" ca="1">MAX(0,ROUND(Inputs!$B$10*Inputs!$B$11+NORMSINV(B3339)*SQRT(Inputs!$B$10*Inputs!$B$11),0))</f>
        <v>488</v>
      </c>
      <c r="D3339" s="49">
        <f ca="1">C3339*Inputs!$B$12</f>
        <v>58560000</v>
      </c>
    </row>
    <row r="3340" spans="1:4" ht="13.5" customHeight="1" x14ac:dyDescent="0.3">
      <c r="A3340" s="50">
        <v>3336</v>
      </c>
      <c r="B3340" s="51">
        <f t="shared" ca="1" si="52"/>
        <v>0.6188821357414932</v>
      </c>
      <c r="C3340" s="48">
        <f t="array" aca="1" ref="C3340" ca="1">MAX(0,ROUND(Inputs!$B$10*Inputs!$B$11+NORMSINV(B3340)*SQRT(Inputs!$B$10*Inputs!$B$11),0))</f>
        <v>507</v>
      </c>
      <c r="D3340" s="52">
        <f ca="1">C3340*Inputs!$B$12</f>
        <v>60840000</v>
      </c>
    </row>
    <row r="3341" spans="1:4" ht="13.5" customHeight="1" x14ac:dyDescent="0.3">
      <c r="A3341" s="46">
        <v>3337</v>
      </c>
      <c r="B3341" s="47">
        <f t="shared" ca="1" si="52"/>
        <v>0.57776762277600702</v>
      </c>
      <c r="C3341" s="48">
        <f t="array" aca="1" ref="C3341" ca="1">MAX(0,ROUND(Inputs!$B$10*Inputs!$B$11+NORMSINV(B3341)*SQRT(Inputs!$B$10*Inputs!$B$11),0))</f>
        <v>504</v>
      </c>
      <c r="D3341" s="49">
        <f ca="1">C3341*Inputs!$B$12</f>
        <v>60480000</v>
      </c>
    </row>
    <row r="3342" spans="1:4" ht="13.5" customHeight="1" x14ac:dyDescent="0.3">
      <c r="A3342" s="50">
        <v>3338</v>
      </c>
      <c r="B3342" s="51">
        <f t="shared" ca="1" si="52"/>
        <v>0.41142833152391522</v>
      </c>
      <c r="C3342" s="48">
        <f t="array" aca="1" ref="C3342" ca="1">MAX(0,ROUND(Inputs!$B$10*Inputs!$B$11+NORMSINV(B3342)*SQRT(Inputs!$B$10*Inputs!$B$11),0))</f>
        <v>495</v>
      </c>
      <c r="D3342" s="52">
        <f ca="1">C3342*Inputs!$B$12</f>
        <v>59400000</v>
      </c>
    </row>
    <row r="3343" spans="1:4" ht="13.5" customHeight="1" x14ac:dyDescent="0.3">
      <c r="A3343" s="46">
        <v>3339</v>
      </c>
      <c r="B3343" s="47">
        <f t="shared" ca="1" si="52"/>
        <v>0.93746476283274749</v>
      </c>
      <c r="C3343" s="48">
        <f t="array" aca="1" ref="C3343" ca="1">MAX(0,ROUND(Inputs!$B$10*Inputs!$B$11+NORMSINV(B3343)*SQRT(Inputs!$B$10*Inputs!$B$11),0))</f>
        <v>534</v>
      </c>
      <c r="D3343" s="49">
        <f ca="1">C3343*Inputs!$B$12</f>
        <v>64080000</v>
      </c>
    </row>
    <row r="3344" spans="1:4" ht="13.5" customHeight="1" x14ac:dyDescent="0.3">
      <c r="A3344" s="50">
        <v>3340</v>
      </c>
      <c r="B3344" s="51">
        <f t="shared" ca="1" si="52"/>
        <v>0.72814435121787913</v>
      </c>
      <c r="C3344" s="48">
        <f t="array" aca="1" ref="C3344" ca="1">MAX(0,ROUND(Inputs!$B$10*Inputs!$B$11+NORMSINV(B3344)*SQRT(Inputs!$B$10*Inputs!$B$11),0))</f>
        <v>514</v>
      </c>
      <c r="D3344" s="52">
        <f ca="1">C3344*Inputs!$B$12</f>
        <v>61680000</v>
      </c>
    </row>
    <row r="3345" spans="1:4" ht="13.5" customHeight="1" x14ac:dyDescent="0.3">
      <c r="A3345" s="46">
        <v>3341</v>
      </c>
      <c r="B3345" s="47">
        <f t="shared" ca="1" si="52"/>
        <v>0.61890150970999624</v>
      </c>
      <c r="C3345" s="48">
        <f t="array" aca="1" ref="C3345" ca="1">MAX(0,ROUND(Inputs!$B$10*Inputs!$B$11+NORMSINV(B3345)*SQRT(Inputs!$B$10*Inputs!$B$11),0))</f>
        <v>507</v>
      </c>
      <c r="D3345" s="49">
        <f ca="1">C3345*Inputs!$B$12</f>
        <v>60840000</v>
      </c>
    </row>
    <row r="3346" spans="1:4" ht="13.5" customHeight="1" x14ac:dyDescent="0.3">
      <c r="A3346" s="50">
        <v>3342</v>
      </c>
      <c r="B3346" s="51">
        <f t="shared" ca="1" si="52"/>
        <v>0.55065069942941991</v>
      </c>
      <c r="C3346" s="48">
        <f t="array" aca="1" ref="C3346" ca="1">MAX(0,ROUND(Inputs!$B$10*Inputs!$B$11+NORMSINV(B3346)*SQRT(Inputs!$B$10*Inputs!$B$11),0))</f>
        <v>503</v>
      </c>
      <c r="D3346" s="52">
        <f ca="1">C3346*Inputs!$B$12</f>
        <v>60360000</v>
      </c>
    </row>
    <row r="3347" spans="1:4" ht="13.5" customHeight="1" x14ac:dyDescent="0.3">
      <c r="A3347" s="46">
        <v>3343</v>
      </c>
      <c r="B3347" s="47">
        <f t="shared" ca="1" si="52"/>
        <v>0.5999250160788302</v>
      </c>
      <c r="C3347" s="48">
        <f t="array" aca="1" ref="C3347" ca="1">MAX(0,ROUND(Inputs!$B$10*Inputs!$B$11+NORMSINV(B3347)*SQRT(Inputs!$B$10*Inputs!$B$11),0))</f>
        <v>506</v>
      </c>
      <c r="D3347" s="49">
        <f ca="1">C3347*Inputs!$B$12</f>
        <v>60720000</v>
      </c>
    </row>
    <row r="3348" spans="1:4" ht="13.5" customHeight="1" x14ac:dyDescent="0.3">
      <c r="A3348" s="50">
        <v>3344</v>
      </c>
      <c r="B3348" s="51">
        <f t="shared" ca="1" si="52"/>
        <v>0.11350129328896907</v>
      </c>
      <c r="C3348" s="48">
        <f t="array" aca="1" ref="C3348" ca="1">MAX(0,ROUND(Inputs!$B$10*Inputs!$B$11+NORMSINV(B3348)*SQRT(Inputs!$B$10*Inputs!$B$11),0))</f>
        <v>473</v>
      </c>
      <c r="D3348" s="52">
        <f ca="1">C3348*Inputs!$B$12</f>
        <v>56760000</v>
      </c>
    </row>
    <row r="3349" spans="1:4" ht="13.5" customHeight="1" x14ac:dyDescent="0.3">
      <c r="A3349" s="46">
        <v>3345</v>
      </c>
      <c r="B3349" s="47">
        <f t="shared" ca="1" si="52"/>
        <v>0.26818196006338713</v>
      </c>
      <c r="C3349" s="48">
        <f t="array" aca="1" ref="C3349" ca="1">MAX(0,ROUND(Inputs!$B$10*Inputs!$B$11+NORMSINV(B3349)*SQRT(Inputs!$B$10*Inputs!$B$11),0))</f>
        <v>486</v>
      </c>
      <c r="D3349" s="49">
        <f ca="1">C3349*Inputs!$B$12</f>
        <v>58320000</v>
      </c>
    </row>
    <row r="3350" spans="1:4" ht="13.5" customHeight="1" x14ac:dyDescent="0.3">
      <c r="A3350" s="50">
        <v>3346</v>
      </c>
      <c r="B3350" s="51">
        <f t="shared" ca="1" si="52"/>
        <v>0.81141046924330951</v>
      </c>
      <c r="C3350" s="48">
        <f t="array" aca="1" ref="C3350" ca="1">MAX(0,ROUND(Inputs!$B$10*Inputs!$B$11+NORMSINV(B3350)*SQRT(Inputs!$B$10*Inputs!$B$11),0))</f>
        <v>520</v>
      </c>
      <c r="D3350" s="52">
        <f ca="1">C3350*Inputs!$B$12</f>
        <v>62400000</v>
      </c>
    </row>
    <row r="3351" spans="1:4" ht="13.5" customHeight="1" x14ac:dyDescent="0.3">
      <c r="A3351" s="46">
        <v>3347</v>
      </c>
      <c r="B3351" s="47">
        <f t="shared" ca="1" si="52"/>
        <v>0.54287138572483851</v>
      </c>
      <c r="C3351" s="48">
        <f t="array" aca="1" ref="C3351" ca="1">MAX(0,ROUND(Inputs!$B$10*Inputs!$B$11+NORMSINV(B3351)*SQRT(Inputs!$B$10*Inputs!$B$11),0))</f>
        <v>502</v>
      </c>
      <c r="D3351" s="49">
        <f ca="1">C3351*Inputs!$B$12</f>
        <v>60240000</v>
      </c>
    </row>
    <row r="3352" spans="1:4" ht="13.5" customHeight="1" x14ac:dyDescent="0.3">
      <c r="A3352" s="50">
        <v>3348</v>
      </c>
      <c r="B3352" s="51">
        <f t="shared" ca="1" si="52"/>
        <v>0.48494074901901785</v>
      </c>
      <c r="C3352" s="48">
        <f t="array" aca="1" ref="C3352" ca="1">MAX(0,ROUND(Inputs!$B$10*Inputs!$B$11+NORMSINV(B3352)*SQRT(Inputs!$B$10*Inputs!$B$11),0))</f>
        <v>499</v>
      </c>
      <c r="D3352" s="52">
        <f ca="1">C3352*Inputs!$B$12</f>
        <v>59880000</v>
      </c>
    </row>
    <row r="3353" spans="1:4" ht="13.5" customHeight="1" x14ac:dyDescent="0.3">
      <c r="A3353" s="46">
        <v>3349</v>
      </c>
      <c r="B3353" s="47">
        <f t="shared" ca="1" si="52"/>
        <v>0.25209560812648191</v>
      </c>
      <c r="C3353" s="48">
        <f t="array" aca="1" ref="C3353" ca="1">MAX(0,ROUND(Inputs!$B$10*Inputs!$B$11+NORMSINV(B3353)*SQRT(Inputs!$B$10*Inputs!$B$11),0))</f>
        <v>485</v>
      </c>
      <c r="D3353" s="49">
        <f ca="1">C3353*Inputs!$B$12</f>
        <v>58200000</v>
      </c>
    </row>
    <row r="3354" spans="1:4" ht="13.5" customHeight="1" x14ac:dyDescent="0.3">
      <c r="A3354" s="50">
        <v>3350</v>
      </c>
      <c r="B3354" s="51">
        <f t="shared" ca="1" si="52"/>
        <v>0.86706741067722282</v>
      </c>
      <c r="C3354" s="48">
        <f t="array" aca="1" ref="C3354" ca="1">MAX(0,ROUND(Inputs!$B$10*Inputs!$B$11+NORMSINV(B3354)*SQRT(Inputs!$B$10*Inputs!$B$11),0))</f>
        <v>525</v>
      </c>
      <c r="D3354" s="52">
        <f ca="1">C3354*Inputs!$B$12</f>
        <v>63000000</v>
      </c>
    </row>
    <row r="3355" spans="1:4" ht="13.5" customHeight="1" x14ac:dyDescent="0.3">
      <c r="A3355" s="46">
        <v>3351</v>
      </c>
      <c r="B3355" s="47">
        <f t="shared" ca="1" si="52"/>
        <v>0.48866810999916122</v>
      </c>
      <c r="C3355" s="48">
        <f t="array" aca="1" ref="C3355" ca="1">MAX(0,ROUND(Inputs!$B$10*Inputs!$B$11+NORMSINV(B3355)*SQRT(Inputs!$B$10*Inputs!$B$11),0))</f>
        <v>499</v>
      </c>
      <c r="D3355" s="49">
        <f ca="1">C3355*Inputs!$B$12</f>
        <v>59880000</v>
      </c>
    </row>
    <row r="3356" spans="1:4" ht="13.5" customHeight="1" x14ac:dyDescent="0.3">
      <c r="A3356" s="50">
        <v>3352</v>
      </c>
      <c r="B3356" s="51">
        <f t="shared" ca="1" si="52"/>
        <v>0.63863410104469243</v>
      </c>
      <c r="C3356" s="48">
        <f t="array" aca="1" ref="C3356" ca="1">MAX(0,ROUND(Inputs!$B$10*Inputs!$B$11+NORMSINV(B3356)*SQRT(Inputs!$B$10*Inputs!$B$11),0))</f>
        <v>508</v>
      </c>
      <c r="D3356" s="52">
        <f ca="1">C3356*Inputs!$B$12</f>
        <v>60960000</v>
      </c>
    </row>
    <row r="3357" spans="1:4" ht="13.5" customHeight="1" x14ac:dyDescent="0.3">
      <c r="A3357" s="46">
        <v>3353</v>
      </c>
      <c r="B3357" s="47">
        <f t="shared" ca="1" si="52"/>
        <v>0.35798211774221289</v>
      </c>
      <c r="C3357" s="48">
        <f t="array" aca="1" ref="C3357" ca="1">MAX(0,ROUND(Inputs!$B$10*Inputs!$B$11+NORMSINV(B3357)*SQRT(Inputs!$B$10*Inputs!$B$11),0))</f>
        <v>492</v>
      </c>
      <c r="D3357" s="49">
        <f ca="1">C3357*Inputs!$B$12</f>
        <v>59040000</v>
      </c>
    </row>
    <row r="3358" spans="1:4" ht="13.5" customHeight="1" x14ac:dyDescent="0.3">
      <c r="A3358" s="50">
        <v>3354</v>
      </c>
      <c r="B3358" s="51">
        <f t="shared" ca="1" si="52"/>
        <v>0.65800187161528656</v>
      </c>
      <c r="C3358" s="48">
        <f t="array" aca="1" ref="C3358" ca="1">MAX(0,ROUND(Inputs!$B$10*Inputs!$B$11+NORMSINV(B3358)*SQRT(Inputs!$B$10*Inputs!$B$11),0))</f>
        <v>509</v>
      </c>
      <c r="D3358" s="52">
        <f ca="1">C3358*Inputs!$B$12</f>
        <v>61080000</v>
      </c>
    </row>
    <row r="3359" spans="1:4" ht="13.5" customHeight="1" x14ac:dyDescent="0.3">
      <c r="A3359" s="46">
        <v>3355</v>
      </c>
      <c r="B3359" s="47">
        <f t="shared" ca="1" si="52"/>
        <v>0.75496238689217987</v>
      </c>
      <c r="C3359" s="48">
        <f t="array" aca="1" ref="C3359" ca="1">MAX(0,ROUND(Inputs!$B$10*Inputs!$B$11+NORMSINV(B3359)*SQRT(Inputs!$B$10*Inputs!$B$11),0))</f>
        <v>515</v>
      </c>
      <c r="D3359" s="49">
        <f ca="1">C3359*Inputs!$B$12</f>
        <v>61800000</v>
      </c>
    </row>
    <row r="3360" spans="1:4" ht="13.5" customHeight="1" x14ac:dyDescent="0.3">
      <c r="A3360" s="50">
        <v>3356</v>
      </c>
      <c r="B3360" s="51">
        <f t="shared" ca="1" si="52"/>
        <v>0.56236199822912381</v>
      </c>
      <c r="C3360" s="48">
        <f t="array" aca="1" ref="C3360" ca="1">MAX(0,ROUND(Inputs!$B$10*Inputs!$B$11+NORMSINV(B3360)*SQRT(Inputs!$B$10*Inputs!$B$11),0))</f>
        <v>504</v>
      </c>
      <c r="D3360" s="52">
        <f ca="1">C3360*Inputs!$B$12</f>
        <v>60480000</v>
      </c>
    </row>
    <row r="3361" spans="1:4" ht="13.5" customHeight="1" x14ac:dyDescent="0.3">
      <c r="A3361" s="46">
        <v>3357</v>
      </c>
      <c r="B3361" s="47">
        <f t="shared" ca="1" si="52"/>
        <v>9.789556329095328E-2</v>
      </c>
      <c r="C3361" s="48">
        <f t="array" aca="1" ref="C3361" ca="1">MAX(0,ROUND(Inputs!$B$10*Inputs!$B$11+NORMSINV(B3361)*SQRT(Inputs!$B$10*Inputs!$B$11),0))</f>
        <v>471</v>
      </c>
      <c r="D3361" s="49">
        <f ca="1">C3361*Inputs!$B$12</f>
        <v>56520000</v>
      </c>
    </row>
    <row r="3362" spans="1:4" ht="13.5" customHeight="1" x14ac:dyDescent="0.3">
      <c r="A3362" s="50">
        <v>3358</v>
      </c>
      <c r="B3362" s="51">
        <f t="shared" ca="1" si="52"/>
        <v>0.21014056655799762</v>
      </c>
      <c r="C3362" s="48">
        <f t="array" aca="1" ref="C3362" ca="1">MAX(0,ROUND(Inputs!$B$10*Inputs!$B$11+NORMSINV(B3362)*SQRT(Inputs!$B$10*Inputs!$B$11),0))</f>
        <v>482</v>
      </c>
      <c r="D3362" s="52">
        <f ca="1">C3362*Inputs!$B$12</f>
        <v>57840000</v>
      </c>
    </row>
    <row r="3363" spans="1:4" ht="13.5" customHeight="1" x14ac:dyDescent="0.3">
      <c r="A3363" s="46">
        <v>3359</v>
      </c>
      <c r="B3363" s="47">
        <f t="shared" ca="1" si="52"/>
        <v>0.44075817754356728</v>
      </c>
      <c r="C3363" s="48">
        <f t="array" aca="1" ref="C3363" ca="1">MAX(0,ROUND(Inputs!$B$10*Inputs!$B$11+NORMSINV(B3363)*SQRT(Inputs!$B$10*Inputs!$B$11),0))</f>
        <v>497</v>
      </c>
      <c r="D3363" s="49">
        <f ca="1">C3363*Inputs!$B$12</f>
        <v>59640000</v>
      </c>
    </row>
    <row r="3364" spans="1:4" ht="13.5" customHeight="1" x14ac:dyDescent="0.3">
      <c r="A3364" s="50">
        <v>3360</v>
      </c>
      <c r="B3364" s="51">
        <f t="shared" ca="1" si="52"/>
        <v>0.20228209447166479</v>
      </c>
      <c r="C3364" s="48">
        <f t="array" aca="1" ref="C3364" ca="1">MAX(0,ROUND(Inputs!$B$10*Inputs!$B$11+NORMSINV(B3364)*SQRT(Inputs!$B$10*Inputs!$B$11),0))</f>
        <v>481</v>
      </c>
      <c r="D3364" s="52">
        <f ca="1">C3364*Inputs!$B$12</f>
        <v>57720000</v>
      </c>
    </row>
    <row r="3365" spans="1:4" ht="13.5" customHeight="1" x14ac:dyDescent="0.3">
      <c r="A3365" s="46">
        <v>3361</v>
      </c>
      <c r="B3365" s="47">
        <f t="shared" ca="1" si="52"/>
        <v>0.12746671185368941</v>
      </c>
      <c r="C3365" s="48">
        <f t="array" aca="1" ref="C3365" ca="1">MAX(0,ROUND(Inputs!$B$10*Inputs!$B$11+NORMSINV(B3365)*SQRT(Inputs!$B$10*Inputs!$B$11),0))</f>
        <v>475</v>
      </c>
      <c r="D3365" s="49">
        <f ca="1">C3365*Inputs!$B$12</f>
        <v>57000000</v>
      </c>
    </row>
    <row r="3366" spans="1:4" ht="13.5" customHeight="1" x14ac:dyDescent="0.3">
      <c r="A3366" s="50">
        <v>3362</v>
      </c>
      <c r="B3366" s="51">
        <f t="shared" ca="1" si="52"/>
        <v>0.64135265945885656</v>
      </c>
      <c r="C3366" s="48">
        <f t="array" aca="1" ref="C3366" ca="1">MAX(0,ROUND(Inputs!$B$10*Inputs!$B$11+NORMSINV(B3366)*SQRT(Inputs!$B$10*Inputs!$B$11),0))</f>
        <v>508</v>
      </c>
      <c r="D3366" s="52">
        <f ca="1">C3366*Inputs!$B$12</f>
        <v>60960000</v>
      </c>
    </row>
    <row r="3367" spans="1:4" ht="13.5" customHeight="1" x14ac:dyDescent="0.3">
      <c r="A3367" s="46">
        <v>3363</v>
      </c>
      <c r="B3367" s="47">
        <f t="shared" ca="1" si="52"/>
        <v>0.9906011777578283</v>
      </c>
      <c r="C3367" s="48">
        <f t="array" aca="1" ref="C3367" ca="1">MAX(0,ROUND(Inputs!$B$10*Inputs!$B$11+NORMSINV(B3367)*SQRT(Inputs!$B$10*Inputs!$B$11),0))</f>
        <v>553</v>
      </c>
      <c r="D3367" s="49">
        <f ca="1">C3367*Inputs!$B$12</f>
        <v>66360000</v>
      </c>
    </row>
    <row r="3368" spans="1:4" ht="13.5" customHeight="1" x14ac:dyDescent="0.3">
      <c r="A3368" s="50">
        <v>3364</v>
      </c>
      <c r="B3368" s="51">
        <f t="shared" ca="1" si="52"/>
        <v>0.55964261475378185</v>
      </c>
      <c r="C3368" s="48">
        <f t="array" aca="1" ref="C3368" ca="1">MAX(0,ROUND(Inputs!$B$10*Inputs!$B$11+NORMSINV(B3368)*SQRT(Inputs!$B$10*Inputs!$B$11),0))</f>
        <v>503</v>
      </c>
      <c r="D3368" s="52">
        <f ca="1">C3368*Inputs!$B$12</f>
        <v>60360000</v>
      </c>
    </row>
    <row r="3369" spans="1:4" ht="13.5" customHeight="1" x14ac:dyDescent="0.3">
      <c r="A3369" s="46">
        <v>3365</v>
      </c>
      <c r="B3369" s="47">
        <f t="shared" ca="1" si="52"/>
        <v>0.18001025453013275</v>
      </c>
      <c r="C3369" s="48">
        <f t="array" aca="1" ref="C3369" ca="1">MAX(0,ROUND(Inputs!$B$10*Inputs!$B$11+NORMSINV(B3369)*SQRT(Inputs!$B$10*Inputs!$B$11),0))</f>
        <v>480</v>
      </c>
      <c r="D3369" s="49">
        <f ca="1">C3369*Inputs!$B$12</f>
        <v>57600000</v>
      </c>
    </row>
    <row r="3370" spans="1:4" ht="13.5" customHeight="1" x14ac:dyDescent="0.3">
      <c r="A3370" s="50">
        <v>3366</v>
      </c>
      <c r="B3370" s="51">
        <f t="shared" ca="1" si="52"/>
        <v>0.2423802691243454</v>
      </c>
      <c r="C3370" s="48">
        <f t="array" aca="1" ref="C3370" ca="1">MAX(0,ROUND(Inputs!$B$10*Inputs!$B$11+NORMSINV(B3370)*SQRT(Inputs!$B$10*Inputs!$B$11),0))</f>
        <v>484</v>
      </c>
      <c r="D3370" s="52">
        <f ca="1">C3370*Inputs!$B$12</f>
        <v>58080000</v>
      </c>
    </row>
    <row r="3371" spans="1:4" ht="13.5" customHeight="1" x14ac:dyDescent="0.3">
      <c r="A3371" s="46">
        <v>3367</v>
      </c>
      <c r="B3371" s="47">
        <f t="shared" ca="1" si="52"/>
        <v>0.69375622617246524</v>
      </c>
      <c r="C3371" s="48">
        <f t="array" aca="1" ref="C3371" ca="1">MAX(0,ROUND(Inputs!$B$10*Inputs!$B$11+NORMSINV(B3371)*SQRT(Inputs!$B$10*Inputs!$B$11),0))</f>
        <v>511</v>
      </c>
      <c r="D3371" s="49">
        <f ca="1">C3371*Inputs!$B$12</f>
        <v>61320000</v>
      </c>
    </row>
    <row r="3372" spans="1:4" ht="13.5" customHeight="1" x14ac:dyDescent="0.3">
      <c r="A3372" s="50">
        <v>3368</v>
      </c>
      <c r="B3372" s="51">
        <f t="shared" ca="1" si="52"/>
        <v>0.8012049082555085</v>
      </c>
      <c r="C3372" s="48">
        <f t="array" aca="1" ref="C3372" ca="1">MAX(0,ROUND(Inputs!$B$10*Inputs!$B$11+NORMSINV(B3372)*SQRT(Inputs!$B$10*Inputs!$B$11),0))</f>
        <v>519</v>
      </c>
      <c r="D3372" s="52">
        <f ca="1">C3372*Inputs!$B$12</f>
        <v>62280000</v>
      </c>
    </row>
    <row r="3373" spans="1:4" ht="13.5" customHeight="1" x14ac:dyDescent="0.3">
      <c r="A3373" s="46">
        <v>3369</v>
      </c>
      <c r="B3373" s="47">
        <f t="shared" ca="1" si="52"/>
        <v>0.17485275085108121</v>
      </c>
      <c r="C3373" s="48">
        <f t="array" aca="1" ref="C3373" ca="1">MAX(0,ROUND(Inputs!$B$10*Inputs!$B$11+NORMSINV(B3373)*SQRT(Inputs!$B$10*Inputs!$B$11),0))</f>
        <v>479</v>
      </c>
      <c r="D3373" s="49">
        <f ca="1">C3373*Inputs!$B$12</f>
        <v>57480000</v>
      </c>
    </row>
    <row r="3374" spans="1:4" ht="13.5" customHeight="1" x14ac:dyDescent="0.3">
      <c r="A3374" s="50">
        <v>3370</v>
      </c>
      <c r="B3374" s="51">
        <f t="shared" ca="1" si="52"/>
        <v>0.47632132008541139</v>
      </c>
      <c r="C3374" s="48">
        <f t="array" aca="1" ref="C3374" ca="1">MAX(0,ROUND(Inputs!$B$10*Inputs!$B$11+NORMSINV(B3374)*SQRT(Inputs!$B$10*Inputs!$B$11),0))</f>
        <v>499</v>
      </c>
      <c r="D3374" s="52">
        <f ca="1">C3374*Inputs!$B$12</f>
        <v>59880000</v>
      </c>
    </row>
    <row r="3375" spans="1:4" ht="13.5" customHeight="1" x14ac:dyDescent="0.3">
      <c r="A3375" s="46">
        <v>3371</v>
      </c>
      <c r="B3375" s="47">
        <f t="shared" ca="1" si="52"/>
        <v>0.57747736421658147</v>
      </c>
      <c r="C3375" s="48">
        <f t="array" aca="1" ref="C3375" ca="1">MAX(0,ROUND(Inputs!$B$10*Inputs!$B$11+NORMSINV(B3375)*SQRT(Inputs!$B$10*Inputs!$B$11),0))</f>
        <v>504</v>
      </c>
      <c r="D3375" s="49">
        <f ca="1">C3375*Inputs!$B$12</f>
        <v>60480000</v>
      </c>
    </row>
    <row r="3376" spans="1:4" ht="13.5" customHeight="1" x14ac:dyDescent="0.3">
      <c r="A3376" s="50">
        <v>3372</v>
      </c>
      <c r="B3376" s="51">
        <f t="shared" ca="1" si="52"/>
        <v>0.24891897578950462</v>
      </c>
      <c r="C3376" s="48">
        <f t="array" aca="1" ref="C3376" ca="1">MAX(0,ROUND(Inputs!$B$10*Inputs!$B$11+NORMSINV(B3376)*SQRT(Inputs!$B$10*Inputs!$B$11),0))</f>
        <v>485</v>
      </c>
      <c r="D3376" s="52">
        <f ca="1">C3376*Inputs!$B$12</f>
        <v>58200000</v>
      </c>
    </row>
    <row r="3377" spans="1:4" ht="13.5" customHeight="1" x14ac:dyDescent="0.3">
      <c r="A3377" s="46">
        <v>3373</v>
      </c>
      <c r="B3377" s="47">
        <f t="shared" ca="1" si="52"/>
        <v>0.49449866310442991</v>
      </c>
      <c r="C3377" s="48">
        <f t="array" aca="1" ref="C3377" ca="1">MAX(0,ROUND(Inputs!$B$10*Inputs!$B$11+NORMSINV(B3377)*SQRT(Inputs!$B$10*Inputs!$B$11),0))</f>
        <v>500</v>
      </c>
      <c r="D3377" s="49">
        <f ca="1">C3377*Inputs!$B$12</f>
        <v>60000000</v>
      </c>
    </row>
    <row r="3378" spans="1:4" ht="13.5" customHeight="1" x14ac:dyDescent="0.3">
      <c r="A3378" s="50">
        <v>3374</v>
      </c>
      <c r="B3378" s="51">
        <f t="shared" ca="1" si="52"/>
        <v>0.29775242883387831</v>
      </c>
      <c r="C3378" s="48">
        <f t="array" aca="1" ref="C3378" ca="1">MAX(0,ROUND(Inputs!$B$10*Inputs!$B$11+NORMSINV(B3378)*SQRT(Inputs!$B$10*Inputs!$B$11),0))</f>
        <v>488</v>
      </c>
      <c r="D3378" s="52">
        <f ca="1">C3378*Inputs!$B$12</f>
        <v>58560000</v>
      </c>
    </row>
    <row r="3379" spans="1:4" ht="13.5" customHeight="1" x14ac:dyDescent="0.3">
      <c r="A3379" s="46">
        <v>3375</v>
      </c>
      <c r="B3379" s="47">
        <f t="shared" ca="1" si="52"/>
        <v>0.24136446178847182</v>
      </c>
      <c r="C3379" s="48">
        <f t="array" aca="1" ref="C3379" ca="1">MAX(0,ROUND(Inputs!$B$10*Inputs!$B$11+NORMSINV(B3379)*SQRT(Inputs!$B$10*Inputs!$B$11),0))</f>
        <v>484</v>
      </c>
      <c r="D3379" s="49">
        <f ca="1">C3379*Inputs!$B$12</f>
        <v>58080000</v>
      </c>
    </row>
    <row r="3380" spans="1:4" ht="13.5" customHeight="1" x14ac:dyDescent="0.3">
      <c r="A3380" s="50">
        <v>3376</v>
      </c>
      <c r="B3380" s="51">
        <f t="shared" ca="1" si="52"/>
        <v>0.11364955179404834</v>
      </c>
      <c r="C3380" s="48">
        <f t="array" aca="1" ref="C3380" ca="1">MAX(0,ROUND(Inputs!$B$10*Inputs!$B$11+NORMSINV(B3380)*SQRT(Inputs!$B$10*Inputs!$B$11),0))</f>
        <v>473</v>
      </c>
      <c r="D3380" s="52">
        <f ca="1">C3380*Inputs!$B$12</f>
        <v>56760000</v>
      </c>
    </row>
    <row r="3381" spans="1:4" ht="13.5" customHeight="1" x14ac:dyDescent="0.3">
      <c r="A3381" s="46">
        <v>3377</v>
      </c>
      <c r="B3381" s="47">
        <f t="shared" ca="1" si="52"/>
        <v>0.8755754236482145</v>
      </c>
      <c r="C3381" s="48">
        <f t="array" aca="1" ref="C3381" ca="1">MAX(0,ROUND(Inputs!$B$10*Inputs!$B$11+NORMSINV(B3381)*SQRT(Inputs!$B$10*Inputs!$B$11),0))</f>
        <v>526</v>
      </c>
      <c r="D3381" s="49">
        <f ca="1">C3381*Inputs!$B$12</f>
        <v>63120000</v>
      </c>
    </row>
    <row r="3382" spans="1:4" ht="13.5" customHeight="1" x14ac:dyDescent="0.3">
      <c r="A3382" s="50">
        <v>3378</v>
      </c>
      <c r="B3382" s="51">
        <f t="shared" ca="1" si="52"/>
        <v>0.9772523194836511</v>
      </c>
      <c r="C3382" s="48">
        <f t="array" aca="1" ref="C3382" ca="1">MAX(0,ROUND(Inputs!$B$10*Inputs!$B$11+NORMSINV(B3382)*SQRT(Inputs!$B$10*Inputs!$B$11),0))</f>
        <v>545</v>
      </c>
      <c r="D3382" s="52">
        <f ca="1">C3382*Inputs!$B$12</f>
        <v>65400000</v>
      </c>
    </row>
    <row r="3383" spans="1:4" ht="13.5" customHeight="1" x14ac:dyDescent="0.3">
      <c r="A3383" s="46">
        <v>3379</v>
      </c>
      <c r="B3383" s="47">
        <f t="shared" ca="1" si="52"/>
        <v>0.18677828427798215</v>
      </c>
      <c r="C3383" s="48">
        <f t="array" aca="1" ref="C3383" ca="1">MAX(0,ROUND(Inputs!$B$10*Inputs!$B$11+NORMSINV(B3383)*SQRT(Inputs!$B$10*Inputs!$B$11),0))</f>
        <v>480</v>
      </c>
      <c r="D3383" s="49">
        <f ca="1">C3383*Inputs!$B$12</f>
        <v>57600000</v>
      </c>
    </row>
    <row r="3384" spans="1:4" ht="13.5" customHeight="1" x14ac:dyDescent="0.3">
      <c r="A3384" s="50">
        <v>3380</v>
      </c>
      <c r="B3384" s="51">
        <f t="shared" ca="1" si="52"/>
        <v>0.40692663103775106</v>
      </c>
      <c r="C3384" s="48">
        <f t="array" aca="1" ref="C3384" ca="1">MAX(0,ROUND(Inputs!$B$10*Inputs!$B$11+NORMSINV(B3384)*SQRT(Inputs!$B$10*Inputs!$B$11),0))</f>
        <v>495</v>
      </c>
      <c r="D3384" s="52">
        <f ca="1">C3384*Inputs!$B$12</f>
        <v>59400000</v>
      </c>
    </row>
    <row r="3385" spans="1:4" ht="13.5" customHeight="1" x14ac:dyDescent="0.3">
      <c r="A3385" s="46">
        <v>3381</v>
      </c>
      <c r="B3385" s="47">
        <f t="shared" ca="1" si="52"/>
        <v>0.86804451381816838</v>
      </c>
      <c r="C3385" s="48">
        <f t="array" aca="1" ref="C3385" ca="1">MAX(0,ROUND(Inputs!$B$10*Inputs!$B$11+NORMSINV(B3385)*SQRT(Inputs!$B$10*Inputs!$B$11),0))</f>
        <v>525</v>
      </c>
      <c r="D3385" s="49">
        <f ca="1">C3385*Inputs!$B$12</f>
        <v>63000000</v>
      </c>
    </row>
    <row r="3386" spans="1:4" ht="13.5" customHeight="1" x14ac:dyDescent="0.3">
      <c r="A3386" s="50">
        <v>3382</v>
      </c>
      <c r="B3386" s="51">
        <f t="shared" ca="1" si="52"/>
        <v>0.48251063834349583</v>
      </c>
      <c r="C3386" s="48">
        <f t="array" aca="1" ref="C3386" ca="1">MAX(0,ROUND(Inputs!$B$10*Inputs!$B$11+NORMSINV(B3386)*SQRT(Inputs!$B$10*Inputs!$B$11),0))</f>
        <v>499</v>
      </c>
      <c r="D3386" s="52">
        <f ca="1">C3386*Inputs!$B$12</f>
        <v>59880000</v>
      </c>
    </row>
    <row r="3387" spans="1:4" ht="13.5" customHeight="1" x14ac:dyDescent="0.3">
      <c r="A3387" s="46">
        <v>3383</v>
      </c>
      <c r="B3387" s="47">
        <f t="shared" ca="1" si="52"/>
        <v>0.99427426999028734</v>
      </c>
      <c r="C3387" s="48">
        <f t="array" aca="1" ref="C3387" ca="1">MAX(0,ROUND(Inputs!$B$10*Inputs!$B$11+NORMSINV(B3387)*SQRT(Inputs!$B$10*Inputs!$B$11),0))</f>
        <v>557</v>
      </c>
      <c r="D3387" s="49">
        <f ca="1">C3387*Inputs!$B$12</f>
        <v>66840000</v>
      </c>
    </row>
    <row r="3388" spans="1:4" ht="13.5" customHeight="1" x14ac:dyDescent="0.3">
      <c r="A3388" s="50">
        <v>3384</v>
      </c>
      <c r="B3388" s="51">
        <f t="shared" ca="1" si="52"/>
        <v>0.57805495775094851</v>
      </c>
      <c r="C3388" s="48">
        <f t="array" aca="1" ref="C3388" ca="1">MAX(0,ROUND(Inputs!$B$10*Inputs!$B$11+NORMSINV(B3388)*SQRT(Inputs!$B$10*Inputs!$B$11),0))</f>
        <v>504</v>
      </c>
      <c r="D3388" s="52">
        <f ca="1">C3388*Inputs!$B$12</f>
        <v>60480000</v>
      </c>
    </row>
    <row r="3389" spans="1:4" ht="13.5" customHeight="1" x14ac:dyDescent="0.3">
      <c r="A3389" s="46">
        <v>3385</v>
      </c>
      <c r="B3389" s="47">
        <f t="shared" ca="1" si="52"/>
        <v>0.90150698487363656</v>
      </c>
      <c r="C3389" s="48">
        <f t="array" aca="1" ref="C3389" ca="1">MAX(0,ROUND(Inputs!$B$10*Inputs!$B$11+NORMSINV(B3389)*SQRT(Inputs!$B$10*Inputs!$B$11),0))</f>
        <v>529</v>
      </c>
      <c r="D3389" s="49">
        <f ca="1">C3389*Inputs!$B$12</f>
        <v>63480000</v>
      </c>
    </row>
    <row r="3390" spans="1:4" ht="13.5" customHeight="1" x14ac:dyDescent="0.3">
      <c r="A3390" s="50">
        <v>3386</v>
      </c>
      <c r="B3390" s="51">
        <f t="shared" ca="1" si="52"/>
        <v>0.91273438179965138</v>
      </c>
      <c r="C3390" s="48">
        <f t="array" aca="1" ref="C3390" ca="1">MAX(0,ROUND(Inputs!$B$10*Inputs!$B$11+NORMSINV(B3390)*SQRT(Inputs!$B$10*Inputs!$B$11),0))</f>
        <v>530</v>
      </c>
      <c r="D3390" s="52">
        <f ca="1">C3390*Inputs!$B$12</f>
        <v>63600000</v>
      </c>
    </row>
    <row r="3391" spans="1:4" ht="13.5" customHeight="1" x14ac:dyDescent="0.3">
      <c r="A3391" s="46">
        <v>3387</v>
      </c>
      <c r="B3391" s="47">
        <f t="shared" ca="1" si="52"/>
        <v>0.65759620527408136</v>
      </c>
      <c r="C3391" s="48">
        <f t="array" aca="1" ref="C3391" ca="1">MAX(0,ROUND(Inputs!$B$10*Inputs!$B$11+NORMSINV(B3391)*SQRT(Inputs!$B$10*Inputs!$B$11),0))</f>
        <v>509</v>
      </c>
      <c r="D3391" s="49">
        <f ca="1">C3391*Inputs!$B$12</f>
        <v>61080000</v>
      </c>
    </row>
    <row r="3392" spans="1:4" ht="13.5" customHeight="1" x14ac:dyDescent="0.3">
      <c r="A3392" s="50">
        <v>3388</v>
      </c>
      <c r="B3392" s="51">
        <f t="shared" ca="1" si="52"/>
        <v>0.15014068994374152</v>
      </c>
      <c r="C3392" s="48">
        <f t="array" aca="1" ref="C3392" ca="1">MAX(0,ROUND(Inputs!$B$10*Inputs!$B$11+NORMSINV(B3392)*SQRT(Inputs!$B$10*Inputs!$B$11),0))</f>
        <v>477</v>
      </c>
      <c r="D3392" s="52">
        <f ca="1">C3392*Inputs!$B$12</f>
        <v>57240000</v>
      </c>
    </row>
    <row r="3393" spans="1:4" ht="13.5" customHeight="1" x14ac:dyDescent="0.3">
      <c r="A3393" s="46">
        <v>3389</v>
      </c>
      <c r="B3393" s="47">
        <f t="shared" ca="1" si="52"/>
        <v>0.38776214029328659</v>
      </c>
      <c r="C3393" s="48">
        <f t="array" aca="1" ref="C3393" ca="1">MAX(0,ROUND(Inputs!$B$10*Inputs!$B$11+NORMSINV(B3393)*SQRT(Inputs!$B$10*Inputs!$B$11),0))</f>
        <v>494</v>
      </c>
      <c r="D3393" s="49">
        <f ca="1">C3393*Inputs!$B$12</f>
        <v>59280000</v>
      </c>
    </row>
    <row r="3394" spans="1:4" ht="13.5" customHeight="1" x14ac:dyDescent="0.3">
      <c r="A3394" s="50">
        <v>3390</v>
      </c>
      <c r="B3394" s="51">
        <f t="shared" ca="1" si="52"/>
        <v>0.27447905688848528</v>
      </c>
      <c r="C3394" s="48">
        <f t="array" aca="1" ref="C3394" ca="1">MAX(0,ROUND(Inputs!$B$10*Inputs!$B$11+NORMSINV(B3394)*SQRT(Inputs!$B$10*Inputs!$B$11),0))</f>
        <v>487</v>
      </c>
      <c r="D3394" s="52">
        <f ca="1">C3394*Inputs!$B$12</f>
        <v>58440000</v>
      </c>
    </row>
    <row r="3395" spans="1:4" ht="13.5" customHeight="1" x14ac:dyDescent="0.3">
      <c r="A3395" s="46">
        <v>3391</v>
      </c>
      <c r="B3395" s="47">
        <f t="shared" ca="1" si="52"/>
        <v>0.12618552399223437</v>
      </c>
      <c r="C3395" s="48">
        <f t="array" aca="1" ref="C3395" ca="1">MAX(0,ROUND(Inputs!$B$10*Inputs!$B$11+NORMSINV(B3395)*SQRT(Inputs!$B$10*Inputs!$B$11),0))</f>
        <v>474</v>
      </c>
      <c r="D3395" s="49">
        <f ca="1">C3395*Inputs!$B$12</f>
        <v>56880000</v>
      </c>
    </row>
    <row r="3396" spans="1:4" ht="13.5" customHeight="1" x14ac:dyDescent="0.3">
      <c r="A3396" s="50">
        <v>3392</v>
      </c>
      <c r="B3396" s="51">
        <f t="shared" ca="1" si="52"/>
        <v>0.30881757052645642</v>
      </c>
      <c r="C3396" s="48">
        <f t="array" aca="1" ref="C3396" ca="1">MAX(0,ROUND(Inputs!$B$10*Inputs!$B$11+NORMSINV(B3396)*SQRT(Inputs!$B$10*Inputs!$B$11),0))</f>
        <v>489</v>
      </c>
      <c r="D3396" s="52">
        <f ca="1">C3396*Inputs!$B$12</f>
        <v>58680000</v>
      </c>
    </row>
    <row r="3397" spans="1:4" ht="13.5" customHeight="1" x14ac:dyDescent="0.3">
      <c r="A3397" s="46">
        <v>3393</v>
      </c>
      <c r="B3397" s="47">
        <f t="shared" ref="B3397:B3460" ca="1" si="53">RAND()</f>
        <v>0.62355883919585608</v>
      </c>
      <c r="C3397" s="48">
        <f t="array" aca="1" ref="C3397" ca="1">MAX(0,ROUND(Inputs!$B$10*Inputs!$B$11+NORMSINV(B3397)*SQRT(Inputs!$B$10*Inputs!$B$11),0))</f>
        <v>507</v>
      </c>
      <c r="D3397" s="49">
        <f ca="1">C3397*Inputs!$B$12</f>
        <v>60840000</v>
      </c>
    </row>
    <row r="3398" spans="1:4" ht="13.5" customHeight="1" x14ac:dyDescent="0.3">
      <c r="A3398" s="50">
        <v>3394</v>
      </c>
      <c r="B3398" s="51">
        <f t="shared" ca="1" si="53"/>
        <v>0.80242193868986078</v>
      </c>
      <c r="C3398" s="48">
        <f t="array" aca="1" ref="C3398" ca="1">MAX(0,ROUND(Inputs!$B$10*Inputs!$B$11+NORMSINV(B3398)*SQRT(Inputs!$B$10*Inputs!$B$11),0))</f>
        <v>519</v>
      </c>
      <c r="D3398" s="52">
        <f ca="1">C3398*Inputs!$B$12</f>
        <v>62280000</v>
      </c>
    </row>
    <row r="3399" spans="1:4" ht="13.5" customHeight="1" x14ac:dyDescent="0.3">
      <c r="A3399" s="46">
        <v>3395</v>
      </c>
      <c r="B3399" s="47">
        <f t="shared" ca="1" si="53"/>
        <v>0.92503804251268673</v>
      </c>
      <c r="C3399" s="48">
        <f t="array" aca="1" ref="C3399" ca="1">MAX(0,ROUND(Inputs!$B$10*Inputs!$B$11+NORMSINV(B3399)*SQRT(Inputs!$B$10*Inputs!$B$11),0))</f>
        <v>532</v>
      </c>
      <c r="D3399" s="49">
        <f ca="1">C3399*Inputs!$B$12</f>
        <v>63840000</v>
      </c>
    </row>
    <row r="3400" spans="1:4" ht="13.5" customHeight="1" x14ac:dyDescent="0.3">
      <c r="A3400" s="50">
        <v>3396</v>
      </c>
      <c r="B3400" s="51">
        <f t="shared" ca="1" si="53"/>
        <v>0.18544703731948087</v>
      </c>
      <c r="C3400" s="48">
        <f t="array" aca="1" ref="C3400" ca="1">MAX(0,ROUND(Inputs!$B$10*Inputs!$B$11+NORMSINV(B3400)*SQRT(Inputs!$B$10*Inputs!$B$11),0))</f>
        <v>480</v>
      </c>
      <c r="D3400" s="52">
        <f ca="1">C3400*Inputs!$B$12</f>
        <v>57600000</v>
      </c>
    </row>
    <row r="3401" spans="1:4" ht="13.5" customHeight="1" x14ac:dyDescent="0.3">
      <c r="A3401" s="46">
        <v>3397</v>
      </c>
      <c r="B3401" s="47">
        <f t="shared" ca="1" si="53"/>
        <v>0.97852007398164353</v>
      </c>
      <c r="C3401" s="48">
        <f t="array" aca="1" ref="C3401" ca="1">MAX(0,ROUND(Inputs!$B$10*Inputs!$B$11+NORMSINV(B3401)*SQRT(Inputs!$B$10*Inputs!$B$11),0))</f>
        <v>545</v>
      </c>
      <c r="D3401" s="49">
        <f ca="1">C3401*Inputs!$B$12</f>
        <v>65400000</v>
      </c>
    </row>
    <row r="3402" spans="1:4" ht="13.5" customHeight="1" x14ac:dyDescent="0.3">
      <c r="A3402" s="50">
        <v>3398</v>
      </c>
      <c r="B3402" s="51">
        <f t="shared" ca="1" si="53"/>
        <v>0.66614216124703596</v>
      </c>
      <c r="C3402" s="48">
        <f t="array" aca="1" ref="C3402" ca="1">MAX(0,ROUND(Inputs!$B$10*Inputs!$B$11+NORMSINV(B3402)*SQRT(Inputs!$B$10*Inputs!$B$11),0))</f>
        <v>510</v>
      </c>
      <c r="D3402" s="52">
        <f ca="1">C3402*Inputs!$B$12</f>
        <v>61200000</v>
      </c>
    </row>
    <row r="3403" spans="1:4" ht="13.5" customHeight="1" x14ac:dyDescent="0.3">
      <c r="A3403" s="46">
        <v>3399</v>
      </c>
      <c r="B3403" s="47">
        <f t="shared" ca="1" si="53"/>
        <v>0.12050607297825289</v>
      </c>
      <c r="C3403" s="48">
        <f t="array" aca="1" ref="C3403" ca="1">MAX(0,ROUND(Inputs!$B$10*Inputs!$B$11+NORMSINV(B3403)*SQRT(Inputs!$B$10*Inputs!$B$11),0))</f>
        <v>474</v>
      </c>
      <c r="D3403" s="49">
        <f ca="1">C3403*Inputs!$B$12</f>
        <v>56880000</v>
      </c>
    </row>
    <row r="3404" spans="1:4" ht="13.5" customHeight="1" x14ac:dyDescent="0.3">
      <c r="A3404" s="50">
        <v>3400</v>
      </c>
      <c r="B3404" s="51">
        <f t="shared" ca="1" si="53"/>
        <v>0.851843363764481</v>
      </c>
      <c r="C3404" s="48">
        <f t="array" aca="1" ref="C3404" ca="1">MAX(0,ROUND(Inputs!$B$10*Inputs!$B$11+NORMSINV(B3404)*SQRT(Inputs!$B$10*Inputs!$B$11),0))</f>
        <v>523</v>
      </c>
      <c r="D3404" s="52">
        <f ca="1">C3404*Inputs!$B$12</f>
        <v>62760000</v>
      </c>
    </row>
    <row r="3405" spans="1:4" ht="13.5" customHeight="1" x14ac:dyDescent="0.3">
      <c r="A3405" s="46">
        <v>3401</v>
      </c>
      <c r="B3405" s="47">
        <f t="shared" ca="1" si="53"/>
        <v>0.54455102345122408</v>
      </c>
      <c r="C3405" s="48">
        <f t="array" aca="1" ref="C3405" ca="1">MAX(0,ROUND(Inputs!$B$10*Inputs!$B$11+NORMSINV(B3405)*SQRT(Inputs!$B$10*Inputs!$B$11),0))</f>
        <v>503</v>
      </c>
      <c r="D3405" s="49">
        <f ca="1">C3405*Inputs!$B$12</f>
        <v>60360000</v>
      </c>
    </row>
    <row r="3406" spans="1:4" ht="13.5" customHeight="1" x14ac:dyDescent="0.3">
      <c r="A3406" s="50">
        <v>3402</v>
      </c>
      <c r="B3406" s="51">
        <f t="shared" ca="1" si="53"/>
        <v>0.4236094113187473</v>
      </c>
      <c r="C3406" s="48">
        <f t="array" aca="1" ref="C3406" ca="1">MAX(0,ROUND(Inputs!$B$10*Inputs!$B$11+NORMSINV(B3406)*SQRT(Inputs!$B$10*Inputs!$B$11),0))</f>
        <v>496</v>
      </c>
      <c r="D3406" s="52">
        <f ca="1">C3406*Inputs!$B$12</f>
        <v>59520000</v>
      </c>
    </row>
    <row r="3407" spans="1:4" ht="13.5" customHeight="1" x14ac:dyDescent="0.3">
      <c r="A3407" s="46">
        <v>3403</v>
      </c>
      <c r="B3407" s="47">
        <f t="shared" ca="1" si="53"/>
        <v>4.0684814645674305E-2</v>
      </c>
      <c r="C3407" s="48">
        <f t="array" aca="1" ref="C3407" ca="1">MAX(0,ROUND(Inputs!$B$10*Inputs!$B$11+NORMSINV(B3407)*SQRT(Inputs!$B$10*Inputs!$B$11),0))</f>
        <v>461</v>
      </c>
      <c r="D3407" s="49">
        <f ca="1">C3407*Inputs!$B$12</f>
        <v>55320000</v>
      </c>
    </row>
    <row r="3408" spans="1:4" ht="13.5" customHeight="1" x14ac:dyDescent="0.3">
      <c r="A3408" s="50">
        <v>3404</v>
      </c>
      <c r="B3408" s="51">
        <f t="shared" ca="1" si="53"/>
        <v>0.7679778497146712</v>
      </c>
      <c r="C3408" s="48">
        <f t="array" aca="1" ref="C3408" ca="1">MAX(0,ROUND(Inputs!$B$10*Inputs!$B$11+NORMSINV(B3408)*SQRT(Inputs!$B$10*Inputs!$B$11),0))</f>
        <v>516</v>
      </c>
      <c r="D3408" s="52">
        <f ca="1">C3408*Inputs!$B$12</f>
        <v>61920000</v>
      </c>
    </row>
    <row r="3409" spans="1:4" ht="13.5" customHeight="1" x14ac:dyDescent="0.3">
      <c r="A3409" s="46">
        <v>3405</v>
      </c>
      <c r="B3409" s="47">
        <f t="shared" ca="1" si="53"/>
        <v>0.11990416773453993</v>
      </c>
      <c r="C3409" s="48">
        <f t="array" aca="1" ref="C3409" ca="1">MAX(0,ROUND(Inputs!$B$10*Inputs!$B$11+NORMSINV(B3409)*SQRT(Inputs!$B$10*Inputs!$B$11),0))</f>
        <v>474</v>
      </c>
      <c r="D3409" s="49">
        <f ca="1">C3409*Inputs!$B$12</f>
        <v>56880000</v>
      </c>
    </row>
    <row r="3410" spans="1:4" ht="13.5" customHeight="1" x14ac:dyDescent="0.3">
      <c r="A3410" s="50">
        <v>3406</v>
      </c>
      <c r="B3410" s="51">
        <f t="shared" ca="1" si="53"/>
        <v>0.29408250873413522</v>
      </c>
      <c r="C3410" s="48">
        <f t="array" aca="1" ref="C3410" ca="1">MAX(0,ROUND(Inputs!$B$10*Inputs!$B$11+NORMSINV(B3410)*SQRT(Inputs!$B$10*Inputs!$B$11),0))</f>
        <v>488</v>
      </c>
      <c r="D3410" s="52">
        <f ca="1">C3410*Inputs!$B$12</f>
        <v>58560000</v>
      </c>
    </row>
    <row r="3411" spans="1:4" ht="13.5" customHeight="1" x14ac:dyDescent="0.3">
      <c r="A3411" s="46">
        <v>3407</v>
      </c>
      <c r="B3411" s="47">
        <f t="shared" ca="1" si="53"/>
        <v>2.7974390480514755E-2</v>
      </c>
      <c r="C3411" s="48">
        <f t="array" aca="1" ref="C3411" ca="1">MAX(0,ROUND(Inputs!$B$10*Inputs!$B$11+NORMSINV(B3411)*SQRT(Inputs!$B$10*Inputs!$B$11),0))</f>
        <v>457</v>
      </c>
      <c r="D3411" s="49">
        <f ca="1">C3411*Inputs!$B$12</f>
        <v>54840000</v>
      </c>
    </row>
    <row r="3412" spans="1:4" ht="13.5" customHeight="1" x14ac:dyDescent="0.3">
      <c r="A3412" s="50">
        <v>3408</v>
      </c>
      <c r="B3412" s="51">
        <f t="shared" ca="1" si="53"/>
        <v>0.95160346118985184</v>
      </c>
      <c r="C3412" s="48">
        <f t="array" aca="1" ref="C3412" ca="1">MAX(0,ROUND(Inputs!$B$10*Inputs!$B$11+NORMSINV(B3412)*SQRT(Inputs!$B$10*Inputs!$B$11),0))</f>
        <v>537</v>
      </c>
      <c r="D3412" s="52">
        <f ca="1">C3412*Inputs!$B$12</f>
        <v>64440000</v>
      </c>
    </row>
    <row r="3413" spans="1:4" ht="13.5" customHeight="1" x14ac:dyDescent="0.3">
      <c r="A3413" s="46">
        <v>3409</v>
      </c>
      <c r="B3413" s="47">
        <f t="shared" ca="1" si="53"/>
        <v>0.65566697459044521</v>
      </c>
      <c r="C3413" s="48">
        <f t="array" aca="1" ref="C3413" ca="1">MAX(0,ROUND(Inputs!$B$10*Inputs!$B$11+NORMSINV(B3413)*SQRT(Inputs!$B$10*Inputs!$B$11),0))</f>
        <v>509</v>
      </c>
      <c r="D3413" s="49">
        <f ca="1">C3413*Inputs!$B$12</f>
        <v>61080000</v>
      </c>
    </row>
    <row r="3414" spans="1:4" ht="13.5" customHeight="1" x14ac:dyDescent="0.3">
      <c r="A3414" s="50">
        <v>3410</v>
      </c>
      <c r="B3414" s="51">
        <f t="shared" ca="1" si="53"/>
        <v>0.6753322825965361</v>
      </c>
      <c r="C3414" s="48">
        <f t="array" aca="1" ref="C3414" ca="1">MAX(0,ROUND(Inputs!$B$10*Inputs!$B$11+NORMSINV(B3414)*SQRT(Inputs!$B$10*Inputs!$B$11),0))</f>
        <v>510</v>
      </c>
      <c r="D3414" s="52">
        <f ca="1">C3414*Inputs!$B$12</f>
        <v>61200000</v>
      </c>
    </row>
    <row r="3415" spans="1:4" ht="13.5" customHeight="1" x14ac:dyDescent="0.3">
      <c r="A3415" s="46">
        <v>3411</v>
      </c>
      <c r="B3415" s="47">
        <f t="shared" ca="1" si="53"/>
        <v>0.58255789099135458</v>
      </c>
      <c r="C3415" s="48">
        <f t="array" aca="1" ref="C3415" ca="1">MAX(0,ROUND(Inputs!$B$10*Inputs!$B$11+NORMSINV(B3415)*SQRT(Inputs!$B$10*Inputs!$B$11),0))</f>
        <v>505</v>
      </c>
      <c r="D3415" s="49">
        <f ca="1">C3415*Inputs!$B$12</f>
        <v>60600000</v>
      </c>
    </row>
    <row r="3416" spans="1:4" ht="13.5" customHeight="1" x14ac:dyDescent="0.3">
      <c r="A3416" s="50">
        <v>3412</v>
      </c>
      <c r="B3416" s="51">
        <f t="shared" ca="1" si="53"/>
        <v>0.11147319236677122</v>
      </c>
      <c r="C3416" s="48">
        <f t="array" aca="1" ref="C3416" ca="1">MAX(0,ROUND(Inputs!$B$10*Inputs!$B$11+NORMSINV(B3416)*SQRT(Inputs!$B$10*Inputs!$B$11),0))</f>
        <v>473</v>
      </c>
      <c r="D3416" s="52">
        <f ca="1">C3416*Inputs!$B$12</f>
        <v>56760000</v>
      </c>
    </row>
    <row r="3417" spans="1:4" ht="13.5" customHeight="1" x14ac:dyDescent="0.3">
      <c r="A3417" s="46">
        <v>3413</v>
      </c>
      <c r="B3417" s="47">
        <f t="shared" ca="1" si="53"/>
        <v>0.7576602850834655</v>
      </c>
      <c r="C3417" s="48">
        <f t="array" aca="1" ref="C3417" ca="1">MAX(0,ROUND(Inputs!$B$10*Inputs!$B$11+NORMSINV(B3417)*SQRT(Inputs!$B$10*Inputs!$B$11),0))</f>
        <v>516</v>
      </c>
      <c r="D3417" s="49">
        <f ca="1">C3417*Inputs!$B$12</f>
        <v>61920000</v>
      </c>
    </row>
    <row r="3418" spans="1:4" ht="13.5" customHeight="1" x14ac:dyDescent="0.3">
      <c r="A3418" s="50">
        <v>3414</v>
      </c>
      <c r="B3418" s="51">
        <f t="shared" ca="1" si="53"/>
        <v>0.51958085194998793</v>
      </c>
      <c r="C3418" s="48">
        <f t="array" aca="1" ref="C3418" ca="1">MAX(0,ROUND(Inputs!$B$10*Inputs!$B$11+NORMSINV(B3418)*SQRT(Inputs!$B$10*Inputs!$B$11),0))</f>
        <v>501</v>
      </c>
      <c r="D3418" s="52">
        <f ca="1">C3418*Inputs!$B$12</f>
        <v>60120000</v>
      </c>
    </row>
    <row r="3419" spans="1:4" ht="13.5" customHeight="1" x14ac:dyDescent="0.3">
      <c r="A3419" s="46">
        <v>3415</v>
      </c>
      <c r="B3419" s="47">
        <f t="shared" ca="1" si="53"/>
        <v>0.25705962599556098</v>
      </c>
      <c r="C3419" s="48">
        <f t="array" aca="1" ref="C3419" ca="1">MAX(0,ROUND(Inputs!$B$10*Inputs!$B$11+NORMSINV(B3419)*SQRT(Inputs!$B$10*Inputs!$B$11),0))</f>
        <v>485</v>
      </c>
      <c r="D3419" s="49">
        <f ca="1">C3419*Inputs!$B$12</f>
        <v>58200000</v>
      </c>
    </row>
    <row r="3420" spans="1:4" ht="13.5" customHeight="1" x14ac:dyDescent="0.3">
      <c r="A3420" s="50">
        <v>3416</v>
      </c>
      <c r="B3420" s="51">
        <f t="shared" ca="1" si="53"/>
        <v>0.70808949986735314</v>
      </c>
      <c r="C3420" s="48">
        <f t="array" aca="1" ref="C3420" ca="1">MAX(0,ROUND(Inputs!$B$10*Inputs!$B$11+NORMSINV(B3420)*SQRT(Inputs!$B$10*Inputs!$B$11),0))</f>
        <v>512</v>
      </c>
      <c r="D3420" s="52">
        <f ca="1">C3420*Inputs!$B$12</f>
        <v>61440000</v>
      </c>
    </row>
    <row r="3421" spans="1:4" ht="13.5" customHeight="1" x14ac:dyDescent="0.3">
      <c r="A3421" s="46">
        <v>3417</v>
      </c>
      <c r="B3421" s="47">
        <f t="shared" ca="1" si="53"/>
        <v>0.85839654605510418</v>
      </c>
      <c r="C3421" s="48">
        <f t="array" aca="1" ref="C3421" ca="1">MAX(0,ROUND(Inputs!$B$10*Inputs!$B$11+NORMSINV(B3421)*SQRT(Inputs!$B$10*Inputs!$B$11),0))</f>
        <v>524</v>
      </c>
      <c r="D3421" s="49">
        <f ca="1">C3421*Inputs!$B$12</f>
        <v>62880000</v>
      </c>
    </row>
    <row r="3422" spans="1:4" ht="13.5" customHeight="1" x14ac:dyDescent="0.3">
      <c r="A3422" s="50">
        <v>3418</v>
      </c>
      <c r="B3422" s="51">
        <f t="shared" ca="1" si="53"/>
        <v>2.7184368699340933E-2</v>
      </c>
      <c r="C3422" s="48">
        <f t="array" aca="1" ref="C3422" ca="1">MAX(0,ROUND(Inputs!$B$10*Inputs!$B$11+NORMSINV(B3422)*SQRT(Inputs!$B$10*Inputs!$B$11),0))</f>
        <v>457</v>
      </c>
      <c r="D3422" s="52">
        <f ca="1">C3422*Inputs!$B$12</f>
        <v>54840000</v>
      </c>
    </row>
    <row r="3423" spans="1:4" ht="13.5" customHeight="1" x14ac:dyDescent="0.3">
      <c r="A3423" s="46">
        <v>3419</v>
      </c>
      <c r="B3423" s="47">
        <f t="shared" ca="1" si="53"/>
        <v>0.97180490009979437</v>
      </c>
      <c r="C3423" s="48">
        <f t="array" aca="1" ref="C3423" ca="1">MAX(0,ROUND(Inputs!$B$10*Inputs!$B$11+NORMSINV(B3423)*SQRT(Inputs!$B$10*Inputs!$B$11),0))</f>
        <v>543</v>
      </c>
      <c r="D3423" s="49">
        <f ca="1">C3423*Inputs!$B$12</f>
        <v>65160000</v>
      </c>
    </row>
    <row r="3424" spans="1:4" ht="13.5" customHeight="1" x14ac:dyDescent="0.3">
      <c r="A3424" s="50">
        <v>3420</v>
      </c>
      <c r="B3424" s="51">
        <f t="shared" ca="1" si="53"/>
        <v>0.22884941379162071</v>
      </c>
      <c r="C3424" s="48">
        <f t="array" aca="1" ref="C3424" ca="1">MAX(0,ROUND(Inputs!$B$10*Inputs!$B$11+NORMSINV(B3424)*SQRT(Inputs!$B$10*Inputs!$B$11),0))</f>
        <v>483</v>
      </c>
      <c r="D3424" s="52">
        <f ca="1">C3424*Inputs!$B$12</f>
        <v>57960000</v>
      </c>
    </row>
    <row r="3425" spans="1:4" ht="13.5" customHeight="1" x14ac:dyDescent="0.3">
      <c r="A3425" s="46">
        <v>3421</v>
      </c>
      <c r="B3425" s="47">
        <f t="shared" ca="1" si="53"/>
        <v>0.15768023835543155</v>
      </c>
      <c r="C3425" s="48">
        <f t="array" aca="1" ref="C3425" ca="1">MAX(0,ROUND(Inputs!$B$10*Inputs!$B$11+NORMSINV(B3425)*SQRT(Inputs!$B$10*Inputs!$B$11),0))</f>
        <v>478</v>
      </c>
      <c r="D3425" s="49">
        <f ca="1">C3425*Inputs!$B$12</f>
        <v>57360000</v>
      </c>
    </row>
    <row r="3426" spans="1:4" ht="13.5" customHeight="1" x14ac:dyDescent="0.3">
      <c r="A3426" s="50">
        <v>3422</v>
      </c>
      <c r="B3426" s="51">
        <f t="shared" ca="1" si="53"/>
        <v>0.88610549117846715</v>
      </c>
      <c r="C3426" s="48">
        <f t="array" aca="1" ref="C3426" ca="1">MAX(0,ROUND(Inputs!$B$10*Inputs!$B$11+NORMSINV(B3426)*SQRT(Inputs!$B$10*Inputs!$B$11),0))</f>
        <v>527</v>
      </c>
      <c r="D3426" s="52">
        <f ca="1">C3426*Inputs!$B$12</f>
        <v>63240000</v>
      </c>
    </row>
    <row r="3427" spans="1:4" ht="13.5" customHeight="1" x14ac:dyDescent="0.3">
      <c r="A3427" s="46">
        <v>3423</v>
      </c>
      <c r="B3427" s="47">
        <f t="shared" ca="1" si="53"/>
        <v>0.18611437376562001</v>
      </c>
      <c r="C3427" s="48">
        <f t="array" aca="1" ref="C3427" ca="1">MAX(0,ROUND(Inputs!$B$10*Inputs!$B$11+NORMSINV(B3427)*SQRT(Inputs!$B$10*Inputs!$B$11),0))</f>
        <v>480</v>
      </c>
      <c r="D3427" s="49">
        <f ca="1">C3427*Inputs!$B$12</f>
        <v>57600000</v>
      </c>
    </row>
    <row r="3428" spans="1:4" ht="13.5" customHeight="1" x14ac:dyDescent="0.3">
      <c r="A3428" s="50">
        <v>3424</v>
      </c>
      <c r="B3428" s="51">
        <f t="shared" ca="1" si="53"/>
        <v>0.15567841388719872</v>
      </c>
      <c r="C3428" s="48">
        <f t="array" aca="1" ref="C3428" ca="1">MAX(0,ROUND(Inputs!$B$10*Inputs!$B$11+NORMSINV(B3428)*SQRT(Inputs!$B$10*Inputs!$B$11),0))</f>
        <v>477</v>
      </c>
      <c r="D3428" s="52">
        <f ca="1">C3428*Inputs!$B$12</f>
        <v>57240000</v>
      </c>
    </row>
    <row r="3429" spans="1:4" ht="13.5" customHeight="1" x14ac:dyDescent="0.3">
      <c r="A3429" s="46">
        <v>3425</v>
      </c>
      <c r="B3429" s="47">
        <f t="shared" ca="1" si="53"/>
        <v>0.47319281827285009</v>
      </c>
      <c r="C3429" s="48">
        <f t="array" aca="1" ref="C3429" ca="1">MAX(0,ROUND(Inputs!$B$10*Inputs!$B$11+NORMSINV(B3429)*SQRT(Inputs!$B$10*Inputs!$B$11),0))</f>
        <v>498</v>
      </c>
      <c r="D3429" s="49">
        <f ca="1">C3429*Inputs!$B$12</f>
        <v>59760000</v>
      </c>
    </row>
    <row r="3430" spans="1:4" ht="13.5" customHeight="1" x14ac:dyDescent="0.3">
      <c r="A3430" s="50">
        <v>3426</v>
      </c>
      <c r="B3430" s="51">
        <f t="shared" ca="1" si="53"/>
        <v>0.28167906209019522</v>
      </c>
      <c r="C3430" s="48">
        <f t="array" aca="1" ref="C3430" ca="1">MAX(0,ROUND(Inputs!$B$10*Inputs!$B$11+NORMSINV(B3430)*SQRT(Inputs!$B$10*Inputs!$B$11),0))</f>
        <v>487</v>
      </c>
      <c r="D3430" s="52">
        <f ca="1">C3430*Inputs!$B$12</f>
        <v>58440000</v>
      </c>
    </row>
    <row r="3431" spans="1:4" ht="13.5" customHeight="1" x14ac:dyDescent="0.3">
      <c r="A3431" s="46">
        <v>3427</v>
      </c>
      <c r="B3431" s="47">
        <f t="shared" ca="1" si="53"/>
        <v>0.32055204662495695</v>
      </c>
      <c r="C3431" s="48">
        <f t="array" aca="1" ref="C3431" ca="1">MAX(0,ROUND(Inputs!$B$10*Inputs!$B$11+NORMSINV(B3431)*SQRT(Inputs!$B$10*Inputs!$B$11),0))</f>
        <v>490</v>
      </c>
      <c r="D3431" s="49">
        <f ca="1">C3431*Inputs!$B$12</f>
        <v>58800000</v>
      </c>
    </row>
    <row r="3432" spans="1:4" ht="13.5" customHeight="1" x14ac:dyDescent="0.3">
      <c r="A3432" s="50">
        <v>3428</v>
      </c>
      <c r="B3432" s="51">
        <f t="shared" ca="1" si="53"/>
        <v>0.53842280564613876</v>
      </c>
      <c r="C3432" s="48">
        <f t="array" aca="1" ref="C3432" ca="1">MAX(0,ROUND(Inputs!$B$10*Inputs!$B$11+NORMSINV(B3432)*SQRT(Inputs!$B$10*Inputs!$B$11),0))</f>
        <v>502</v>
      </c>
      <c r="D3432" s="52">
        <f ca="1">C3432*Inputs!$B$12</f>
        <v>60240000</v>
      </c>
    </row>
    <row r="3433" spans="1:4" ht="13.5" customHeight="1" x14ac:dyDescent="0.3">
      <c r="A3433" s="46">
        <v>3429</v>
      </c>
      <c r="B3433" s="47">
        <f t="shared" ca="1" si="53"/>
        <v>0.28468424147473192</v>
      </c>
      <c r="C3433" s="48">
        <f t="array" aca="1" ref="C3433" ca="1">MAX(0,ROUND(Inputs!$B$10*Inputs!$B$11+NORMSINV(B3433)*SQRT(Inputs!$B$10*Inputs!$B$11),0))</f>
        <v>487</v>
      </c>
      <c r="D3433" s="49">
        <f ca="1">C3433*Inputs!$B$12</f>
        <v>58440000</v>
      </c>
    </row>
    <row r="3434" spans="1:4" ht="13.5" customHeight="1" x14ac:dyDescent="0.3">
      <c r="A3434" s="50">
        <v>3430</v>
      </c>
      <c r="B3434" s="51">
        <f t="shared" ca="1" si="53"/>
        <v>0.93301415766595508</v>
      </c>
      <c r="C3434" s="48">
        <f t="array" aca="1" ref="C3434" ca="1">MAX(0,ROUND(Inputs!$B$10*Inputs!$B$11+NORMSINV(B3434)*SQRT(Inputs!$B$10*Inputs!$B$11),0))</f>
        <v>534</v>
      </c>
      <c r="D3434" s="52">
        <f ca="1">C3434*Inputs!$B$12</f>
        <v>64080000</v>
      </c>
    </row>
    <row r="3435" spans="1:4" ht="13.5" customHeight="1" x14ac:dyDescent="0.3">
      <c r="A3435" s="46">
        <v>3431</v>
      </c>
      <c r="B3435" s="47">
        <f t="shared" ca="1" si="53"/>
        <v>0.97272889464267653</v>
      </c>
      <c r="C3435" s="48">
        <f t="array" aca="1" ref="C3435" ca="1">MAX(0,ROUND(Inputs!$B$10*Inputs!$B$11+NORMSINV(B3435)*SQRT(Inputs!$B$10*Inputs!$B$11),0))</f>
        <v>543</v>
      </c>
      <c r="D3435" s="49">
        <f ca="1">C3435*Inputs!$B$12</f>
        <v>65160000</v>
      </c>
    </row>
    <row r="3436" spans="1:4" ht="13.5" customHeight="1" x14ac:dyDescent="0.3">
      <c r="A3436" s="50">
        <v>3432</v>
      </c>
      <c r="B3436" s="51">
        <f t="shared" ca="1" si="53"/>
        <v>0.74142023804375023</v>
      </c>
      <c r="C3436" s="48">
        <f t="array" aca="1" ref="C3436" ca="1">MAX(0,ROUND(Inputs!$B$10*Inputs!$B$11+NORMSINV(B3436)*SQRT(Inputs!$B$10*Inputs!$B$11),0))</f>
        <v>514</v>
      </c>
      <c r="D3436" s="52">
        <f ca="1">C3436*Inputs!$B$12</f>
        <v>61680000</v>
      </c>
    </row>
    <row r="3437" spans="1:4" ht="13.5" customHeight="1" x14ac:dyDescent="0.3">
      <c r="A3437" s="46">
        <v>3433</v>
      </c>
      <c r="B3437" s="47">
        <f t="shared" ca="1" si="53"/>
        <v>0.63117830128533903</v>
      </c>
      <c r="C3437" s="48">
        <f t="array" aca="1" ref="C3437" ca="1">MAX(0,ROUND(Inputs!$B$10*Inputs!$B$11+NORMSINV(B3437)*SQRT(Inputs!$B$10*Inputs!$B$11),0))</f>
        <v>507</v>
      </c>
      <c r="D3437" s="49">
        <f ca="1">C3437*Inputs!$B$12</f>
        <v>60840000</v>
      </c>
    </row>
    <row r="3438" spans="1:4" ht="13.5" customHeight="1" x14ac:dyDescent="0.3">
      <c r="A3438" s="50">
        <v>3434</v>
      </c>
      <c r="B3438" s="51">
        <f t="shared" ca="1" si="53"/>
        <v>0.29881500322769838</v>
      </c>
      <c r="C3438" s="48">
        <f t="array" aca="1" ref="C3438" ca="1">MAX(0,ROUND(Inputs!$B$10*Inputs!$B$11+NORMSINV(B3438)*SQRT(Inputs!$B$10*Inputs!$B$11),0))</f>
        <v>488</v>
      </c>
      <c r="D3438" s="52">
        <f ca="1">C3438*Inputs!$B$12</f>
        <v>58560000</v>
      </c>
    </row>
    <row r="3439" spans="1:4" ht="13.5" customHeight="1" x14ac:dyDescent="0.3">
      <c r="A3439" s="46">
        <v>3435</v>
      </c>
      <c r="B3439" s="47">
        <f t="shared" ca="1" si="53"/>
        <v>0.32073529513669807</v>
      </c>
      <c r="C3439" s="48">
        <f t="array" aca="1" ref="C3439" ca="1">MAX(0,ROUND(Inputs!$B$10*Inputs!$B$11+NORMSINV(B3439)*SQRT(Inputs!$B$10*Inputs!$B$11),0))</f>
        <v>490</v>
      </c>
      <c r="D3439" s="49">
        <f ca="1">C3439*Inputs!$B$12</f>
        <v>58800000</v>
      </c>
    </row>
    <row r="3440" spans="1:4" ht="13.5" customHeight="1" x14ac:dyDescent="0.3">
      <c r="A3440" s="50">
        <v>3436</v>
      </c>
      <c r="B3440" s="51">
        <f t="shared" ca="1" si="53"/>
        <v>0.50880976047560877</v>
      </c>
      <c r="C3440" s="48">
        <f t="array" aca="1" ref="C3440" ca="1">MAX(0,ROUND(Inputs!$B$10*Inputs!$B$11+NORMSINV(B3440)*SQRT(Inputs!$B$10*Inputs!$B$11),0))</f>
        <v>500</v>
      </c>
      <c r="D3440" s="52">
        <f ca="1">C3440*Inputs!$B$12</f>
        <v>60000000</v>
      </c>
    </row>
    <row r="3441" spans="1:4" ht="13.5" customHeight="1" x14ac:dyDescent="0.3">
      <c r="A3441" s="46">
        <v>3437</v>
      </c>
      <c r="B3441" s="47">
        <f t="shared" ca="1" si="53"/>
        <v>0.81149891422251785</v>
      </c>
      <c r="C3441" s="48">
        <f t="array" aca="1" ref="C3441" ca="1">MAX(0,ROUND(Inputs!$B$10*Inputs!$B$11+NORMSINV(B3441)*SQRT(Inputs!$B$10*Inputs!$B$11),0))</f>
        <v>520</v>
      </c>
      <c r="D3441" s="49">
        <f ca="1">C3441*Inputs!$B$12</f>
        <v>62400000</v>
      </c>
    </row>
    <row r="3442" spans="1:4" ht="13.5" customHeight="1" x14ac:dyDescent="0.3">
      <c r="A3442" s="50">
        <v>3438</v>
      </c>
      <c r="B3442" s="51">
        <f t="shared" ca="1" si="53"/>
        <v>0.20247182099589611</v>
      </c>
      <c r="C3442" s="48">
        <f t="array" aca="1" ref="C3442" ca="1">MAX(0,ROUND(Inputs!$B$10*Inputs!$B$11+NORMSINV(B3442)*SQRT(Inputs!$B$10*Inputs!$B$11),0))</f>
        <v>481</v>
      </c>
      <c r="D3442" s="52">
        <f ca="1">C3442*Inputs!$B$12</f>
        <v>57720000</v>
      </c>
    </row>
    <row r="3443" spans="1:4" ht="13.5" customHeight="1" x14ac:dyDescent="0.3">
      <c r="A3443" s="46">
        <v>3439</v>
      </c>
      <c r="B3443" s="47">
        <f t="shared" ca="1" si="53"/>
        <v>0.3064987378220948</v>
      </c>
      <c r="C3443" s="48">
        <f t="array" aca="1" ref="C3443" ca="1">MAX(0,ROUND(Inputs!$B$10*Inputs!$B$11+NORMSINV(B3443)*SQRT(Inputs!$B$10*Inputs!$B$11),0))</f>
        <v>489</v>
      </c>
      <c r="D3443" s="49">
        <f ca="1">C3443*Inputs!$B$12</f>
        <v>58680000</v>
      </c>
    </row>
    <row r="3444" spans="1:4" ht="13.5" customHeight="1" x14ac:dyDescent="0.3">
      <c r="A3444" s="50">
        <v>3440</v>
      </c>
      <c r="B3444" s="51">
        <f t="shared" ca="1" si="53"/>
        <v>0.99765274772476409</v>
      </c>
      <c r="C3444" s="48">
        <f t="array" aca="1" ref="C3444" ca="1">MAX(0,ROUND(Inputs!$B$10*Inputs!$B$11+NORMSINV(B3444)*SQRT(Inputs!$B$10*Inputs!$B$11),0))</f>
        <v>563</v>
      </c>
      <c r="D3444" s="52">
        <f ca="1">C3444*Inputs!$B$12</f>
        <v>67560000</v>
      </c>
    </row>
    <row r="3445" spans="1:4" ht="13.5" customHeight="1" x14ac:dyDescent="0.3">
      <c r="A3445" s="46">
        <v>3441</v>
      </c>
      <c r="B3445" s="47">
        <f t="shared" ca="1" si="53"/>
        <v>0.89574052696120099</v>
      </c>
      <c r="C3445" s="48">
        <f t="array" aca="1" ref="C3445" ca="1">MAX(0,ROUND(Inputs!$B$10*Inputs!$B$11+NORMSINV(B3445)*SQRT(Inputs!$B$10*Inputs!$B$11),0))</f>
        <v>528</v>
      </c>
      <c r="D3445" s="49">
        <f ca="1">C3445*Inputs!$B$12</f>
        <v>63360000</v>
      </c>
    </row>
    <row r="3446" spans="1:4" ht="13.5" customHeight="1" x14ac:dyDescent="0.3">
      <c r="A3446" s="50">
        <v>3442</v>
      </c>
      <c r="B3446" s="51">
        <f t="shared" ca="1" si="53"/>
        <v>0.43058016826324419</v>
      </c>
      <c r="C3446" s="48">
        <f t="array" aca="1" ref="C3446" ca="1">MAX(0,ROUND(Inputs!$B$10*Inputs!$B$11+NORMSINV(B3446)*SQRT(Inputs!$B$10*Inputs!$B$11),0))</f>
        <v>496</v>
      </c>
      <c r="D3446" s="52">
        <f ca="1">C3446*Inputs!$B$12</f>
        <v>59520000</v>
      </c>
    </row>
    <row r="3447" spans="1:4" ht="13.5" customHeight="1" x14ac:dyDescent="0.3">
      <c r="A3447" s="46">
        <v>3443</v>
      </c>
      <c r="B3447" s="47">
        <f t="shared" ca="1" si="53"/>
        <v>0.91632127078687786</v>
      </c>
      <c r="C3447" s="48">
        <f t="array" aca="1" ref="C3447" ca="1">MAX(0,ROUND(Inputs!$B$10*Inputs!$B$11+NORMSINV(B3447)*SQRT(Inputs!$B$10*Inputs!$B$11),0))</f>
        <v>531</v>
      </c>
      <c r="D3447" s="49">
        <f ca="1">C3447*Inputs!$B$12</f>
        <v>63720000</v>
      </c>
    </row>
    <row r="3448" spans="1:4" ht="13.5" customHeight="1" x14ac:dyDescent="0.3">
      <c r="A3448" s="50">
        <v>3444</v>
      </c>
      <c r="B3448" s="51">
        <f t="shared" ca="1" si="53"/>
        <v>0.7403071833376863</v>
      </c>
      <c r="C3448" s="48">
        <f t="array" aca="1" ref="C3448" ca="1">MAX(0,ROUND(Inputs!$B$10*Inputs!$B$11+NORMSINV(B3448)*SQRT(Inputs!$B$10*Inputs!$B$11),0))</f>
        <v>514</v>
      </c>
      <c r="D3448" s="52">
        <f ca="1">C3448*Inputs!$B$12</f>
        <v>61680000</v>
      </c>
    </row>
    <row r="3449" spans="1:4" ht="13.5" customHeight="1" x14ac:dyDescent="0.3">
      <c r="A3449" s="46">
        <v>3445</v>
      </c>
      <c r="B3449" s="47">
        <f t="shared" ca="1" si="53"/>
        <v>7.5119656610131091E-2</v>
      </c>
      <c r="C3449" s="48">
        <f t="array" aca="1" ref="C3449" ca="1">MAX(0,ROUND(Inputs!$B$10*Inputs!$B$11+NORMSINV(B3449)*SQRT(Inputs!$B$10*Inputs!$B$11),0))</f>
        <v>468</v>
      </c>
      <c r="D3449" s="49">
        <f ca="1">C3449*Inputs!$B$12</f>
        <v>56160000</v>
      </c>
    </row>
    <row r="3450" spans="1:4" ht="13.5" customHeight="1" x14ac:dyDescent="0.3">
      <c r="A3450" s="50">
        <v>3446</v>
      </c>
      <c r="B3450" s="51">
        <f t="shared" ca="1" si="53"/>
        <v>0.46711563589404836</v>
      </c>
      <c r="C3450" s="48">
        <f t="array" aca="1" ref="C3450" ca="1">MAX(0,ROUND(Inputs!$B$10*Inputs!$B$11+NORMSINV(B3450)*SQRT(Inputs!$B$10*Inputs!$B$11),0))</f>
        <v>498</v>
      </c>
      <c r="D3450" s="52">
        <f ca="1">C3450*Inputs!$B$12</f>
        <v>59760000</v>
      </c>
    </row>
    <row r="3451" spans="1:4" ht="13.5" customHeight="1" x14ac:dyDescent="0.3">
      <c r="A3451" s="46">
        <v>3447</v>
      </c>
      <c r="B3451" s="47">
        <f t="shared" ca="1" si="53"/>
        <v>0.65274885690746209</v>
      </c>
      <c r="C3451" s="48">
        <f t="array" aca="1" ref="C3451" ca="1">MAX(0,ROUND(Inputs!$B$10*Inputs!$B$11+NORMSINV(B3451)*SQRT(Inputs!$B$10*Inputs!$B$11),0))</f>
        <v>509</v>
      </c>
      <c r="D3451" s="49">
        <f ca="1">C3451*Inputs!$B$12</f>
        <v>61080000</v>
      </c>
    </row>
    <row r="3452" spans="1:4" ht="13.5" customHeight="1" x14ac:dyDescent="0.3">
      <c r="A3452" s="50">
        <v>3448</v>
      </c>
      <c r="B3452" s="51">
        <f t="shared" ca="1" si="53"/>
        <v>0.51492225984711104</v>
      </c>
      <c r="C3452" s="48">
        <f t="array" aca="1" ref="C3452" ca="1">MAX(0,ROUND(Inputs!$B$10*Inputs!$B$11+NORMSINV(B3452)*SQRT(Inputs!$B$10*Inputs!$B$11),0))</f>
        <v>501</v>
      </c>
      <c r="D3452" s="52">
        <f ca="1">C3452*Inputs!$B$12</f>
        <v>60120000</v>
      </c>
    </row>
    <row r="3453" spans="1:4" ht="13.5" customHeight="1" x14ac:dyDescent="0.3">
      <c r="A3453" s="46">
        <v>3449</v>
      </c>
      <c r="B3453" s="47">
        <f t="shared" ca="1" si="53"/>
        <v>0.7634488173227918</v>
      </c>
      <c r="C3453" s="48">
        <f t="array" aca="1" ref="C3453" ca="1">MAX(0,ROUND(Inputs!$B$10*Inputs!$B$11+NORMSINV(B3453)*SQRT(Inputs!$B$10*Inputs!$B$11),0))</f>
        <v>516</v>
      </c>
      <c r="D3453" s="49">
        <f ca="1">C3453*Inputs!$B$12</f>
        <v>61920000</v>
      </c>
    </row>
    <row r="3454" spans="1:4" ht="13.5" customHeight="1" x14ac:dyDescent="0.3">
      <c r="A3454" s="50">
        <v>3450</v>
      </c>
      <c r="B3454" s="51">
        <f t="shared" ca="1" si="53"/>
        <v>0.44970751200105497</v>
      </c>
      <c r="C3454" s="48">
        <f t="array" aca="1" ref="C3454" ca="1">MAX(0,ROUND(Inputs!$B$10*Inputs!$B$11+NORMSINV(B3454)*SQRT(Inputs!$B$10*Inputs!$B$11),0))</f>
        <v>497</v>
      </c>
      <c r="D3454" s="52">
        <f ca="1">C3454*Inputs!$B$12</f>
        <v>59640000</v>
      </c>
    </row>
    <row r="3455" spans="1:4" ht="13.5" customHeight="1" x14ac:dyDescent="0.3">
      <c r="A3455" s="46">
        <v>3451</v>
      </c>
      <c r="B3455" s="47">
        <f t="shared" ca="1" si="53"/>
        <v>0.96741120030815275</v>
      </c>
      <c r="C3455" s="48">
        <f t="array" aca="1" ref="C3455" ca="1">MAX(0,ROUND(Inputs!$B$10*Inputs!$B$11+NORMSINV(B3455)*SQRT(Inputs!$B$10*Inputs!$B$11),0))</f>
        <v>541</v>
      </c>
      <c r="D3455" s="49">
        <f ca="1">C3455*Inputs!$B$12</f>
        <v>64920000</v>
      </c>
    </row>
    <row r="3456" spans="1:4" ht="13.5" customHeight="1" x14ac:dyDescent="0.3">
      <c r="A3456" s="50">
        <v>3452</v>
      </c>
      <c r="B3456" s="51">
        <f t="shared" ca="1" si="53"/>
        <v>0.35494302232437136</v>
      </c>
      <c r="C3456" s="48">
        <f t="array" aca="1" ref="C3456" ca="1">MAX(0,ROUND(Inputs!$B$10*Inputs!$B$11+NORMSINV(B3456)*SQRT(Inputs!$B$10*Inputs!$B$11),0))</f>
        <v>492</v>
      </c>
      <c r="D3456" s="52">
        <f ca="1">C3456*Inputs!$B$12</f>
        <v>59040000</v>
      </c>
    </row>
    <row r="3457" spans="1:4" ht="13.5" customHeight="1" x14ac:dyDescent="0.3">
      <c r="A3457" s="46">
        <v>3453</v>
      </c>
      <c r="B3457" s="47">
        <f t="shared" ca="1" si="53"/>
        <v>0.83821545380171913</v>
      </c>
      <c r="C3457" s="48">
        <f t="array" aca="1" ref="C3457" ca="1">MAX(0,ROUND(Inputs!$B$10*Inputs!$B$11+NORMSINV(B3457)*SQRT(Inputs!$B$10*Inputs!$B$11),0))</f>
        <v>522</v>
      </c>
      <c r="D3457" s="49">
        <f ca="1">C3457*Inputs!$B$12</f>
        <v>62640000</v>
      </c>
    </row>
    <row r="3458" spans="1:4" ht="13.5" customHeight="1" x14ac:dyDescent="0.3">
      <c r="A3458" s="50">
        <v>3454</v>
      </c>
      <c r="B3458" s="51">
        <f t="shared" ca="1" si="53"/>
        <v>0.58404415407457011</v>
      </c>
      <c r="C3458" s="48">
        <f t="array" aca="1" ref="C3458" ca="1">MAX(0,ROUND(Inputs!$B$10*Inputs!$B$11+NORMSINV(B3458)*SQRT(Inputs!$B$10*Inputs!$B$11),0))</f>
        <v>505</v>
      </c>
      <c r="D3458" s="52">
        <f ca="1">C3458*Inputs!$B$12</f>
        <v>60600000</v>
      </c>
    </row>
    <row r="3459" spans="1:4" ht="13.5" customHeight="1" x14ac:dyDescent="0.3">
      <c r="A3459" s="46">
        <v>3455</v>
      </c>
      <c r="B3459" s="47">
        <f t="shared" ca="1" si="53"/>
        <v>0.83423068058758576</v>
      </c>
      <c r="C3459" s="48">
        <f t="array" aca="1" ref="C3459" ca="1">MAX(0,ROUND(Inputs!$B$10*Inputs!$B$11+NORMSINV(B3459)*SQRT(Inputs!$B$10*Inputs!$B$11),0))</f>
        <v>522</v>
      </c>
      <c r="D3459" s="49">
        <f ca="1">C3459*Inputs!$B$12</f>
        <v>62640000</v>
      </c>
    </row>
    <row r="3460" spans="1:4" ht="13.5" customHeight="1" x14ac:dyDescent="0.3">
      <c r="A3460" s="50">
        <v>3456</v>
      </c>
      <c r="B3460" s="51">
        <f t="shared" ca="1" si="53"/>
        <v>0.81479633926286743</v>
      </c>
      <c r="C3460" s="48">
        <f t="array" aca="1" ref="C3460" ca="1">MAX(0,ROUND(Inputs!$B$10*Inputs!$B$11+NORMSINV(B3460)*SQRT(Inputs!$B$10*Inputs!$B$11),0))</f>
        <v>520</v>
      </c>
      <c r="D3460" s="52">
        <f ca="1">C3460*Inputs!$B$12</f>
        <v>62400000</v>
      </c>
    </row>
    <row r="3461" spans="1:4" ht="13.5" customHeight="1" x14ac:dyDescent="0.3">
      <c r="A3461" s="46">
        <v>3457</v>
      </c>
      <c r="B3461" s="47">
        <f t="shared" ref="B3461:B3524" ca="1" si="54">RAND()</f>
        <v>0.5480476846785769</v>
      </c>
      <c r="C3461" s="48">
        <f t="array" aca="1" ref="C3461" ca="1">MAX(0,ROUND(Inputs!$B$10*Inputs!$B$11+NORMSINV(B3461)*SQRT(Inputs!$B$10*Inputs!$B$11),0))</f>
        <v>503</v>
      </c>
      <c r="D3461" s="49">
        <f ca="1">C3461*Inputs!$B$12</f>
        <v>60360000</v>
      </c>
    </row>
    <row r="3462" spans="1:4" ht="13.5" customHeight="1" x14ac:dyDescent="0.3">
      <c r="A3462" s="50">
        <v>3458</v>
      </c>
      <c r="B3462" s="51">
        <f t="shared" ca="1" si="54"/>
        <v>0.11360835734495789</v>
      </c>
      <c r="C3462" s="48">
        <f t="array" aca="1" ref="C3462" ca="1">MAX(0,ROUND(Inputs!$B$10*Inputs!$B$11+NORMSINV(B3462)*SQRT(Inputs!$B$10*Inputs!$B$11),0))</f>
        <v>473</v>
      </c>
      <c r="D3462" s="52">
        <f ca="1">C3462*Inputs!$B$12</f>
        <v>56760000</v>
      </c>
    </row>
    <row r="3463" spans="1:4" ht="13.5" customHeight="1" x14ac:dyDescent="0.3">
      <c r="A3463" s="46">
        <v>3459</v>
      </c>
      <c r="B3463" s="47">
        <f t="shared" ca="1" si="54"/>
        <v>0.53485535628410852</v>
      </c>
      <c r="C3463" s="48">
        <f t="array" aca="1" ref="C3463" ca="1">MAX(0,ROUND(Inputs!$B$10*Inputs!$B$11+NORMSINV(B3463)*SQRT(Inputs!$B$10*Inputs!$B$11),0))</f>
        <v>502</v>
      </c>
      <c r="D3463" s="49">
        <f ca="1">C3463*Inputs!$B$12</f>
        <v>60240000</v>
      </c>
    </row>
    <row r="3464" spans="1:4" ht="13.5" customHeight="1" x14ac:dyDescent="0.3">
      <c r="A3464" s="50">
        <v>3460</v>
      </c>
      <c r="B3464" s="51">
        <f t="shared" ca="1" si="54"/>
        <v>0.54910605034852311</v>
      </c>
      <c r="C3464" s="48">
        <f t="array" aca="1" ref="C3464" ca="1">MAX(0,ROUND(Inputs!$B$10*Inputs!$B$11+NORMSINV(B3464)*SQRT(Inputs!$B$10*Inputs!$B$11),0))</f>
        <v>503</v>
      </c>
      <c r="D3464" s="52">
        <f ca="1">C3464*Inputs!$B$12</f>
        <v>60360000</v>
      </c>
    </row>
    <row r="3465" spans="1:4" ht="13.5" customHeight="1" x14ac:dyDescent="0.3">
      <c r="A3465" s="46">
        <v>3461</v>
      </c>
      <c r="B3465" s="47">
        <f t="shared" ca="1" si="54"/>
        <v>0.12602790648503182</v>
      </c>
      <c r="C3465" s="48">
        <f t="array" aca="1" ref="C3465" ca="1">MAX(0,ROUND(Inputs!$B$10*Inputs!$B$11+NORMSINV(B3465)*SQRT(Inputs!$B$10*Inputs!$B$11),0))</f>
        <v>474</v>
      </c>
      <c r="D3465" s="49">
        <f ca="1">C3465*Inputs!$B$12</f>
        <v>56880000</v>
      </c>
    </row>
    <row r="3466" spans="1:4" ht="13.5" customHeight="1" x14ac:dyDescent="0.3">
      <c r="A3466" s="50">
        <v>3462</v>
      </c>
      <c r="B3466" s="51">
        <f t="shared" ca="1" si="54"/>
        <v>0.28945232992773584</v>
      </c>
      <c r="C3466" s="48">
        <f t="array" aca="1" ref="C3466" ca="1">MAX(0,ROUND(Inputs!$B$10*Inputs!$B$11+NORMSINV(B3466)*SQRT(Inputs!$B$10*Inputs!$B$11),0))</f>
        <v>488</v>
      </c>
      <c r="D3466" s="52">
        <f ca="1">C3466*Inputs!$B$12</f>
        <v>58560000</v>
      </c>
    </row>
    <row r="3467" spans="1:4" ht="13.5" customHeight="1" x14ac:dyDescent="0.3">
      <c r="A3467" s="46">
        <v>3463</v>
      </c>
      <c r="B3467" s="47">
        <f t="shared" ca="1" si="54"/>
        <v>0.20018037730147442</v>
      </c>
      <c r="C3467" s="48">
        <f t="array" aca="1" ref="C3467" ca="1">MAX(0,ROUND(Inputs!$B$10*Inputs!$B$11+NORMSINV(B3467)*SQRT(Inputs!$B$10*Inputs!$B$11),0))</f>
        <v>481</v>
      </c>
      <c r="D3467" s="49">
        <f ca="1">C3467*Inputs!$B$12</f>
        <v>57720000</v>
      </c>
    </row>
    <row r="3468" spans="1:4" ht="13.5" customHeight="1" x14ac:dyDescent="0.3">
      <c r="A3468" s="50">
        <v>3464</v>
      </c>
      <c r="B3468" s="51">
        <f t="shared" ca="1" si="54"/>
        <v>0.47868918650838954</v>
      </c>
      <c r="C3468" s="48">
        <f t="array" aca="1" ref="C3468" ca="1">MAX(0,ROUND(Inputs!$B$10*Inputs!$B$11+NORMSINV(B3468)*SQRT(Inputs!$B$10*Inputs!$B$11),0))</f>
        <v>499</v>
      </c>
      <c r="D3468" s="52">
        <f ca="1">C3468*Inputs!$B$12</f>
        <v>59880000</v>
      </c>
    </row>
    <row r="3469" spans="1:4" ht="13.5" customHeight="1" x14ac:dyDescent="0.3">
      <c r="A3469" s="46">
        <v>3465</v>
      </c>
      <c r="B3469" s="47">
        <f t="shared" ca="1" si="54"/>
        <v>0.7672629730243018</v>
      </c>
      <c r="C3469" s="48">
        <f t="array" aca="1" ref="C3469" ca="1">MAX(0,ROUND(Inputs!$B$10*Inputs!$B$11+NORMSINV(B3469)*SQRT(Inputs!$B$10*Inputs!$B$11),0))</f>
        <v>516</v>
      </c>
      <c r="D3469" s="49">
        <f ca="1">C3469*Inputs!$B$12</f>
        <v>61920000</v>
      </c>
    </row>
    <row r="3470" spans="1:4" ht="13.5" customHeight="1" x14ac:dyDescent="0.3">
      <c r="A3470" s="50">
        <v>3466</v>
      </c>
      <c r="B3470" s="51">
        <f t="shared" ca="1" si="54"/>
        <v>0.81930830872036486</v>
      </c>
      <c r="C3470" s="48">
        <f t="array" aca="1" ref="C3470" ca="1">MAX(0,ROUND(Inputs!$B$10*Inputs!$B$11+NORMSINV(B3470)*SQRT(Inputs!$B$10*Inputs!$B$11),0))</f>
        <v>520</v>
      </c>
      <c r="D3470" s="52">
        <f ca="1">C3470*Inputs!$B$12</f>
        <v>62400000</v>
      </c>
    </row>
    <row r="3471" spans="1:4" ht="13.5" customHeight="1" x14ac:dyDescent="0.3">
      <c r="A3471" s="46">
        <v>3467</v>
      </c>
      <c r="B3471" s="47">
        <f t="shared" ca="1" si="54"/>
        <v>0.65413999073208562</v>
      </c>
      <c r="C3471" s="48">
        <f t="array" aca="1" ref="C3471" ca="1">MAX(0,ROUND(Inputs!$B$10*Inputs!$B$11+NORMSINV(B3471)*SQRT(Inputs!$B$10*Inputs!$B$11),0))</f>
        <v>509</v>
      </c>
      <c r="D3471" s="49">
        <f ca="1">C3471*Inputs!$B$12</f>
        <v>61080000</v>
      </c>
    </row>
    <row r="3472" spans="1:4" ht="13.5" customHeight="1" x14ac:dyDescent="0.3">
      <c r="A3472" s="50">
        <v>3468</v>
      </c>
      <c r="B3472" s="51">
        <f t="shared" ca="1" si="54"/>
        <v>0.38778987391746123</v>
      </c>
      <c r="C3472" s="48">
        <f t="array" aca="1" ref="C3472" ca="1">MAX(0,ROUND(Inputs!$B$10*Inputs!$B$11+NORMSINV(B3472)*SQRT(Inputs!$B$10*Inputs!$B$11),0))</f>
        <v>494</v>
      </c>
      <c r="D3472" s="52">
        <f ca="1">C3472*Inputs!$B$12</f>
        <v>59280000</v>
      </c>
    </row>
    <row r="3473" spans="1:4" ht="13.5" customHeight="1" x14ac:dyDescent="0.3">
      <c r="A3473" s="46">
        <v>3469</v>
      </c>
      <c r="B3473" s="47">
        <f t="shared" ca="1" si="54"/>
        <v>0.35390193395630842</v>
      </c>
      <c r="C3473" s="48">
        <f t="array" aca="1" ref="C3473" ca="1">MAX(0,ROUND(Inputs!$B$10*Inputs!$B$11+NORMSINV(B3473)*SQRT(Inputs!$B$10*Inputs!$B$11),0))</f>
        <v>492</v>
      </c>
      <c r="D3473" s="49">
        <f ca="1">C3473*Inputs!$B$12</f>
        <v>59040000</v>
      </c>
    </row>
    <row r="3474" spans="1:4" ht="13.5" customHeight="1" x14ac:dyDescent="0.3">
      <c r="A3474" s="50">
        <v>3470</v>
      </c>
      <c r="B3474" s="51">
        <f t="shared" ca="1" si="54"/>
        <v>0.39505080692488703</v>
      </c>
      <c r="C3474" s="48">
        <f t="array" aca="1" ref="C3474" ca="1">MAX(0,ROUND(Inputs!$B$10*Inputs!$B$11+NORMSINV(B3474)*SQRT(Inputs!$B$10*Inputs!$B$11),0))</f>
        <v>494</v>
      </c>
      <c r="D3474" s="52">
        <f ca="1">C3474*Inputs!$B$12</f>
        <v>59280000</v>
      </c>
    </row>
    <row r="3475" spans="1:4" ht="13.5" customHeight="1" x14ac:dyDescent="0.3">
      <c r="A3475" s="46">
        <v>3471</v>
      </c>
      <c r="B3475" s="47">
        <f t="shared" ca="1" si="54"/>
        <v>0.11411502752914815</v>
      </c>
      <c r="C3475" s="48">
        <f t="array" aca="1" ref="C3475" ca="1">MAX(0,ROUND(Inputs!$B$10*Inputs!$B$11+NORMSINV(B3475)*SQRT(Inputs!$B$10*Inputs!$B$11),0))</f>
        <v>473</v>
      </c>
      <c r="D3475" s="49">
        <f ca="1">C3475*Inputs!$B$12</f>
        <v>56760000</v>
      </c>
    </row>
    <row r="3476" spans="1:4" ht="13.5" customHeight="1" x14ac:dyDescent="0.3">
      <c r="A3476" s="50">
        <v>3472</v>
      </c>
      <c r="B3476" s="51">
        <f t="shared" ca="1" si="54"/>
        <v>0.34038361596083255</v>
      </c>
      <c r="C3476" s="48">
        <f t="array" aca="1" ref="C3476" ca="1">MAX(0,ROUND(Inputs!$B$10*Inputs!$B$11+NORMSINV(B3476)*SQRT(Inputs!$B$10*Inputs!$B$11),0))</f>
        <v>491</v>
      </c>
      <c r="D3476" s="52">
        <f ca="1">C3476*Inputs!$B$12</f>
        <v>58920000</v>
      </c>
    </row>
    <row r="3477" spans="1:4" ht="13.5" customHeight="1" x14ac:dyDescent="0.3">
      <c r="A3477" s="46">
        <v>3473</v>
      </c>
      <c r="B3477" s="47">
        <f t="shared" ca="1" si="54"/>
        <v>0.76217277925502935</v>
      </c>
      <c r="C3477" s="48">
        <f t="array" aca="1" ref="C3477" ca="1">MAX(0,ROUND(Inputs!$B$10*Inputs!$B$11+NORMSINV(B3477)*SQRT(Inputs!$B$10*Inputs!$B$11),0))</f>
        <v>516</v>
      </c>
      <c r="D3477" s="49">
        <f ca="1">C3477*Inputs!$B$12</f>
        <v>61920000</v>
      </c>
    </row>
    <row r="3478" spans="1:4" ht="13.5" customHeight="1" x14ac:dyDescent="0.3">
      <c r="A3478" s="50">
        <v>3474</v>
      </c>
      <c r="B3478" s="51">
        <f t="shared" ca="1" si="54"/>
        <v>0.96140420927082715</v>
      </c>
      <c r="C3478" s="48">
        <f t="array" aca="1" ref="C3478" ca="1">MAX(0,ROUND(Inputs!$B$10*Inputs!$B$11+NORMSINV(B3478)*SQRT(Inputs!$B$10*Inputs!$B$11),0))</f>
        <v>540</v>
      </c>
      <c r="D3478" s="52">
        <f ca="1">C3478*Inputs!$B$12</f>
        <v>64800000</v>
      </c>
    </row>
    <row r="3479" spans="1:4" ht="13.5" customHeight="1" x14ac:dyDescent="0.3">
      <c r="A3479" s="46">
        <v>3475</v>
      </c>
      <c r="B3479" s="47">
        <f t="shared" ca="1" si="54"/>
        <v>0.79450097888273774</v>
      </c>
      <c r="C3479" s="48">
        <f t="array" aca="1" ref="C3479" ca="1">MAX(0,ROUND(Inputs!$B$10*Inputs!$B$11+NORMSINV(B3479)*SQRT(Inputs!$B$10*Inputs!$B$11),0))</f>
        <v>518</v>
      </c>
      <c r="D3479" s="49">
        <f ca="1">C3479*Inputs!$B$12</f>
        <v>62160000</v>
      </c>
    </row>
    <row r="3480" spans="1:4" ht="13.5" customHeight="1" x14ac:dyDescent="0.3">
      <c r="A3480" s="50">
        <v>3476</v>
      </c>
      <c r="B3480" s="51">
        <f t="shared" ca="1" si="54"/>
        <v>0.82445280019838374</v>
      </c>
      <c r="C3480" s="48">
        <f t="array" aca="1" ref="C3480" ca="1">MAX(0,ROUND(Inputs!$B$10*Inputs!$B$11+NORMSINV(B3480)*SQRT(Inputs!$B$10*Inputs!$B$11),0))</f>
        <v>521</v>
      </c>
      <c r="D3480" s="52">
        <f ca="1">C3480*Inputs!$B$12</f>
        <v>62520000</v>
      </c>
    </row>
    <row r="3481" spans="1:4" ht="13.5" customHeight="1" x14ac:dyDescent="0.3">
      <c r="A3481" s="46">
        <v>3477</v>
      </c>
      <c r="B3481" s="47">
        <f t="shared" ca="1" si="54"/>
        <v>0.64582590411449015</v>
      </c>
      <c r="C3481" s="48">
        <f t="array" aca="1" ref="C3481" ca="1">MAX(0,ROUND(Inputs!$B$10*Inputs!$B$11+NORMSINV(B3481)*SQRT(Inputs!$B$10*Inputs!$B$11),0))</f>
        <v>508</v>
      </c>
      <c r="D3481" s="49">
        <f ca="1">C3481*Inputs!$B$12</f>
        <v>60960000</v>
      </c>
    </row>
    <row r="3482" spans="1:4" ht="13.5" customHeight="1" x14ac:dyDescent="0.3">
      <c r="A3482" s="50">
        <v>3478</v>
      </c>
      <c r="B3482" s="51">
        <f t="shared" ca="1" si="54"/>
        <v>0.13089856903200159</v>
      </c>
      <c r="C3482" s="48">
        <f t="array" aca="1" ref="C3482" ca="1">MAX(0,ROUND(Inputs!$B$10*Inputs!$B$11+NORMSINV(B3482)*SQRT(Inputs!$B$10*Inputs!$B$11),0))</f>
        <v>475</v>
      </c>
      <c r="D3482" s="52">
        <f ca="1">C3482*Inputs!$B$12</f>
        <v>57000000</v>
      </c>
    </row>
    <row r="3483" spans="1:4" ht="13.5" customHeight="1" x14ac:dyDescent="0.3">
      <c r="A3483" s="46">
        <v>3479</v>
      </c>
      <c r="B3483" s="47">
        <f t="shared" ca="1" si="54"/>
        <v>0.19363915358382711</v>
      </c>
      <c r="C3483" s="48">
        <f t="array" aca="1" ref="C3483" ca="1">MAX(0,ROUND(Inputs!$B$10*Inputs!$B$11+NORMSINV(B3483)*SQRT(Inputs!$B$10*Inputs!$B$11),0))</f>
        <v>481</v>
      </c>
      <c r="D3483" s="49">
        <f ca="1">C3483*Inputs!$B$12</f>
        <v>57720000</v>
      </c>
    </row>
    <row r="3484" spans="1:4" ht="13.5" customHeight="1" x14ac:dyDescent="0.3">
      <c r="A3484" s="50">
        <v>3480</v>
      </c>
      <c r="B3484" s="51">
        <f t="shared" ca="1" si="54"/>
        <v>0.97425714212444547</v>
      </c>
      <c r="C3484" s="48">
        <f t="array" aca="1" ref="C3484" ca="1">MAX(0,ROUND(Inputs!$B$10*Inputs!$B$11+NORMSINV(B3484)*SQRT(Inputs!$B$10*Inputs!$B$11),0))</f>
        <v>544</v>
      </c>
      <c r="D3484" s="52">
        <f ca="1">C3484*Inputs!$B$12</f>
        <v>65280000</v>
      </c>
    </row>
    <row r="3485" spans="1:4" ht="13.5" customHeight="1" x14ac:dyDescent="0.3">
      <c r="A3485" s="46">
        <v>3481</v>
      </c>
      <c r="B3485" s="47">
        <f t="shared" ca="1" si="54"/>
        <v>0.62705590807862821</v>
      </c>
      <c r="C3485" s="48">
        <f t="array" aca="1" ref="C3485" ca="1">MAX(0,ROUND(Inputs!$B$10*Inputs!$B$11+NORMSINV(B3485)*SQRT(Inputs!$B$10*Inputs!$B$11),0))</f>
        <v>507</v>
      </c>
      <c r="D3485" s="49">
        <f ca="1">C3485*Inputs!$B$12</f>
        <v>60840000</v>
      </c>
    </row>
    <row r="3486" spans="1:4" ht="13.5" customHeight="1" x14ac:dyDescent="0.3">
      <c r="A3486" s="50">
        <v>3482</v>
      </c>
      <c r="B3486" s="51">
        <f t="shared" ca="1" si="54"/>
        <v>9.797078677560489E-2</v>
      </c>
      <c r="C3486" s="48">
        <f t="array" aca="1" ref="C3486" ca="1">MAX(0,ROUND(Inputs!$B$10*Inputs!$B$11+NORMSINV(B3486)*SQRT(Inputs!$B$10*Inputs!$B$11),0))</f>
        <v>471</v>
      </c>
      <c r="D3486" s="52">
        <f ca="1">C3486*Inputs!$B$12</f>
        <v>56520000</v>
      </c>
    </row>
    <row r="3487" spans="1:4" ht="13.5" customHeight="1" x14ac:dyDescent="0.3">
      <c r="A3487" s="46">
        <v>3483</v>
      </c>
      <c r="B3487" s="47">
        <f t="shared" ca="1" si="54"/>
        <v>0.97633881364974018</v>
      </c>
      <c r="C3487" s="48">
        <f t="array" aca="1" ref="C3487" ca="1">MAX(0,ROUND(Inputs!$B$10*Inputs!$B$11+NORMSINV(B3487)*SQRT(Inputs!$B$10*Inputs!$B$11),0))</f>
        <v>544</v>
      </c>
      <c r="D3487" s="49">
        <f ca="1">C3487*Inputs!$B$12</f>
        <v>65280000</v>
      </c>
    </row>
    <row r="3488" spans="1:4" ht="13.5" customHeight="1" x14ac:dyDescent="0.3">
      <c r="A3488" s="50">
        <v>3484</v>
      </c>
      <c r="B3488" s="51">
        <f t="shared" ca="1" si="54"/>
        <v>4.6161431830396893E-2</v>
      </c>
      <c r="C3488" s="48">
        <f t="array" aca="1" ref="C3488" ca="1">MAX(0,ROUND(Inputs!$B$10*Inputs!$B$11+NORMSINV(B3488)*SQRT(Inputs!$B$10*Inputs!$B$11),0))</f>
        <v>462</v>
      </c>
      <c r="D3488" s="52">
        <f ca="1">C3488*Inputs!$B$12</f>
        <v>55440000</v>
      </c>
    </row>
    <row r="3489" spans="1:4" ht="13.5" customHeight="1" x14ac:dyDescent="0.3">
      <c r="A3489" s="46">
        <v>3485</v>
      </c>
      <c r="B3489" s="47">
        <f t="shared" ca="1" si="54"/>
        <v>0.93100392526213449</v>
      </c>
      <c r="C3489" s="48">
        <f t="array" aca="1" ref="C3489" ca="1">MAX(0,ROUND(Inputs!$B$10*Inputs!$B$11+NORMSINV(B3489)*SQRT(Inputs!$B$10*Inputs!$B$11),0))</f>
        <v>533</v>
      </c>
      <c r="D3489" s="49">
        <f ca="1">C3489*Inputs!$B$12</f>
        <v>63960000</v>
      </c>
    </row>
    <row r="3490" spans="1:4" ht="13.5" customHeight="1" x14ac:dyDescent="0.3">
      <c r="A3490" s="50">
        <v>3486</v>
      </c>
      <c r="B3490" s="51">
        <f t="shared" ca="1" si="54"/>
        <v>0.40914505998616935</v>
      </c>
      <c r="C3490" s="48">
        <f t="array" aca="1" ref="C3490" ca="1">MAX(0,ROUND(Inputs!$B$10*Inputs!$B$11+NORMSINV(B3490)*SQRT(Inputs!$B$10*Inputs!$B$11),0))</f>
        <v>495</v>
      </c>
      <c r="D3490" s="52">
        <f ca="1">C3490*Inputs!$B$12</f>
        <v>59400000</v>
      </c>
    </row>
    <row r="3491" spans="1:4" ht="13.5" customHeight="1" x14ac:dyDescent="0.3">
      <c r="A3491" s="46">
        <v>3487</v>
      </c>
      <c r="B3491" s="47">
        <f t="shared" ca="1" si="54"/>
        <v>0.64890099014970803</v>
      </c>
      <c r="C3491" s="48">
        <f t="array" aca="1" ref="C3491" ca="1">MAX(0,ROUND(Inputs!$B$10*Inputs!$B$11+NORMSINV(B3491)*SQRT(Inputs!$B$10*Inputs!$B$11),0))</f>
        <v>509</v>
      </c>
      <c r="D3491" s="49">
        <f ca="1">C3491*Inputs!$B$12</f>
        <v>61080000</v>
      </c>
    </row>
    <row r="3492" spans="1:4" ht="13.5" customHeight="1" x14ac:dyDescent="0.3">
      <c r="A3492" s="50">
        <v>3488</v>
      </c>
      <c r="B3492" s="51">
        <f t="shared" ca="1" si="54"/>
        <v>0.79199774117488386</v>
      </c>
      <c r="C3492" s="48">
        <f t="array" aca="1" ref="C3492" ca="1">MAX(0,ROUND(Inputs!$B$10*Inputs!$B$11+NORMSINV(B3492)*SQRT(Inputs!$B$10*Inputs!$B$11),0))</f>
        <v>518</v>
      </c>
      <c r="D3492" s="52">
        <f ca="1">C3492*Inputs!$B$12</f>
        <v>62160000</v>
      </c>
    </row>
    <row r="3493" spans="1:4" ht="13.5" customHeight="1" x14ac:dyDescent="0.3">
      <c r="A3493" s="46">
        <v>3489</v>
      </c>
      <c r="B3493" s="47">
        <f t="shared" ca="1" si="54"/>
        <v>0.93903375055814653</v>
      </c>
      <c r="C3493" s="48">
        <f t="array" aca="1" ref="C3493" ca="1">MAX(0,ROUND(Inputs!$B$10*Inputs!$B$11+NORMSINV(B3493)*SQRT(Inputs!$B$10*Inputs!$B$11),0))</f>
        <v>535</v>
      </c>
      <c r="D3493" s="49">
        <f ca="1">C3493*Inputs!$B$12</f>
        <v>64200000</v>
      </c>
    </row>
    <row r="3494" spans="1:4" ht="13.5" customHeight="1" x14ac:dyDescent="0.3">
      <c r="A3494" s="50">
        <v>3490</v>
      </c>
      <c r="B3494" s="51">
        <f t="shared" ca="1" si="54"/>
        <v>0.2393681918377133</v>
      </c>
      <c r="C3494" s="48">
        <f t="array" aca="1" ref="C3494" ca="1">MAX(0,ROUND(Inputs!$B$10*Inputs!$B$11+NORMSINV(B3494)*SQRT(Inputs!$B$10*Inputs!$B$11),0))</f>
        <v>484</v>
      </c>
      <c r="D3494" s="52">
        <f ca="1">C3494*Inputs!$B$12</f>
        <v>58080000</v>
      </c>
    </row>
    <row r="3495" spans="1:4" ht="13.5" customHeight="1" x14ac:dyDescent="0.3">
      <c r="A3495" s="46">
        <v>3491</v>
      </c>
      <c r="B3495" s="47">
        <f t="shared" ca="1" si="54"/>
        <v>0.70607864783433483</v>
      </c>
      <c r="C3495" s="48">
        <f t="array" aca="1" ref="C3495" ca="1">MAX(0,ROUND(Inputs!$B$10*Inputs!$B$11+NORMSINV(B3495)*SQRT(Inputs!$B$10*Inputs!$B$11),0))</f>
        <v>512</v>
      </c>
      <c r="D3495" s="49">
        <f ca="1">C3495*Inputs!$B$12</f>
        <v>61440000</v>
      </c>
    </row>
    <row r="3496" spans="1:4" ht="13.5" customHeight="1" x14ac:dyDescent="0.3">
      <c r="A3496" s="50">
        <v>3492</v>
      </c>
      <c r="B3496" s="51">
        <f t="shared" ca="1" si="54"/>
        <v>0.37729669776270036</v>
      </c>
      <c r="C3496" s="48">
        <f t="array" aca="1" ref="C3496" ca="1">MAX(0,ROUND(Inputs!$B$10*Inputs!$B$11+NORMSINV(B3496)*SQRT(Inputs!$B$10*Inputs!$B$11),0))</f>
        <v>493</v>
      </c>
      <c r="D3496" s="52">
        <f ca="1">C3496*Inputs!$B$12</f>
        <v>59160000</v>
      </c>
    </row>
    <row r="3497" spans="1:4" ht="13.5" customHeight="1" x14ac:dyDescent="0.3">
      <c r="A3497" s="46">
        <v>3493</v>
      </c>
      <c r="B3497" s="47">
        <f t="shared" ca="1" si="54"/>
        <v>8.5438039014875566E-2</v>
      </c>
      <c r="C3497" s="48">
        <f t="array" aca="1" ref="C3497" ca="1">MAX(0,ROUND(Inputs!$B$10*Inputs!$B$11+NORMSINV(B3497)*SQRT(Inputs!$B$10*Inputs!$B$11),0))</f>
        <v>469</v>
      </c>
      <c r="D3497" s="49">
        <f ca="1">C3497*Inputs!$B$12</f>
        <v>56280000</v>
      </c>
    </row>
    <row r="3498" spans="1:4" ht="13.5" customHeight="1" x14ac:dyDescent="0.3">
      <c r="A3498" s="50">
        <v>3494</v>
      </c>
      <c r="B3498" s="51">
        <f t="shared" ca="1" si="54"/>
        <v>0.48897899653456578</v>
      </c>
      <c r="C3498" s="48">
        <f t="array" aca="1" ref="C3498" ca="1">MAX(0,ROUND(Inputs!$B$10*Inputs!$B$11+NORMSINV(B3498)*SQRT(Inputs!$B$10*Inputs!$B$11),0))</f>
        <v>499</v>
      </c>
      <c r="D3498" s="52">
        <f ca="1">C3498*Inputs!$B$12</f>
        <v>59880000</v>
      </c>
    </row>
    <row r="3499" spans="1:4" ht="13.5" customHeight="1" x14ac:dyDescent="0.3">
      <c r="A3499" s="46">
        <v>3495</v>
      </c>
      <c r="B3499" s="47">
        <f t="shared" ca="1" si="54"/>
        <v>0.75469071810764876</v>
      </c>
      <c r="C3499" s="48">
        <f t="array" aca="1" ref="C3499" ca="1">MAX(0,ROUND(Inputs!$B$10*Inputs!$B$11+NORMSINV(B3499)*SQRT(Inputs!$B$10*Inputs!$B$11),0))</f>
        <v>515</v>
      </c>
      <c r="D3499" s="49">
        <f ca="1">C3499*Inputs!$B$12</f>
        <v>61800000</v>
      </c>
    </row>
    <row r="3500" spans="1:4" ht="13.5" customHeight="1" x14ac:dyDescent="0.3">
      <c r="A3500" s="50">
        <v>3496</v>
      </c>
      <c r="B3500" s="51">
        <f t="shared" ca="1" si="54"/>
        <v>0.91108760804094224</v>
      </c>
      <c r="C3500" s="48">
        <f t="array" aca="1" ref="C3500" ca="1">MAX(0,ROUND(Inputs!$B$10*Inputs!$B$11+NORMSINV(B3500)*SQRT(Inputs!$B$10*Inputs!$B$11),0))</f>
        <v>530</v>
      </c>
      <c r="D3500" s="52">
        <f ca="1">C3500*Inputs!$B$12</f>
        <v>63600000</v>
      </c>
    </row>
    <row r="3501" spans="1:4" ht="13.5" customHeight="1" x14ac:dyDescent="0.3">
      <c r="A3501" s="46">
        <v>3497</v>
      </c>
      <c r="B3501" s="47">
        <f t="shared" ca="1" si="54"/>
        <v>0.94378413774137326</v>
      </c>
      <c r="C3501" s="48">
        <f t="array" aca="1" ref="C3501" ca="1">MAX(0,ROUND(Inputs!$B$10*Inputs!$B$11+NORMSINV(B3501)*SQRT(Inputs!$B$10*Inputs!$B$11),0))</f>
        <v>535</v>
      </c>
      <c r="D3501" s="49">
        <f ca="1">C3501*Inputs!$B$12</f>
        <v>64200000</v>
      </c>
    </row>
    <row r="3502" spans="1:4" ht="13.5" customHeight="1" x14ac:dyDescent="0.3">
      <c r="A3502" s="50">
        <v>3498</v>
      </c>
      <c r="B3502" s="51">
        <f t="shared" ca="1" si="54"/>
        <v>0.30532232539997839</v>
      </c>
      <c r="C3502" s="48">
        <f t="array" aca="1" ref="C3502" ca="1">MAX(0,ROUND(Inputs!$B$10*Inputs!$B$11+NORMSINV(B3502)*SQRT(Inputs!$B$10*Inputs!$B$11),0))</f>
        <v>489</v>
      </c>
      <c r="D3502" s="52">
        <f ca="1">C3502*Inputs!$B$12</f>
        <v>58680000</v>
      </c>
    </row>
    <row r="3503" spans="1:4" ht="13.5" customHeight="1" x14ac:dyDescent="0.3">
      <c r="A3503" s="46">
        <v>3499</v>
      </c>
      <c r="B3503" s="47">
        <f t="shared" ca="1" si="54"/>
        <v>0.99805794445325624</v>
      </c>
      <c r="C3503" s="48">
        <f t="array" aca="1" ref="C3503" ca="1">MAX(0,ROUND(Inputs!$B$10*Inputs!$B$11+NORMSINV(B3503)*SQRT(Inputs!$B$10*Inputs!$B$11),0))</f>
        <v>565</v>
      </c>
      <c r="D3503" s="49">
        <f ca="1">C3503*Inputs!$B$12</f>
        <v>67800000</v>
      </c>
    </row>
    <row r="3504" spans="1:4" ht="13.5" customHeight="1" x14ac:dyDescent="0.3">
      <c r="A3504" s="50">
        <v>3500</v>
      </c>
      <c r="B3504" s="51">
        <f t="shared" ca="1" si="54"/>
        <v>0.81220482339965328</v>
      </c>
      <c r="C3504" s="48">
        <f t="array" aca="1" ref="C3504" ca="1">MAX(0,ROUND(Inputs!$B$10*Inputs!$B$11+NORMSINV(B3504)*SQRT(Inputs!$B$10*Inputs!$B$11),0))</f>
        <v>520</v>
      </c>
      <c r="D3504" s="52">
        <f ca="1">C3504*Inputs!$B$12</f>
        <v>62400000</v>
      </c>
    </row>
    <row r="3505" spans="1:4" ht="13.5" customHeight="1" x14ac:dyDescent="0.3">
      <c r="A3505" s="46">
        <v>3501</v>
      </c>
      <c r="B3505" s="47">
        <f t="shared" ca="1" si="54"/>
        <v>0.44305947139245616</v>
      </c>
      <c r="C3505" s="48">
        <f t="array" aca="1" ref="C3505" ca="1">MAX(0,ROUND(Inputs!$B$10*Inputs!$B$11+NORMSINV(B3505)*SQRT(Inputs!$B$10*Inputs!$B$11),0))</f>
        <v>497</v>
      </c>
      <c r="D3505" s="49">
        <f ca="1">C3505*Inputs!$B$12</f>
        <v>59640000</v>
      </c>
    </row>
    <row r="3506" spans="1:4" ht="13.5" customHeight="1" x14ac:dyDescent="0.3">
      <c r="A3506" s="50">
        <v>3502</v>
      </c>
      <c r="B3506" s="51">
        <f t="shared" ca="1" si="54"/>
        <v>0.57795590755626614</v>
      </c>
      <c r="C3506" s="48">
        <f t="array" aca="1" ref="C3506" ca="1">MAX(0,ROUND(Inputs!$B$10*Inputs!$B$11+NORMSINV(B3506)*SQRT(Inputs!$B$10*Inputs!$B$11),0))</f>
        <v>504</v>
      </c>
      <c r="D3506" s="52">
        <f ca="1">C3506*Inputs!$B$12</f>
        <v>60480000</v>
      </c>
    </row>
    <row r="3507" spans="1:4" ht="13.5" customHeight="1" x14ac:dyDescent="0.3">
      <c r="A3507" s="46">
        <v>3503</v>
      </c>
      <c r="B3507" s="47">
        <f t="shared" ca="1" si="54"/>
        <v>0.30457494185467537</v>
      </c>
      <c r="C3507" s="48">
        <f t="array" aca="1" ref="C3507" ca="1">MAX(0,ROUND(Inputs!$B$10*Inputs!$B$11+NORMSINV(B3507)*SQRT(Inputs!$B$10*Inputs!$B$11),0))</f>
        <v>489</v>
      </c>
      <c r="D3507" s="49">
        <f ca="1">C3507*Inputs!$B$12</f>
        <v>58680000</v>
      </c>
    </row>
    <row r="3508" spans="1:4" ht="13.5" customHeight="1" x14ac:dyDescent="0.3">
      <c r="A3508" s="50">
        <v>3504</v>
      </c>
      <c r="B3508" s="51">
        <f t="shared" ca="1" si="54"/>
        <v>0.92109825466397055</v>
      </c>
      <c r="C3508" s="48">
        <f t="array" aca="1" ref="C3508" ca="1">MAX(0,ROUND(Inputs!$B$10*Inputs!$B$11+NORMSINV(B3508)*SQRT(Inputs!$B$10*Inputs!$B$11),0))</f>
        <v>532</v>
      </c>
      <c r="D3508" s="52">
        <f ca="1">C3508*Inputs!$B$12</f>
        <v>63840000</v>
      </c>
    </row>
    <row r="3509" spans="1:4" ht="13.5" customHeight="1" x14ac:dyDescent="0.3">
      <c r="A3509" s="46">
        <v>3505</v>
      </c>
      <c r="B3509" s="47">
        <f t="shared" ca="1" si="54"/>
        <v>0.14790749852175655</v>
      </c>
      <c r="C3509" s="48">
        <f t="array" aca="1" ref="C3509" ca="1">MAX(0,ROUND(Inputs!$B$10*Inputs!$B$11+NORMSINV(B3509)*SQRT(Inputs!$B$10*Inputs!$B$11),0))</f>
        <v>477</v>
      </c>
      <c r="D3509" s="49">
        <f ca="1">C3509*Inputs!$B$12</f>
        <v>57240000</v>
      </c>
    </row>
    <row r="3510" spans="1:4" ht="13.5" customHeight="1" x14ac:dyDescent="0.3">
      <c r="A3510" s="50">
        <v>3506</v>
      </c>
      <c r="B3510" s="51">
        <f t="shared" ca="1" si="54"/>
        <v>0.82291669010038049</v>
      </c>
      <c r="C3510" s="48">
        <f t="array" aca="1" ref="C3510" ca="1">MAX(0,ROUND(Inputs!$B$10*Inputs!$B$11+NORMSINV(B3510)*SQRT(Inputs!$B$10*Inputs!$B$11),0))</f>
        <v>521</v>
      </c>
      <c r="D3510" s="52">
        <f ca="1">C3510*Inputs!$B$12</f>
        <v>62520000</v>
      </c>
    </row>
    <row r="3511" spans="1:4" ht="13.5" customHeight="1" x14ac:dyDescent="0.3">
      <c r="A3511" s="46">
        <v>3507</v>
      </c>
      <c r="B3511" s="47">
        <f t="shared" ca="1" si="54"/>
        <v>0.65721670232169715</v>
      </c>
      <c r="C3511" s="48">
        <f t="array" aca="1" ref="C3511" ca="1">MAX(0,ROUND(Inputs!$B$10*Inputs!$B$11+NORMSINV(B3511)*SQRT(Inputs!$B$10*Inputs!$B$11),0))</f>
        <v>509</v>
      </c>
      <c r="D3511" s="49">
        <f ca="1">C3511*Inputs!$B$12</f>
        <v>61080000</v>
      </c>
    </row>
    <row r="3512" spans="1:4" ht="13.5" customHeight="1" x14ac:dyDescent="0.3">
      <c r="A3512" s="50">
        <v>3508</v>
      </c>
      <c r="B3512" s="51">
        <f t="shared" ca="1" si="54"/>
        <v>0.89350605470728195</v>
      </c>
      <c r="C3512" s="48">
        <f t="array" aca="1" ref="C3512" ca="1">MAX(0,ROUND(Inputs!$B$10*Inputs!$B$11+NORMSINV(B3512)*SQRT(Inputs!$B$10*Inputs!$B$11),0))</f>
        <v>528</v>
      </c>
      <c r="D3512" s="52">
        <f ca="1">C3512*Inputs!$B$12</f>
        <v>63360000</v>
      </c>
    </row>
    <row r="3513" spans="1:4" ht="13.5" customHeight="1" x14ac:dyDescent="0.3">
      <c r="A3513" s="46">
        <v>3509</v>
      </c>
      <c r="B3513" s="47">
        <f t="shared" ca="1" si="54"/>
        <v>0.44107856658200673</v>
      </c>
      <c r="C3513" s="48">
        <f t="array" aca="1" ref="C3513" ca="1">MAX(0,ROUND(Inputs!$B$10*Inputs!$B$11+NORMSINV(B3513)*SQRT(Inputs!$B$10*Inputs!$B$11),0))</f>
        <v>497</v>
      </c>
      <c r="D3513" s="49">
        <f ca="1">C3513*Inputs!$B$12</f>
        <v>59640000</v>
      </c>
    </row>
    <row r="3514" spans="1:4" ht="13.5" customHeight="1" x14ac:dyDescent="0.3">
      <c r="A3514" s="50">
        <v>3510</v>
      </c>
      <c r="B3514" s="51">
        <f t="shared" ca="1" si="54"/>
        <v>0.9463223049875743</v>
      </c>
      <c r="C3514" s="48">
        <f t="array" aca="1" ref="C3514" ca="1">MAX(0,ROUND(Inputs!$B$10*Inputs!$B$11+NORMSINV(B3514)*SQRT(Inputs!$B$10*Inputs!$B$11),0))</f>
        <v>536</v>
      </c>
      <c r="D3514" s="52">
        <f ca="1">C3514*Inputs!$B$12</f>
        <v>64320000</v>
      </c>
    </row>
    <row r="3515" spans="1:4" ht="13.5" customHeight="1" x14ac:dyDescent="0.3">
      <c r="A3515" s="46">
        <v>3511</v>
      </c>
      <c r="B3515" s="47">
        <f t="shared" ca="1" si="54"/>
        <v>6.077174755575887E-2</v>
      </c>
      <c r="C3515" s="48">
        <f t="array" aca="1" ref="C3515" ca="1">MAX(0,ROUND(Inputs!$B$10*Inputs!$B$11+NORMSINV(B3515)*SQRT(Inputs!$B$10*Inputs!$B$11),0))</f>
        <v>465</v>
      </c>
      <c r="D3515" s="49">
        <f ca="1">C3515*Inputs!$B$12</f>
        <v>55800000</v>
      </c>
    </row>
    <row r="3516" spans="1:4" ht="13.5" customHeight="1" x14ac:dyDescent="0.3">
      <c r="A3516" s="50">
        <v>3512</v>
      </c>
      <c r="B3516" s="51">
        <f t="shared" ca="1" si="54"/>
        <v>0.84927482846129509</v>
      </c>
      <c r="C3516" s="48">
        <f t="array" aca="1" ref="C3516" ca="1">MAX(0,ROUND(Inputs!$B$10*Inputs!$B$11+NORMSINV(B3516)*SQRT(Inputs!$B$10*Inputs!$B$11),0))</f>
        <v>523</v>
      </c>
      <c r="D3516" s="52">
        <f ca="1">C3516*Inputs!$B$12</f>
        <v>62760000</v>
      </c>
    </row>
    <row r="3517" spans="1:4" ht="13.5" customHeight="1" x14ac:dyDescent="0.3">
      <c r="A3517" s="46">
        <v>3513</v>
      </c>
      <c r="B3517" s="47">
        <f t="shared" ca="1" si="54"/>
        <v>0.94238146147944346</v>
      </c>
      <c r="C3517" s="48">
        <f t="array" aca="1" ref="C3517" ca="1">MAX(0,ROUND(Inputs!$B$10*Inputs!$B$11+NORMSINV(B3517)*SQRT(Inputs!$B$10*Inputs!$B$11),0))</f>
        <v>535</v>
      </c>
      <c r="D3517" s="49">
        <f ca="1">C3517*Inputs!$B$12</f>
        <v>64200000</v>
      </c>
    </row>
    <row r="3518" spans="1:4" ht="13.5" customHeight="1" x14ac:dyDescent="0.3">
      <c r="A3518" s="50">
        <v>3514</v>
      </c>
      <c r="B3518" s="51">
        <f t="shared" ca="1" si="54"/>
        <v>0.10245442035086383</v>
      </c>
      <c r="C3518" s="48">
        <f t="array" aca="1" ref="C3518" ca="1">MAX(0,ROUND(Inputs!$B$10*Inputs!$B$11+NORMSINV(B3518)*SQRT(Inputs!$B$10*Inputs!$B$11),0))</f>
        <v>472</v>
      </c>
      <c r="D3518" s="52">
        <f ca="1">C3518*Inputs!$B$12</f>
        <v>56640000</v>
      </c>
    </row>
    <row r="3519" spans="1:4" ht="13.5" customHeight="1" x14ac:dyDescent="0.3">
      <c r="A3519" s="46">
        <v>3515</v>
      </c>
      <c r="B3519" s="47">
        <f t="shared" ca="1" si="54"/>
        <v>0.32144938036868143</v>
      </c>
      <c r="C3519" s="48">
        <f t="array" aca="1" ref="C3519" ca="1">MAX(0,ROUND(Inputs!$B$10*Inputs!$B$11+NORMSINV(B3519)*SQRT(Inputs!$B$10*Inputs!$B$11),0))</f>
        <v>490</v>
      </c>
      <c r="D3519" s="49">
        <f ca="1">C3519*Inputs!$B$12</f>
        <v>58800000</v>
      </c>
    </row>
    <row r="3520" spans="1:4" ht="13.5" customHeight="1" x14ac:dyDescent="0.3">
      <c r="A3520" s="50">
        <v>3516</v>
      </c>
      <c r="B3520" s="51">
        <f t="shared" ca="1" si="54"/>
        <v>1.0914082645992695E-2</v>
      </c>
      <c r="C3520" s="48">
        <f t="array" aca="1" ref="C3520" ca="1">MAX(0,ROUND(Inputs!$B$10*Inputs!$B$11+NORMSINV(B3520)*SQRT(Inputs!$B$10*Inputs!$B$11),0))</f>
        <v>449</v>
      </c>
      <c r="D3520" s="52">
        <f ca="1">C3520*Inputs!$B$12</f>
        <v>53880000</v>
      </c>
    </row>
    <row r="3521" spans="1:4" ht="13.5" customHeight="1" x14ac:dyDescent="0.3">
      <c r="A3521" s="46">
        <v>3517</v>
      </c>
      <c r="B3521" s="47">
        <f t="shared" ca="1" si="54"/>
        <v>0.68368910155582019</v>
      </c>
      <c r="C3521" s="48">
        <f t="array" aca="1" ref="C3521" ca="1">MAX(0,ROUND(Inputs!$B$10*Inputs!$B$11+NORMSINV(B3521)*SQRT(Inputs!$B$10*Inputs!$B$11),0))</f>
        <v>511</v>
      </c>
      <c r="D3521" s="49">
        <f ca="1">C3521*Inputs!$B$12</f>
        <v>61320000</v>
      </c>
    </row>
    <row r="3522" spans="1:4" ht="13.5" customHeight="1" x14ac:dyDescent="0.3">
      <c r="A3522" s="50">
        <v>3518</v>
      </c>
      <c r="B3522" s="51">
        <f t="shared" ca="1" si="54"/>
        <v>0.42877969822477491</v>
      </c>
      <c r="C3522" s="48">
        <f t="array" aca="1" ref="C3522" ca="1">MAX(0,ROUND(Inputs!$B$10*Inputs!$B$11+NORMSINV(B3522)*SQRT(Inputs!$B$10*Inputs!$B$11),0))</f>
        <v>496</v>
      </c>
      <c r="D3522" s="52">
        <f ca="1">C3522*Inputs!$B$12</f>
        <v>59520000</v>
      </c>
    </row>
    <row r="3523" spans="1:4" ht="13.5" customHeight="1" x14ac:dyDescent="0.3">
      <c r="A3523" s="46">
        <v>3519</v>
      </c>
      <c r="B3523" s="47">
        <f t="shared" ca="1" si="54"/>
        <v>0.26414081997951466</v>
      </c>
      <c r="C3523" s="48">
        <f t="array" aca="1" ref="C3523" ca="1">MAX(0,ROUND(Inputs!$B$10*Inputs!$B$11+NORMSINV(B3523)*SQRT(Inputs!$B$10*Inputs!$B$11),0))</f>
        <v>486</v>
      </c>
      <c r="D3523" s="49">
        <f ca="1">C3523*Inputs!$B$12</f>
        <v>58320000</v>
      </c>
    </row>
    <row r="3524" spans="1:4" ht="13.5" customHeight="1" x14ac:dyDescent="0.3">
      <c r="A3524" s="50">
        <v>3520</v>
      </c>
      <c r="B3524" s="51">
        <f t="shared" ca="1" si="54"/>
        <v>0.78905859249338273</v>
      </c>
      <c r="C3524" s="48">
        <f t="array" aca="1" ref="C3524" ca="1">MAX(0,ROUND(Inputs!$B$10*Inputs!$B$11+NORMSINV(B3524)*SQRT(Inputs!$B$10*Inputs!$B$11),0))</f>
        <v>518</v>
      </c>
      <c r="D3524" s="52">
        <f ca="1">C3524*Inputs!$B$12</f>
        <v>62160000</v>
      </c>
    </row>
    <row r="3525" spans="1:4" ht="13.5" customHeight="1" x14ac:dyDescent="0.3">
      <c r="A3525" s="46">
        <v>3521</v>
      </c>
      <c r="B3525" s="47">
        <f t="shared" ref="B3525:B3588" ca="1" si="55">RAND()</f>
        <v>0.27568741184553458</v>
      </c>
      <c r="C3525" s="48">
        <f t="array" aca="1" ref="C3525" ca="1">MAX(0,ROUND(Inputs!$B$10*Inputs!$B$11+NORMSINV(B3525)*SQRT(Inputs!$B$10*Inputs!$B$11),0))</f>
        <v>487</v>
      </c>
      <c r="D3525" s="49">
        <f ca="1">C3525*Inputs!$B$12</f>
        <v>58440000</v>
      </c>
    </row>
    <row r="3526" spans="1:4" ht="13.5" customHeight="1" x14ac:dyDescent="0.3">
      <c r="A3526" s="50">
        <v>3522</v>
      </c>
      <c r="B3526" s="51">
        <f t="shared" ca="1" si="55"/>
        <v>0.57063952752860903</v>
      </c>
      <c r="C3526" s="48">
        <f t="array" aca="1" ref="C3526" ca="1">MAX(0,ROUND(Inputs!$B$10*Inputs!$B$11+NORMSINV(B3526)*SQRT(Inputs!$B$10*Inputs!$B$11),0))</f>
        <v>504</v>
      </c>
      <c r="D3526" s="52">
        <f ca="1">C3526*Inputs!$B$12</f>
        <v>60480000</v>
      </c>
    </row>
    <row r="3527" spans="1:4" ht="13.5" customHeight="1" x14ac:dyDescent="0.3">
      <c r="A3527" s="46">
        <v>3523</v>
      </c>
      <c r="B3527" s="47">
        <f t="shared" ca="1" si="55"/>
        <v>0.10964787598686021</v>
      </c>
      <c r="C3527" s="48">
        <f t="array" aca="1" ref="C3527" ca="1">MAX(0,ROUND(Inputs!$B$10*Inputs!$B$11+NORMSINV(B3527)*SQRT(Inputs!$B$10*Inputs!$B$11),0))</f>
        <v>473</v>
      </c>
      <c r="D3527" s="49">
        <f ca="1">C3527*Inputs!$B$12</f>
        <v>56760000</v>
      </c>
    </row>
    <row r="3528" spans="1:4" ht="13.5" customHeight="1" x14ac:dyDescent="0.3">
      <c r="A3528" s="50">
        <v>3524</v>
      </c>
      <c r="B3528" s="51">
        <f t="shared" ca="1" si="55"/>
        <v>0.23936078557227425</v>
      </c>
      <c r="C3528" s="48">
        <f t="array" aca="1" ref="C3528" ca="1">MAX(0,ROUND(Inputs!$B$10*Inputs!$B$11+NORMSINV(B3528)*SQRT(Inputs!$B$10*Inputs!$B$11),0))</f>
        <v>484</v>
      </c>
      <c r="D3528" s="52">
        <f ca="1">C3528*Inputs!$B$12</f>
        <v>58080000</v>
      </c>
    </row>
    <row r="3529" spans="1:4" ht="13.5" customHeight="1" x14ac:dyDescent="0.3">
      <c r="A3529" s="46">
        <v>3525</v>
      </c>
      <c r="B3529" s="47">
        <f t="shared" ca="1" si="55"/>
        <v>0.35928162398661156</v>
      </c>
      <c r="C3529" s="48">
        <f t="array" aca="1" ref="C3529" ca="1">MAX(0,ROUND(Inputs!$B$10*Inputs!$B$11+NORMSINV(B3529)*SQRT(Inputs!$B$10*Inputs!$B$11),0))</f>
        <v>492</v>
      </c>
      <c r="D3529" s="49">
        <f ca="1">C3529*Inputs!$B$12</f>
        <v>59040000</v>
      </c>
    </row>
    <row r="3530" spans="1:4" ht="13.5" customHeight="1" x14ac:dyDescent="0.3">
      <c r="A3530" s="50">
        <v>3526</v>
      </c>
      <c r="B3530" s="51">
        <f t="shared" ca="1" si="55"/>
        <v>0.82583352764823714</v>
      </c>
      <c r="C3530" s="48">
        <f t="array" aca="1" ref="C3530" ca="1">MAX(0,ROUND(Inputs!$B$10*Inputs!$B$11+NORMSINV(B3530)*SQRT(Inputs!$B$10*Inputs!$B$11),0))</f>
        <v>521</v>
      </c>
      <c r="D3530" s="52">
        <f ca="1">C3530*Inputs!$B$12</f>
        <v>62520000</v>
      </c>
    </row>
    <row r="3531" spans="1:4" ht="13.5" customHeight="1" x14ac:dyDescent="0.3">
      <c r="A3531" s="46">
        <v>3527</v>
      </c>
      <c r="B3531" s="47">
        <f t="shared" ca="1" si="55"/>
        <v>0.49759147529702286</v>
      </c>
      <c r="C3531" s="48">
        <f t="array" aca="1" ref="C3531" ca="1">MAX(0,ROUND(Inputs!$B$10*Inputs!$B$11+NORMSINV(B3531)*SQRT(Inputs!$B$10*Inputs!$B$11),0))</f>
        <v>500</v>
      </c>
      <c r="D3531" s="49">
        <f ca="1">C3531*Inputs!$B$12</f>
        <v>60000000</v>
      </c>
    </row>
    <row r="3532" spans="1:4" ht="13.5" customHeight="1" x14ac:dyDescent="0.3">
      <c r="A3532" s="50">
        <v>3528</v>
      </c>
      <c r="B3532" s="51">
        <f t="shared" ca="1" si="55"/>
        <v>0.65669950171837188</v>
      </c>
      <c r="C3532" s="48">
        <f t="array" aca="1" ref="C3532" ca="1">MAX(0,ROUND(Inputs!$B$10*Inputs!$B$11+NORMSINV(B3532)*SQRT(Inputs!$B$10*Inputs!$B$11),0))</f>
        <v>509</v>
      </c>
      <c r="D3532" s="52">
        <f ca="1">C3532*Inputs!$B$12</f>
        <v>61080000</v>
      </c>
    </row>
    <row r="3533" spans="1:4" ht="13.5" customHeight="1" x14ac:dyDescent="0.3">
      <c r="A3533" s="46">
        <v>3529</v>
      </c>
      <c r="B3533" s="47">
        <f t="shared" ca="1" si="55"/>
        <v>0.75525655547784865</v>
      </c>
      <c r="C3533" s="48">
        <f t="array" aca="1" ref="C3533" ca="1">MAX(0,ROUND(Inputs!$B$10*Inputs!$B$11+NORMSINV(B3533)*SQRT(Inputs!$B$10*Inputs!$B$11),0))</f>
        <v>515</v>
      </c>
      <c r="D3533" s="49">
        <f ca="1">C3533*Inputs!$B$12</f>
        <v>61800000</v>
      </c>
    </row>
    <row r="3534" spans="1:4" ht="13.5" customHeight="1" x14ac:dyDescent="0.3">
      <c r="A3534" s="50">
        <v>3530</v>
      </c>
      <c r="B3534" s="51">
        <f t="shared" ca="1" si="55"/>
        <v>0.60967692566082943</v>
      </c>
      <c r="C3534" s="48">
        <f t="array" aca="1" ref="C3534" ca="1">MAX(0,ROUND(Inputs!$B$10*Inputs!$B$11+NORMSINV(B3534)*SQRT(Inputs!$B$10*Inputs!$B$11),0))</f>
        <v>506</v>
      </c>
      <c r="D3534" s="52">
        <f ca="1">C3534*Inputs!$B$12</f>
        <v>60720000</v>
      </c>
    </row>
    <row r="3535" spans="1:4" ht="13.5" customHeight="1" x14ac:dyDescent="0.3">
      <c r="A3535" s="46">
        <v>3531</v>
      </c>
      <c r="B3535" s="47">
        <f t="shared" ca="1" si="55"/>
        <v>0.2977921989154565</v>
      </c>
      <c r="C3535" s="48">
        <f t="array" aca="1" ref="C3535" ca="1">MAX(0,ROUND(Inputs!$B$10*Inputs!$B$11+NORMSINV(B3535)*SQRT(Inputs!$B$10*Inputs!$B$11),0))</f>
        <v>488</v>
      </c>
      <c r="D3535" s="49">
        <f ca="1">C3535*Inputs!$B$12</f>
        <v>58560000</v>
      </c>
    </row>
    <row r="3536" spans="1:4" ht="13.5" customHeight="1" x14ac:dyDescent="0.3">
      <c r="A3536" s="50">
        <v>3532</v>
      </c>
      <c r="B3536" s="51">
        <f t="shared" ca="1" si="55"/>
        <v>8.232101559953553E-2</v>
      </c>
      <c r="C3536" s="48">
        <f t="array" aca="1" ref="C3536" ca="1">MAX(0,ROUND(Inputs!$B$10*Inputs!$B$11+NORMSINV(B3536)*SQRT(Inputs!$B$10*Inputs!$B$11),0))</f>
        <v>469</v>
      </c>
      <c r="D3536" s="52">
        <f ca="1">C3536*Inputs!$B$12</f>
        <v>56280000</v>
      </c>
    </row>
    <row r="3537" spans="1:4" ht="13.5" customHeight="1" x14ac:dyDescent="0.3">
      <c r="A3537" s="46">
        <v>3533</v>
      </c>
      <c r="B3537" s="47">
        <f t="shared" ca="1" si="55"/>
        <v>0.21784453717130059</v>
      </c>
      <c r="C3537" s="48">
        <f t="array" aca="1" ref="C3537" ca="1">MAX(0,ROUND(Inputs!$B$10*Inputs!$B$11+NORMSINV(B3537)*SQRT(Inputs!$B$10*Inputs!$B$11),0))</f>
        <v>483</v>
      </c>
      <c r="D3537" s="49">
        <f ca="1">C3537*Inputs!$B$12</f>
        <v>57960000</v>
      </c>
    </row>
    <row r="3538" spans="1:4" ht="13.5" customHeight="1" x14ac:dyDescent="0.3">
      <c r="A3538" s="50">
        <v>3534</v>
      </c>
      <c r="B3538" s="51">
        <f t="shared" ca="1" si="55"/>
        <v>0.83237067798533426</v>
      </c>
      <c r="C3538" s="48">
        <f t="array" aca="1" ref="C3538" ca="1">MAX(0,ROUND(Inputs!$B$10*Inputs!$B$11+NORMSINV(B3538)*SQRT(Inputs!$B$10*Inputs!$B$11),0))</f>
        <v>522</v>
      </c>
      <c r="D3538" s="52">
        <f ca="1">C3538*Inputs!$B$12</f>
        <v>62640000</v>
      </c>
    </row>
    <row r="3539" spans="1:4" ht="13.5" customHeight="1" x14ac:dyDescent="0.3">
      <c r="A3539" s="46">
        <v>3535</v>
      </c>
      <c r="B3539" s="47">
        <f t="shared" ca="1" si="55"/>
        <v>0.58909994766750895</v>
      </c>
      <c r="C3539" s="48">
        <f t="array" aca="1" ref="C3539" ca="1">MAX(0,ROUND(Inputs!$B$10*Inputs!$B$11+NORMSINV(B3539)*SQRT(Inputs!$B$10*Inputs!$B$11),0))</f>
        <v>505</v>
      </c>
      <c r="D3539" s="49">
        <f ca="1">C3539*Inputs!$B$12</f>
        <v>60600000</v>
      </c>
    </row>
    <row r="3540" spans="1:4" ht="13.5" customHeight="1" x14ac:dyDescent="0.3">
      <c r="A3540" s="50">
        <v>3536</v>
      </c>
      <c r="B3540" s="51">
        <f t="shared" ca="1" si="55"/>
        <v>0.1174718750068463</v>
      </c>
      <c r="C3540" s="48">
        <f t="array" aca="1" ref="C3540" ca="1">MAX(0,ROUND(Inputs!$B$10*Inputs!$B$11+NORMSINV(B3540)*SQRT(Inputs!$B$10*Inputs!$B$11),0))</f>
        <v>473</v>
      </c>
      <c r="D3540" s="52">
        <f ca="1">C3540*Inputs!$B$12</f>
        <v>56760000</v>
      </c>
    </row>
    <row r="3541" spans="1:4" ht="13.5" customHeight="1" x14ac:dyDescent="0.3">
      <c r="A3541" s="46">
        <v>3537</v>
      </c>
      <c r="B3541" s="47">
        <f t="shared" ca="1" si="55"/>
        <v>0.58856947561286199</v>
      </c>
      <c r="C3541" s="48">
        <f t="array" aca="1" ref="C3541" ca="1">MAX(0,ROUND(Inputs!$B$10*Inputs!$B$11+NORMSINV(B3541)*SQRT(Inputs!$B$10*Inputs!$B$11),0))</f>
        <v>505</v>
      </c>
      <c r="D3541" s="49">
        <f ca="1">C3541*Inputs!$B$12</f>
        <v>60600000</v>
      </c>
    </row>
    <row r="3542" spans="1:4" ht="13.5" customHeight="1" x14ac:dyDescent="0.3">
      <c r="A3542" s="50">
        <v>3538</v>
      </c>
      <c r="B3542" s="51">
        <f t="shared" ca="1" si="55"/>
        <v>0.50230295379788248</v>
      </c>
      <c r="C3542" s="48">
        <f t="array" aca="1" ref="C3542" ca="1">MAX(0,ROUND(Inputs!$B$10*Inputs!$B$11+NORMSINV(B3542)*SQRT(Inputs!$B$10*Inputs!$B$11),0))</f>
        <v>500</v>
      </c>
      <c r="D3542" s="52">
        <f ca="1">C3542*Inputs!$B$12</f>
        <v>60000000</v>
      </c>
    </row>
    <row r="3543" spans="1:4" ht="13.5" customHeight="1" x14ac:dyDescent="0.3">
      <c r="A3543" s="46">
        <v>3539</v>
      </c>
      <c r="B3543" s="47">
        <f t="shared" ca="1" si="55"/>
        <v>0.68565941012496878</v>
      </c>
      <c r="C3543" s="48">
        <f t="array" aca="1" ref="C3543" ca="1">MAX(0,ROUND(Inputs!$B$10*Inputs!$B$11+NORMSINV(B3543)*SQRT(Inputs!$B$10*Inputs!$B$11),0))</f>
        <v>511</v>
      </c>
      <c r="D3543" s="49">
        <f ca="1">C3543*Inputs!$B$12</f>
        <v>61320000</v>
      </c>
    </row>
    <row r="3544" spans="1:4" ht="13.5" customHeight="1" x14ac:dyDescent="0.3">
      <c r="A3544" s="50">
        <v>3540</v>
      </c>
      <c r="B3544" s="51">
        <f t="shared" ca="1" si="55"/>
        <v>0.32085087761641051</v>
      </c>
      <c r="C3544" s="48">
        <f t="array" aca="1" ref="C3544" ca="1">MAX(0,ROUND(Inputs!$B$10*Inputs!$B$11+NORMSINV(B3544)*SQRT(Inputs!$B$10*Inputs!$B$11),0))</f>
        <v>490</v>
      </c>
      <c r="D3544" s="52">
        <f ca="1">C3544*Inputs!$B$12</f>
        <v>58800000</v>
      </c>
    </row>
    <row r="3545" spans="1:4" ht="13.5" customHeight="1" x14ac:dyDescent="0.3">
      <c r="A3545" s="46">
        <v>3541</v>
      </c>
      <c r="B3545" s="47">
        <f t="shared" ca="1" si="55"/>
        <v>0.85654192154705577</v>
      </c>
      <c r="C3545" s="48">
        <f t="array" aca="1" ref="C3545" ca="1">MAX(0,ROUND(Inputs!$B$10*Inputs!$B$11+NORMSINV(B3545)*SQRT(Inputs!$B$10*Inputs!$B$11),0))</f>
        <v>524</v>
      </c>
      <c r="D3545" s="49">
        <f ca="1">C3545*Inputs!$B$12</f>
        <v>62880000</v>
      </c>
    </row>
    <row r="3546" spans="1:4" ht="13.5" customHeight="1" x14ac:dyDescent="0.3">
      <c r="A3546" s="50">
        <v>3542</v>
      </c>
      <c r="B3546" s="51">
        <f t="shared" ca="1" si="55"/>
        <v>0.28678069783511884</v>
      </c>
      <c r="C3546" s="48">
        <f t="array" aca="1" ref="C3546" ca="1">MAX(0,ROUND(Inputs!$B$10*Inputs!$B$11+NORMSINV(B3546)*SQRT(Inputs!$B$10*Inputs!$B$11),0))</f>
        <v>487</v>
      </c>
      <c r="D3546" s="52">
        <f ca="1">C3546*Inputs!$B$12</f>
        <v>58440000</v>
      </c>
    </row>
    <row r="3547" spans="1:4" ht="13.5" customHeight="1" x14ac:dyDescent="0.3">
      <c r="A3547" s="46">
        <v>3543</v>
      </c>
      <c r="B3547" s="47">
        <f t="shared" ca="1" si="55"/>
        <v>0.81244094760667895</v>
      </c>
      <c r="C3547" s="48">
        <f t="array" aca="1" ref="C3547" ca="1">MAX(0,ROUND(Inputs!$B$10*Inputs!$B$11+NORMSINV(B3547)*SQRT(Inputs!$B$10*Inputs!$B$11),0))</f>
        <v>520</v>
      </c>
      <c r="D3547" s="49">
        <f ca="1">C3547*Inputs!$B$12</f>
        <v>62400000</v>
      </c>
    </row>
    <row r="3548" spans="1:4" ht="13.5" customHeight="1" x14ac:dyDescent="0.3">
      <c r="A3548" s="50">
        <v>3544</v>
      </c>
      <c r="B3548" s="51">
        <f t="shared" ca="1" si="55"/>
        <v>0.44209724386763283</v>
      </c>
      <c r="C3548" s="48">
        <f t="array" aca="1" ref="C3548" ca="1">MAX(0,ROUND(Inputs!$B$10*Inputs!$B$11+NORMSINV(B3548)*SQRT(Inputs!$B$10*Inputs!$B$11),0))</f>
        <v>497</v>
      </c>
      <c r="D3548" s="52">
        <f ca="1">C3548*Inputs!$B$12</f>
        <v>59640000</v>
      </c>
    </row>
    <row r="3549" spans="1:4" ht="13.5" customHeight="1" x14ac:dyDescent="0.3">
      <c r="A3549" s="46">
        <v>3545</v>
      </c>
      <c r="B3549" s="47">
        <f t="shared" ca="1" si="55"/>
        <v>0.65336917306420883</v>
      </c>
      <c r="C3549" s="48">
        <f t="array" aca="1" ref="C3549" ca="1">MAX(0,ROUND(Inputs!$B$10*Inputs!$B$11+NORMSINV(B3549)*SQRT(Inputs!$B$10*Inputs!$B$11),0))</f>
        <v>509</v>
      </c>
      <c r="D3549" s="49">
        <f ca="1">C3549*Inputs!$B$12</f>
        <v>61080000</v>
      </c>
    </row>
    <row r="3550" spans="1:4" ht="13.5" customHeight="1" x14ac:dyDescent="0.3">
      <c r="A3550" s="50">
        <v>3546</v>
      </c>
      <c r="B3550" s="51">
        <f t="shared" ca="1" si="55"/>
        <v>0.62706601050524324</v>
      </c>
      <c r="C3550" s="48">
        <f t="array" aca="1" ref="C3550" ca="1">MAX(0,ROUND(Inputs!$B$10*Inputs!$B$11+NORMSINV(B3550)*SQRT(Inputs!$B$10*Inputs!$B$11),0))</f>
        <v>507</v>
      </c>
      <c r="D3550" s="52">
        <f ca="1">C3550*Inputs!$B$12</f>
        <v>60840000</v>
      </c>
    </row>
    <row r="3551" spans="1:4" ht="13.5" customHeight="1" x14ac:dyDescent="0.3">
      <c r="A3551" s="46">
        <v>3547</v>
      </c>
      <c r="B3551" s="47">
        <f t="shared" ca="1" si="55"/>
        <v>0.19517022197580347</v>
      </c>
      <c r="C3551" s="48">
        <f t="array" aca="1" ref="C3551" ca="1">MAX(0,ROUND(Inputs!$B$10*Inputs!$B$11+NORMSINV(B3551)*SQRT(Inputs!$B$10*Inputs!$B$11),0))</f>
        <v>481</v>
      </c>
      <c r="D3551" s="49">
        <f ca="1">C3551*Inputs!$B$12</f>
        <v>57720000</v>
      </c>
    </row>
    <row r="3552" spans="1:4" ht="13.5" customHeight="1" x14ac:dyDescent="0.3">
      <c r="A3552" s="50">
        <v>3548</v>
      </c>
      <c r="B3552" s="51">
        <f t="shared" ca="1" si="55"/>
        <v>0.6691917673962553</v>
      </c>
      <c r="C3552" s="48">
        <f t="array" aca="1" ref="C3552" ca="1">MAX(0,ROUND(Inputs!$B$10*Inputs!$B$11+NORMSINV(B3552)*SQRT(Inputs!$B$10*Inputs!$B$11),0))</f>
        <v>510</v>
      </c>
      <c r="D3552" s="52">
        <f ca="1">C3552*Inputs!$B$12</f>
        <v>61200000</v>
      </c>
    </row>
    <row r="3553" spans="1:4" ht="13.5" customHeight="1" x14ac:dyDescent="0.3">
      <c r="A3553" s="46">
        <v>3549</v>
      </c>
      <c r="B3553" s="47">
        <f t="shared" ca="1" si="55"/>
        <v>0.85541875693001623</v>
      </c>
      <c r="C3553" s="48">
        <f t="array" aca="1" ref="C3553" ca="1">MAX(0,ROUND(Inputs!$B$10*Inputs!$B$11+NORMSINV(B3553)*SQRT(Inputs!$B$10*Inputs!$B$11),0))</f>
        <v>524</v>
      </c>
      <c r="D3553" s="49">
        <f ca="1">C3553*Inputs!$B$12</f>
        <v>62880000</v>
      </c>
    </row>
    <row r="3554" spans="1:4" ht="13.5" customHeight="1" x14ac:dyDescent="0.3">
      <c r="A3554" s="50">
        <v>3550</v>
      </c>
      <c r="B3554" s="51">
        <f t="shared" ca="1" si="55"/>
        <v>0.26685995883646518</v>
      </c>
      <c r="C3554" s="48">
        <f t="array" aca="1" ref="C3554" ca="1">MAX(0,ROUND(Inputs!$B$10*Inputs!$B$11+NORMSINV(B3554)*SQRT(Inputs!$B$10*Inputs!$B$11),0))</f>
        <v>486</v>
      </c>
      <c r="D3554" s="52">
        <f ca="1">C3554*Inputs!$B$12</f>
        <v>58320000</v>
      </c>
    </row>
    <row r="3555" spans="1:4" ht="13.5" customHeight="1" x14ac:dyDescent="0.3">
      <c r="A3555" s="46">
        <v>3551</v>
      </c>
      <c r="B3555" s="47">
        <f t="shared" ca="1" si="55"/>
        <v>0.57797635619275234</v>
      </c>
      <c r="C3555" s="48">
        <f t="array" aca="1" ref="C3555" ca="1">MAX(0,ROUND(Inputs!$B$10*Inputs!$B$11+NORMSINV(B3555)*SQRT(Inputs!$B$10*Inputs!$B$11),0))</f>
        <v>504</v>
      </c>
      <c r="D3555" s="49">
        <f ca="1">C3555*Inputs!$B$12</f>
        <v>60480000</v>
      </c>
    </row>
    <row r="3556" spans="1:4" ht="13.5" customHeight="1" x14ac:dyDescent="0.3">
      <c r="A3556" s="50">
        <v>3552</v>
      </c>
      <c r="B3556" s="51">
        <f t="shared" ca="1" si="55"/>
        <v>4.3574056600770295E-2</v>
      </c>
      <c r="C3556" s="48">
        <f t="array" aca="1" ref="C3556" ca="1">MAX(0,ROUND(Inputs!$B$10*Inputs!$B$11+NORMSINV(B3556)*SQRT(Inputs!$B$10*Inputs!$B$11),0))</f>
        <v>462</v>
      </c>
      <c r="D3556" s="52">
        <f ca="1">C3556*Inputs!$B$12</f>
        <v>55440000</v>
      </c>
    </row>
    <row r="3557" spans="1:4" ht="13.5" customHeight="1" x14ac:dyDescent="0.3">
      <c r="A3557" s="46">
        <v>3553</v>
      </c>
      <c r="B3557" s="47">
        <f t="shared" ca="1" si="55"/>
        <v>0.13030261073902571</v>
      </c>
      <c r="C3557" s="48">
        <f t="array" aca="1" ref="C3557" ca="1">MAX(0,ROUND(Inputs!$B$10*Inputs!$B$11+NORMSINV(B3557)*SQRT(Inputs!$B$10*Inputs!$B$11),0))</f>
        <v>475</v>
      </c>
      <c r="D3557" s="49">
        <f ca="1">C3557*Inputs!$B$12</f>
        <v>57000000</v>
      </c>
    </row>
    <row r="3558" spans="1:4" ht="13.5" customHeight="1" x14ac:dyDescent="0.3">
      <c r="A3558" s="50">
        <v>3554</v>
      </c>
      <c r="B3558" s="51">
        <f t="shared" ca="1" si="55"/>
        <v>0.45453239865217265</v>
      </c>
      <c r="C3558" s="48">
        <f t="array" aca="1" ref="C3558" ca="1">MAX(0,ROUND(Inputs!$B$10*Inputs!$B$11+NORMSINV(B3558)*SQRT(Inputs!$B$10*Inputs!$B$11),0))</f>
        <v>497</v>
      </c>
      <c r="D3558" s="52">
        <f ca="1">C3558*Inputs!$B$12</f>
        <v>59640000</v>
      </c>
    </row>
    <row r="3559" spans="1:4" ht="13.5" customHeight="1" x14ac:dyDescent="0.3">
      <c r="A3559" s="46">
        <v>3555</v>
      </c>
      <c r="B3559" s="47">
        <f t="shared" ca="1" si="55"/>
        <v>0.90061309086464481</v>
      </c>
      <c r="C3559" s="48">
        <f t="array" aca="1" ref="C3559" ca="1">MAX(0,ROUND(Inputs!$B$10*Inputs!$B$11+NORMSINV(B3559)*SQRT(Inputs!$B$10*Inputs!$B$11),0))</f>
        <v>529</v>
      </c>
      <c r="D3559" s="49">
        <f ca="1">C3559*Inputs!$B$12</f>
        <v>63480000</v>
      </c>
    </row>
    <row r="3560" spans="1:4" ht="13.5" customHeight="1" x14ac:dyDescent="0.3">
      <c r="A3560" s="50">
        <v>3556</v>
      </c>
      <c r="B3560" s="51">
        <f t="shared" ca="1" si="55"/>
        <v>0.89049412091266511</v>
      </c>
      <c r="C3560" s="48">
        <f t="array" aca="1" ref="C3560" ca="1">MAX(0,ROUND(Inputs!$B$10*Inputs!$B$11+NORMSINV(B3560)*SQRT(Inputs!$B$10*Inputs!$B$11),0))</f>
        <v>527</v>
      </c>
      <c r="D3560" s="52">
        <f ca="1">C3560*Inputs!$B$12</f>
        <v>63240000</v>
      </c>
    </row>
    <row r="3561" spans="1:4" ht="13.5" customHeight="1" x14ac:dyDescent="0.3">
      <c r="A3561" s="46">
        <v>3557</v>
      </c>
      <c r="B3561" s="47">
        <f t="shared" ca="1" si="55"/>
        <v>0.6884376817675576</v>
      </c>
      <c r="C3561" s="48">
        <f t="array" aca="1" ref="C3561" ca="1">MAX(0,ROUND(Inputs!$B$10*Inputs!$B$11+NORMSINV(B3561)*SQRT(Inputs!$B$10*Inputs!$B$11),0))</f>
        <v>511</v>
      </c>
      <c r="D3561" s="49">
        <f ca="1">C3561*Inputs!$B$12</f>
        <v>61320000</v>
      </c>
    </row>
    <row r="3562" spans="1:4" ht="13.5" customHeight="1" x14ac:dyDescent="0.3">
      <c r="A3562" s="50">
        <v>3558</v>
      </c>
      <c r="B3562" s="51">
        <f t="shared" ca="1" si="55"/>
        <v>0.49583148564244739</v>
      </c>
      <c r="C3562" s="48">
        <f t="array" aca="1" ref="C3562" ca="1">MAX(0,ROUND(Inputs!$B$10*Inputs!$B$11+NORMSINV(B3562)*SQRT(Inputs!$B$10*Inputs!$B$11),0))</f>
        <v>500</v>
      </c>
      <c r="D3562" s="52">
        <f ca="1">C3562*Inputs!$B$12</f>
        <v>60000000</v>
      </c>
    </row>
    <row r="3563" spans="1:4" ht="13.5" customHeight="1" x14ac:dyDescent="0.3">
      <c r="A3563" s="46">
        <v>3559</v>
      </c>
      <c r="B3563" s="47">
        <f t="shared" ca="1" si="55"/>
        <v>0.94397513264808486</v>
      </c>
      <c r="C3563" s="48">
        <f t="array" aca="1" ref="C3563" ca="1">MAX(0,ROUND(Inputs!$B$10*Inputs!$B$11+NORMSINV(B3563)*SQRT(Inputs!$B$10*Inputs!$B$11),0))</f>
        <v>536</v>
      </c>
      <c r="D3563" s="49">
        <f ca="1">C3563*Inputs!$B$12</f>
        <v>64320000</v>
      </c>
    </row>
    <row r="3564" spans="1:4" ht="13.5" customHeight="1" x14ac:dyDescent="0.3">
      <c r="A3564" s="50">
        <v>3560</v>
      </c>
      <c r="B3564" s="51">
        <f t="shared" ca="1" si="55"/>
        <v>0.54778883791002919</v>
      </c>
      <c r="C3564" s="48">
        <f t="array" aca="1" ref="C3564" ca="1">MAX(0,ROUND(Inputs!$B$10*Inputs!$B$11+NORMSINV(B3564)*SQRT(Inputs!$B$10*Inputs!$B$11),0))</f>
        <v>503</v>
      </c>
      <c r="D3564" s="52">
        <f ca="1">C3564*Inputs!$B$12</f>
        <v>60360000</v>
      </c>
    </row>
    <row r="3565" spans="1:4" ht="13.5" customHeight="1" x14ac:dyDescent="0.3">
      <c r="A3565" s="46">
        <v>3561</v>
      </c>
      <c r="B3565" s="47">
        <f t="shared" ca="1" si="55"/>
        <v>1.9984959045561079E-2</v>
      </c>
      <c r="C3565" s="48">
        <f t="array" aca="1" ref="C3565" ca="1">MAX(0,ROUND(Inputs!$B$10*Inputs!$B$11+NORMSINV(B3565)*SQRT(Inputs!$B$10*Inputs!$B$11),0))</f>
        <v>454</v>
      </c>
      <c r="D3565" s="49">
        <f ca="1">C3565*Inputs!$B$12</f>
        <v>54480000</v>
      </c>
    </row>
    <row r="3566" spans="1:4" ht="13.5" customHeight="1" x14ac:dyDescent="0.3">
      <c r="A3566" s="50">
        <v>3562</v>
      </c>
      <c r="B3566" s="51">
        <f t="shared" ca="1" si="55"/>
        <v>0.6217610462786366</v>
      </c>
      <c r="C3566" s="48">
        <f t="array" aca="1" ref="C3566" ca="1">MAX(0,ROUND(Inputs!$B$10*Inputs!$B$11+NORMSINV(B3566)*SQRT(Inputs!$B$10*Inputs!$B$11),0))</f>
        <v>507</v>
      </c>
      <c r="D3566" s="52">
        <f ca="1">C3566*Inputs!$B$12</f>
        <v>60840000</v>
      </c>
    </row>
    <row r="3567" spans="1:4" ht="13.5" customHeight="1" x14ac:dyDescent="0.3">
      <c r="A3567" s="46">
        <v>3563</v>
      </c>
      <c r="B3567" s="47">
        <f t="shared" ca="1" si="55"/>
        <v>0.40801352323520279</v>
      </c>
      <c r="C3567" s="48">
        <f t="array" aca="1" ref="C3567" ca="1">MAX(0,ROUND(Inputs!$B$10*Inputs!$B$11+NORMSINV(B3567)*SQRT(Inputs!$B$10*Inputs!$B$11),0))</f>
        <v>495</v>
      </c>
      <c r="D3567" s="49">
        <f ca="1">C3567*Inputs!$B$12</f>
        <v>59400000</v>
      </c>
    </row>
    <row r="3568" spans="1:4" ht="13.5" customHeight="1" x14ac:dyDescent="0.3">
      <c r="A3568" s="50">
        <v>3564</v>
      </c>
      <c r="B3568" s="51">
        <f t="shared" ca="1" si="55"/>
        <v>0.36358381713932519</v>
      </c>
      <c r="C3568" s="48">
        <f t="array" aca="1" ref="C3568" ca="1">MAX(0,ROUND(Inputs!$B$10*Inputs!$B$11+NORMSINV(B3568)*SQRT(Inputs!$B$10*Inputs!$B$11),0))</f>
        <v>492</v>
      </c>
      <c r="D3568" s="52">
        <f ca="1">C3568*Inputs!$B$12</f>
        <v>59040000</v>
      </c>
    </row>
    <row r="3569" spans="1:4" ht="13.5" customHeight="1" x14ac:dyDescent="0.3">
      <c r="A3569" s="46">
        <v>3565</v>
      </c>
      <c r="B3569" s="47">
        <f t="shared" ca="1" si="55"/>
        <v>0.44536255632841371</v>
      </c>
      <c r="C3569" s="48">
        <f t="array" aca="1" ref="C3569" ca="1">MAX(0,ROUND(Inputs!$B$10*Inputs!$B$11+NORMSINV(B3569)*SQRT(Inputs!$B$10*Inputs!$B$11),0))</f>
        <v>497</v>
      </c>
      <c r="D3569" s="49">
        <f ca="1">C3569*Inputs!$B$12</f>
        <v>59640000</v>
      </c>
    </row>
    <row r="3570" spans="1:4" ht="13.5" customHeight="1" x14ac:dyDescent="0.3">
      <c r="A3570" s="50">
        <v>3566</v>
      </c>
      <c r="B3570" s="51">
        <f t="shared" ca="1" si="55"/>
        <v>0.9852134925086925</v>
      </c>
      <c r="C3570" s="48">
        <f t="array" aca="1" ref="C3570" ca="1">MAX(0,ROUND(Inputs!$B$10*Inputs!$B$11+NORMSINV(B3570)*SQRT(Inputs!$B$10*Inputs!$B$11),0))</f>
        <v>549</v>
      </c>
      <c r="D3570" s="52">
        <f ca="1">C3570*Inputs!$B$12</f>
        <v>65880000</v>
      </c>
    </row>
    <row r="3571" spans="1:4" ht="13.5" customHeight="1" x14ac:dyDescent="0.3">
      <c r="A3571" s="46">
        <v>3567</v>
      </c>
      <c r="B3571" s="47">
        <f t="shared" ca="1" si="55"/>
        <v>0.9874254554611378</v>
      </c>
      <c r="C3571" s="48">
        <f t="array" aca="1" ref="C3571" ca="1">MAX(0,ROUND(Inputs!$B$10*Inputs!$B$11+NORMSINV(B3571)*SQRT(Inputs!$B$10*Inputs!$B$11),0))</f>
        <v>550</v>
      </c>
      <c r="D3571" s="49">
        <f ca="1">C3571*Inputs!$B$12</f>
        <v>66000000</v>
      </c>
    </row>
    <row r="3572" spans="1:4" ht="13.5" customHeight="1" x14ac:dyDescent="0.3">
      <c r="A3572" s="50">
        <v>3568</v>
      </c>
      <c r="B3572" s="51">
        <f t="shared" ca="1" si="55"/>
        <v>0.67672196477537649</v>
      </c>
      <c r="C3572" s="48">
        <f t="array" aca="1" ref="C3572" ca="1">MAX(0,ROUND(Inputs!$B$10*Inputs!$B$11+NORMSINV(B3572)*SQRT(Inputs!$B$10*Inputs!$B$11),0))</f>
        <v>510</v>
      </c>
      <c r="D3572" s="52">
        <f ca="1">C3572*Inputs!$B$12</f>
        <v>61200000</v>
      </c>
    </row>
    <row r="3573" spans="1:4" ht="13.5" customHeight="1" x14ac:dyDescent="0.3">
      <c r="A3573" s="46">
        <v>3569</v>
      </c>
      <c r="B3573" s="47">
        <f t="shared" ca="1" si="55"/>
        <v>0.99329024248025333</v>
      </c>
      <c r="C3573" s="48">
        <f t="array" aca="1" ref="C3573" ca="1">MAX(0,ROUND(Inputs!$B$10*Inputs!$B$11+NORMSINV(B3573)*SQRT(Inputs!$B$10*Inputs!$B$11),0))</f>
        <v>555</v>
      </c>
      <c r="D3573" s="49">
        <f ca="1">C3573*Inputs!$B$12</f>
        <v>66600000</v>
      </c>
    </row>
    <row r="3574" spans="1:4" ht="13.5" customHeight="1" x14ac:dyDescent="0.3">
      <c r="A3574" s="50">
        <v>3570</v>
      </c>
      <c r="B3574" s="51">
        <f t="shared" ca="1" si="55"/>
        <v>0.15235925709863374</v>
      </c>
      <c r="C3574" s="48">
        <f t="array" aca="1" ref="C3574" ca="1">MAX(0,ROUND(Inputs!$B$10*Inputs!$B$11+NORMSINV(B3574)*SQRT(Inputs!$B$10*Inputs!$B$11),0))</f>
        <v>477</v>
      </c>
      <c r="D3574" s="52">
        <f ca="1">C3574*Inputs!$B$12</f>
        <v>57240000</v>
      </c>
    </row>
    <row r="3575" spans="1:4" ht="13.5" customHeight="1" x14ac:dyDescent="0.3">
      <c r="A3575" s="46">
        <v>3571</v>
      </c>
      <c r="B3575" s="47">
        <f t="shared" ca="1" si="55"/>
        <v>0.35660623776279865</v>
      </c>
      <c r="C3575" s="48">
        <f t="array" aca="1" ref="C3575" ca="1">MAX(0,ROUND(Inputs!$B$10*Inputs!$B$11+NORMSINV(B3575)*SQRT(Inputs!$B$10*Inputs!$B$11),0))</f>
        <v>492</v>
      </c>
      <c r="D3575" s="49">
        <f ca="1">C3575*Inputs!$B$12</f>
        <v>59040000</v>
      </c>
    </row>
    <row r="3576" spans="1:4" ht="13.5" customHeight="1" x14ac:dyDescent="0.3">
      <c r="A3576" s="50">
        <v>3572</v>
      </c>
      <c r="B3576" s="51">
        <f t="shared" ca="1" si="55"/>
        <v>0.51848683236196869</v>
      </c>
      <c r="C3576" s="48">
        <f t="array" aca="1" ref="C3576" ca="1">MAX(0,ROUND(Inputs!$B$10*Inputs!$B$11+NORMSINV(B3576)*SQRT(Inputs!$B$10*Inputs!$B$11),0))</f>
        <v>501</v>
      </c>
      <c r="D3576" s="52">
        <f ca="1">C3576*Inputs!$B$12</f>
        <v>60120000</v>
      </c>
    </row>
    <row r="3577" spans="1:4" ht="13.5" customHeight="1" x14ac:dyDescent="0.3">
      <c r="A3577" s="46">
        <v>3573</v>
      </c>
      <c r="B3577" s="47">
        <f t="shared" ca="1" si="55"/>
        <v>0.86653729418647307</v>
      </c>
      <c r="C3577" s="48">
        <f t="array" aca="1" ref="C3577" ca="1">MAX(0,ROUND(Inputs!$B$10*Inputs!$B$11+NORMSINV(B3577)*SQRT(Inputs!$B$10*Inputs!$B$11),0))</f>
        <v>525</v>
      </c>
      <c r="D3577" s="49">
        <f ca="1">C3577*Inputs!$B$12</f>
        <v>63000000</v>
      </c>
    </row>
    <row r="3578" spans="1:4" ht="13.5" customHeight="1" x14ac:dyDescent="0.3">
      <c r="A3578" s="50">
        <v>3574</v>
      </c>
      <c r="B3578" s="51">
        <f t="shared" ca="1" si="55"/>
        <v>0.91835373484558835</v>
      </c>
      <c r="C3578" s="48">
        <f t="array" aca="1" ref="C3578" ca="1">MAX(0,ROUND(Inputs!$B$10*Inputs!$B$11+NORMSINV(B3578)*SQRT(Inputs!$B$10*Inputs!$B$11),0))</f>
        <v>531</v>
      </c>
      <c r="D3578" s="52">
        <f ca="1">C3578*Inputs!$B$12</f>
        <v>63720000</v>
      </c>
    </row>
    <row r="3579" spans="1:4" ht="13.5" customHeight="1" x14ac:dyDescent="0.3">
      <c r="A3579" s="46">
        <v>3575</v>
      </c>
      <c r="B3579" s="47">
        <f t="shared" ca="1" si="55"/>
        <v>0.60263039878366376</v>
      </c>
      <c r="C3579" s="48">
        <f t="array" aca="1" ref="C3579" ca="1">MAX(0,ROUND(Inputs!$B$10*Inputs!$B$11+NORMSINV(B3579)*SQRT(Inputs!$B$10*Inputs!$B$11),0))</f>
        <v>506</v>
      </c>
      <c r="D3579" s="49">
        <f ca="1">C3579*Inputs!$B$12</f>
        <v>60720000</v>
      </c>
    </row>
    <row r="3580" spans="1:4" ht="13.5" customHeight="1" x14ac:dyDescent="0.3">
      <c r="A3580" s="50">
        <v>3576</v>
      </c>
      <c r="B3580" s="51">
        <f t="shared" ca="1" si="55"/>
        <v>0.77806212476796821</v>
      </c>
      <c r="C3580" s="48">
        <f t="array" aca="1" ref="C3580" ca="1">MAX(0,ROUND(Inputs!$B$10*Inputs!$B$11+NORMSINV(B3580)*SQRT(Inputs!$B$10*Inputs!$B$11),0))</f>
        <v>517</v>
      </c>
      <c r="D3580" s="52">
        <f ca="1">C3580*Inputs!$B$12</f>
        <v>62040000</v>
      </c>
    </row>
    <row r="3581" spans="1:4" ht="13.5" customHeight="1" x14ac:dyDescent="0.3">
      <c r="A3581" s="46">
        <v>3577</v>
      </c>
      <c r="B3581" s="47">
        <f t="shared" ca="1" si="55"/>
        <v>0.72539422072914794</v>
      </c>
      <c r="C3581" s="48">
        <f t="array" aca="1" ref="C3581" ca="1">MAX(0,ROUND(Inputs!$B$10*Inputs!$B$11+NORMSINV(B3581)*SQRT(Inputs!$B$10*Inputs!$B$11),0))</f>
        <v>513</v>
      </c>
      <c r="D3581" s="49">
        <f ca="1">C3581*Inputs!$B$12</f>
        <v>61560000</v>
      </c>
    </row>
    <row r="3582" spans="1:4" ht="13.5" customHeight="1" x14ac:dyDescent="0.3">
      <c r="A3582" s="50">
        <v>3578</v>
      </c>
      <c r="B3582" s="51">
        <f t="shared" ca="1" si="55"/>
        <v>0.75563448847819281</v>
      </c>
      <c r="C3582" s="48">
        <f t="array" aca="1" ref="C3582" ca="1">MAX(0,ROUND(Inputs!$B$10*Inputs!$B$11+NORMSINV(B3582)*SQRT(Inputs!$B$10*Inputs!$B$11),0))</f>
        <v>515</v>
      </c>
      <c r="D3582" s="52">
        <f ca="1">C3582*Inputs!$B$12</f>
        <v>61800000</v>
      </c>
    </row>
    <row r="3583" spans="1:4" ht="13.5" customHeight="1" x14ac:dyDescent="0.3">
      <c r="A3583" s="46">
        <v>3579</v>
      </c>
      <c r="B3583" s="47">
        <f t="shared" ca="1" si="55"/>
        <v>0.44341989265630855</v>
      </c>
      <c r="C3583" s="48">
        <f t="array" aca="1" ref="C3583" ca="1">MAX(0,ROUND(Inputs!$B$10*Inputs!$B$11+NORMSINV(B3583)*SQRT(Inputs!$B$10*Inputs!$B$11),0))</f>
        <v>497</v>
      </c>
      <c r="D3583" s="49">
        <f ca="1">C3583*Inputs!$B$12</f>
        <v>59640000</v>
      </c>
    </row>
    <row r="3584" spans="1:4" ht="13.5" customHeight="1" x14ac:dyDescent="0.3">
      <c r="A3584" s="50">
        <v>3580</v>
      </c>
      <c r="B3584" s="51">
        <f t="shared" ca="1" si="55"/>
        <v>0.10646937205237339</v>
      </c>
      <c r="C3584" s="48">
        <f t="array" aca="1" ref="C3584" ca="1">MAX(0,ROUND(Inputs!$B$10*Inputs!$B$11+NORMSINV(B3584)*SQRT(Inputs!$B$10*Inputs!$B$11),0))</f>
        <v>472</v>
      </c>
      <c r="D3584" s="52">
        <f ca="1">C3584*Inputs!$B$12</f>
        <v>56640000</v>
      </c>
    </row>
    <row r="3585" spans="1:4" ht="13.5" customHeight="1" x14ac:dyDescent="0.3">
      <c r="A3585" s="46">
        <v>3581</v>
      </c>
      <c r="B3585" s="47">
        <f t="shared" ca="1" si="55"/>
        <v>0.53627292368420054</v>
      </c>
      <c r="C3585" s="48">
        <f t="array" aca="1" ref="C3585" ca="1">MAX(0,ROUND(Inputs!$B$10*Inputs!$B$11+NORMSINV(B3585)*SQRT(Inputs!$B$10*Inputs!$B$11),0))</f>
        <v>502</v>
      </c>
      <c r="D3585" s="49">
        <f ca="1">C3585*Inputs!$B$12</f>
        <v>60240000</v>
      </c>
    </row>
    <row r="3586" spans="1:4" ht="13.5" customHeight="1" x14ac:dyDescent="0.3">
      <c r="A3586" s="50">
        <v>3582</v>
      </c>
      <c r="B3586" s="51">
        <f t="shared" ca="1" si="55"/>
        <v>3.5645146689641583E-2</v>
      </c>
      <c r="C3586" s="48">
        <f t="array" aca="1" ref="C3586" ca="1">MAX(0,ROUND(Inputs!$B$10*Inputs!$B$11+NORMSINV(B3586)*SQRT(Inputs!$B$10*Inputs!$B$11),0))</f>
        <v>460</v>
      </c>
      <c r="D3586" s="52">
        <f ca="1">C3586*Inputs!$B$12</f>
        <v>55200000</v>
      </c>
    </row>
    <row r="3587" spans="1:4" ht="13.5" customHeight="1" x14ac:dyDescent="0.3">
      <c r="A3587" s="46">
        <v>3583</v>
      </c>
      <c r="B3587" s="47">
        <f t="shared" ca="1" si="55"/>
        <v>0.71645864089397793</v>
      </c>
      <c r="C3587" s="48">
        <f t="array" aca="1" ref="C3587" ca="1">MAX(0,ROUND(Inputs!$B$10*Inputs!$B$11+NORMSINV(B3587)*SQRT(Inputs!$B$10*Inputs!$B$11),0))</f>
        <v>513</v>
      </c>
      <c r="D3587" s="49">
        <f ca="1">C3587*Inputs!$B$12</f>
        <v>61560000</v>
      </c>
    </row>
    <row r="3588" spans="1:4" ht="13.5" customHeight="1" x14ac:dyDescent="0.3">
      <c r="A3588" s="50">
        <v>3584</v>
      </c>
      <c r="B3588" s="51">
        <f t="shared" ca="1" si="55"/>
        <v>0.70861095113759609</v>
      </c>
      <c r="C3588" s="48">
        <f t="array" aca="1" ref="C3588" ca="1">MAX(0,ROUND(Inputs!$B$10*Inputs!$B$11+NORMSINV(B3588)*SQRT(Inputs!$B$10*Inputs!$B$11),0))</f>
        <v>512</v>
      </c>
      <c r="D3588" s="52">
        <f ca="1">C3588*Inputs!$B$12</f>
        <v>61440000</v>
      </c>
    </row>
    <row r="3589" spans="1:4" ht="13.5" customHeight="1" x14ac:dyDescent="0.3">
      <c r="A3589" s="46">
        <v>3585</v>
      </c>
      <c r="B3589" s="47">
        <f t="shared" ref="B3589:B3652" ca="1" si="56">RAND()</f>
        <v>0.37818433897654613</v>
      </c>
      <c r="C3589" s="48">
        <f t="array" aca="1" ref="C3589" ca="1">MAX(0,ROUND(Inputs!$B$10*Inputs!$B$11+NORMSINV(B3589)*SQRT(Inputs!$B$10*Inputs!$B$11),0))</f>
        <v>493</v>
      </c>
      <c r="D3589" s="49">
        <f ca="1">C3589*Inputs!$B$12</f>
        <v>59160000</v>
      </c>
    </row>
    <row r="3590" spans="1:4" ht="13.5" customHeight="1" x14ac:dyDescent="0.3">
      <c r="A3590" s="50">
        <v>3586</v>
      </c>
      <c r="B3590" s="51">
        <f t="shared" ca="1" si="56"/>
        <v>0.2910926212075311</v>
      </c>
      <c r="C3590" s="48">
        <f t="array" aca="1" ref="C3590" ca="1">MAX(0,ROUND(Inputs!$B$10*Inputs!$B$11+NORMSINV(B3590)*SQRT(Inputs!$B$10*Inputs!$B$11),0))</f>
        <v>488</v>
      </c>
      <c r="D3590" s="52">
        <f ca="1">C3590*Inputs!$B$12</f>
        <v>58560000</v>
      </c>
    </row>
    <row r="3591" spans="1:4" ht="13.5" customHeight="1" x14ac:dyDescent="0.3">
      <c r="A3591" s="46">
        <v>3587</v>
      </c>
      <c r="B3591" s="47">
        <f t="shared" ca="1" si="56"/>
        <v>0.12758241328678777</v>
      </c>
      <c r="C3591" s="48">
        <f t="array" aca="1" ref="C3591" ca="1">MAX(0,ROUND(Inputs!$B$10*Inputs!$B$11+NORMSINV(B3591)*SQRT(Inputs!$B$10*Inputs!$B$11),0))</f>
        <v>475</v>
      </c>
      <c r="D3591" s="49">
        <f ca="1">C3591*Inputs!$B$12</f>
        <v>57000000</v>
      </c>
    </row>
    <row r="3592" spans="1:4" ht="13.5" customHeight="1" x14ac:dyDescent="0.3">
      <c r="A3592" s="50">
        <v>3588</v>
      </c>
      <c r="B3592" s="51">
        <f t="shared" ca="1" si="56"/>
        <v>0.85484520920633889</v>
      </c>
      <c r="C3592" s="48">
        <f t="array" aca="1" ref="C3592" ca="1">MAX(0,ROUND(Inputs!$B$10*Inputs!$B$11+NORMSINV(B3592)*SQRT(Inputs!$B$10*Inputs!$B$11),0))</f>
        <v>524</v>
      </c>
      <c r="D3592" s="52">
        <f ca="1">C3592*Inputs!$B$12</f>
        <v>62880000</v>
      </c>
    </row>
    <row r="3593" spans="1:4" ht="13.5" customHeight="1" x14ac:dyDescent="0.3">
      <c r="A3593" s="46">
        <v>3589</v>
      </c>
      <c r="B3593" s="47">
        <f t="shared" ca="1" si="56"/>
        <v>0.69978769022050957</v>
      </c>
      <c r="C3593" s="48">
        <f t="array" aca="1" ref="C3593" ca="1">MAX(0,ROUND(Inputs!$B$10*Inputs!$B$11+NORMSINV(B3593)*SQRT(Inputs!$B$10*Inputs!$B$11),0))</f>
        <v>512</v>
      </c>
      <c r="D3593" s="49">
        <f ca="1">C3593*Inputs!$B$12</f>
        <v>61440000</v>
      </c>
    </row>
    <row r="3594" spans="1:4" ht="13.5" customHeight="1" x14ac:dyDescent="0.3">
      <c r="A3594" s="50">
        <v>3590</v>
      </c>
      <c r="B3594" s="51">
        <f t="shared" ca="1" si="56"/>
        <v>0.77347775170670563</v>
      </c>
      <c r="C3594" s="48">
        <f t="array" aca="1" ref="C3594" ca="1">MAX(0,ROUND(Inputs!$B$10*Inputs!$B$11+NORMSINV(B3594)*SQRT(Inputs!$B$10*Inputs!$B$11),0))</f>
        <v>517</v>
      </c>
      <c r="D3594" s="52">
        <f ca="1">C3594*Inputs!$B$12</f>
        <v>62040000</v>
      </c>
    </row>
    <row r="3595" spans="1:4" ht="13.5" customHeight="1" x14ac:dyDescent="0.3">
      <c r="A3595" s="46">
        <v>3591</v>
      </c>
      <c r="B3595" s="47">
        <f t="shared" ca="1" si="56"/>
        <v>0.70889315140956044</v>
      </c>
      <c r="C3595" s="48">
        <f t="array" aca="1" ref="C3595" ca="1">MAX(0,ROUND(Inputs!$B$10*Inputs!$B$11+NORMSINV(B3595)*SQRT(Inputs!$B$10*Inputs!$B$11),0))</f>
        <v>512</v>
      </c>
      <c r="D3595" s="49">
        <f ca="1">C3595*Inputs!$B$12</f>
        <v>61440000</v>
      </c>
    </row>
    <row r="3596" spans="1:4" ht="13.5" customHeight="1" x14ac:dyDescent="0.3">
      <c r="A3596" s="50">
        <v>3592</v>
      </c>
      <c r="B3596" s="51">
        <f t="shared" ca="1" si="56"/>
        <v>0.63363561812376357</v>
      </c>
      <c r="C3596" s="48">
        <f t="array" aca="1" ref="C3596" ca="1">MAX(0,ROUND(Inputs!$B$10*Inputs!$B$11+NORMSINV(B3596)*SQRT(Inputs!$B$10*Inputs!$B$11),0))</f>
        <v>508</v>
      </c>
      <c r="D3596" s="52">
        <f ca="1">C3596*Inputs!$B$12</f>
        <v>60960000</v>
      </c>
    </row>
    <row r="3597" spans="1:4" ht="13.5" customHeight="1" x14ac:dyDescent="0.3">
      <c r="A3597" s="46">
        <v>3593</v>
      </c>
      <c r="B3597" s="47">
        <f t="shared" ca="1" si="56"/>
        <v>0.73254955915984232</v>
      </c>
      <c r="C3597" s="48">
        <f t="array" aca="1" ref="C3597" ca="1">MAX(0,ROUND(Inputs!$B$10*Inputs!$B$11+NORMSINV(B3597)*SQRT(Inputs!$B$10*Inputs!$B$11),0))</f>
        <v>514</v>
      </c>
      <c r="D3597" s="49">
        <f ca="1">C3597*Inputs!$B$12</f>
        <v>61680000</v>
      </c>
    </row>
    <row r="3598" spans="1:4" ht="13.5" customHeight="1" x14ac:dyDescent="0.3">
      <c r="A3598" s="50">
        <v>3594</v>
      </c>
      <c r="B3598" s="51">
        <f t="shared" ca="1" si="56"/>
        <v>0.1454781149390203</v>
      </c>
      <c r="C3598" s="48">
        <f t="array" aca="1" ref="C3598" ca="1">MAX(0,ROUND(Inputs!$B$10*Inputs!$B$11+NORMSINV(B3598)*SQRT(Inputs!$B$10*Inputs!$B$11),0))</f>
        <v>476</v>
      </c>
      <c r="D3598" s="52">
        <f ca="1">C3598*Inputs!$B$12</f>
        <v>57120000</v>
      </c>
    </row>
    <row r="3599" spans="1:4" ht="13.5" customHeight="1" x14ac:dyDescent="0.3">
      <c r="A3599" s="46">
        <v>3595</v>
      </c>
      <c r="B3599" s="47">
        <f t="shared" ca="1" si="56"/>
        <v>0.2495605463010383</v>
      </c>
      <c r="C3599" s="48">
        <f t="array" aca="1" ref="C3599" ca="1">MAX(0,ROUND(Inputs!$B$10*Inputs!$B$11+NORMSINV(B3599)*SQRT(Inputs!$B$10*Inputs!$B$11),0))</f>
        <v>485</v>
      </c>
      <c r="D3599" s="49">
        <f ca="1">C3599*Inputs!$B$12</f>
        <v>58200000</v>
      </c>
    </row>
    <row r="3600" spans="1:4" ht="13.5" customHeight="1" x14ac:dyDescent="0.3">
      <c r="A3600" s="50">
        <v>3596</v>
      </c>
      <c r="B3600" s="51">
        <f t="shared" ca="1" si="56"/>
        <v>0.79276930313904725</v>
      </c>
      <c r="C3600" s="48">
        <f t="array" aca="1" ref="C3600" ca="1">MAX(0,ROUND(Inputs!$B$10*Inputs!$B$11+NORMSINV(B3600)*SQRT(Inputs!$B$10*Inputs!$B$11),0))</f>
        <v>518</v>
      </c>
      <c r="D3600" s="52">
        <f ca="1">C3600*Inputs!$B$12</f>
        <v>62160000</v>
      </c>
    </row>
    <row r="3601" spans="1:4" ht="13.5" customHeight="1" x14ac:dyDescent="0.3">
      <c r="A3601" s="46">
        <v>3597</v>
      </c>
      <c r="B3601" s="47">
        <f t="shared" ca="1" si="56"/>
        <v>0.69338257352984234</v>
      </c>
      <c r="C3601" s="48">
        <f t="array" aca="1" ref="C3601" ca="1">MAX(0,ROUND(Inputs!$B$10*Inputs!$B$11+NORMSINV(B3601)*SQRT(Inputs!$B$10*Inputs!$B$11),0))</f>
        <v>511</v>
      </c>
      <c r="D3601" s="49">
        <f ca="1">C3601*Inputs!$B$12</f>
        <v>61320000</v>
      </c>
    </row>
    <row r="3602" spans="1:4" ht="13.5" customHeight="1" x14ac:dyDescent="0.3">
      <c r="A3602" s="50">
        <v>3598</v>
      </c>
      <c r="B3602" s="51">
        <f t="shared" ca="1" si="56"/>
        <v>0.5137054076245251</v>
      </c>
      <c r="C3602" s="48">
        <f t="array" aca="1" ref="C3602" ca="1">MAX(0,ROUND(Inputs!$B$10*Inputs!$B$11+NORMSINV(B3602)*SQRT(Inputs!$B$10*Inputs!$B$11),0))</f>
        <v>501</v>
      </c>
      <c r="D3602" s="52">
        <f ca="1">C3602*Inputs!$B$12</f>
        <v>60120000</v>
      </c>
    </row>
    <row r="3603" spans="1:4" ht="13.5" customHeight="1" x14ac:dyDescent="0.3">
      <c r="A3603" s="46">
        <v>3599</v>
      </c>
      <c r="B3603" s="47">
        <f t="shared" ca="1" si="56"/>
        <v>0.42088437713804405</v>
      </c>
      <c r="C3603" s="48">
        <f t="array" aca="1" ref="C3603" ca="1">MAX(0,ROUND(Inputs!$B$10*Inputs!$B$11+NORMSINV(B3603)*SQRT(Inputs!$B$10*Inputs!$B$11),0))</f>
        <v>496</v>
      </c>
      <c r="D3603" s="49">
        <f ca="1">C3603*Inputs!$B$12</f>
        <v>59520000</v>
      </c>
    </row>
    <row r="3604" spans="1:4" ht="13.5" customHeight="1" x14ac:dyDescent="0.3">
      <c r="A3604" s="50">
        <v>3600</v>
      </c>
      <c r="B3604" s="51">
        <f t="shared" ca="1" si="56"/>
        <v>0.40476526851819106</v>
      </c>
      <c r="C3604" s="48">
        <f t="array" aca="1" ref="C3604" ca="1">MAX(0,ROUND(Inputs!$B$10*Inputs!$B$11+NORMSINV(B3604)*SQRT(Inputs!$B$10*Inputs!$B$11),0))</f>
        <v>495</v>
      </c>
      <c r="D3604" s="52">
        <f ca="1">C3604*Inputs!$B$12</f>
        <v>59400000</v>
      </c>
    </row>
    <row r="3605" spans="1:4" ht="13.5" customHeight="1" x14ac:dyDescent="0.3">
      <c r="A3605" s="46">
        <v>3601</v>
      </c>
      <c r="B3605" s="47">
        <f t="shared" ca="1" si="56"/>
        <v>0.43019664151778403</v>
      </c>
      <c r="C3605" s="48">
        <f t="array" aca="1" ref="C3605" ca="1">MAX(0,ROUND(Inputs!$B$10*Inputs!$B$11+NORMSINV(B3605)*SQRT(Inputs!$B$10*Inputs!$B$11),0))</f>
        <v>496</v>
      </c>
      <c r="D3605" s="49">
        <f ca="1">C3605*Inputs!$B$12</f>
        <v>59520000</v>
      </c>
    </row>
    <row r="3606" spans="1:4" ht="13.5" customHeight="1" x14ac:dyDescent="0.3">
      <c r="A3606" s="50">
        <v>3602</v>
      </c>
      <c r="B3606" s="51">
        <f t="shared" ca="1" si="56"/>
        <v>0.95682098063993648</v>
      </c>
      <c r="C3606" s="48">
        <f t="array" aca="1" ref="C3606" ca="1">MAX(0,ROUND(Inputs!$B$10*Inputs!$B$11+NORMSINV(B3606)*SQRT(Inputs!$B$10*Inputs!$B$11),0))</f>
        <v>538</v>
      </c>
      <c r="D3606" s="52">
        <f ca="1">C3606*Inputs!$B$12</f>
        <v>64560000</v>
      </c>
    </row>
    <row r="3607" spans="1:4" ht="13.5" customHeight="1" x14ac:dyDescent="0.3">
      <c r="A3607" s="46">
        <v>3603</v>
      </c>
      <c r="B3607" s="47">
        <f t="shared" ca="1" si="56"/>
        <v>8.947692197180146E-2</v>
      </c>
      <c r="C3607" s="48">
        <f t="array" aca="1" ref="C3607" ca="1">MAX(0,ROUND(Inputs!$B$10*Inputs!$B$11+NORMSINV(B3607)*SQRT(Inputs!$B$10*Inputs!$B$11),0))</f>
        <v>470</v>
      </c>
      <c r="D3607" s="49">
        <f ca="1">C3607*Inputs!$B$12</f>
        <v>56400000</v>
      </c>
    </row>
    <row r="3608" spans="1:4" ht="13.5" customHeight="1" x14ac:dyDescent="0.3">
      <c r="A3608" s="50">
        <v>3604</v>
      </c>
      <c r="B3608" s="51">
        <f t="shared" ca="1" si="56"/>
        <v>5.8549325340206848E-2</v>
      </c>
      <c r="C3608" s="48">
        <f t="array" aca="1" ref="C3608" ca="1">MAX(0,ROUND(Inputs!$B$10*Inputs!$B$11+NORMSINV(B3608)*SQRT(Inputs!$B$10*Inputs!$B$11),0))</f>
        <v>465</v>
      </c>
      <c r="D3608" s="52">
        <f ca="1">C3608*Inputs!$B$12</f>
        <v>55800000</v>
      </c>
    </row>
    <row r="3609" spans="1:4" ht="13.5" customHeight="1" x14ac:dyDescent="0.3">
      <c r="A3609" s="46">
        <v>3605</v>
      </c>
      <c r="B3609" s="47">
        <f t="shared" ca="1" si="56"/>
        <v>0.60033061712204794</v>
      </c>
      <c r="C3609" s="48">
        <f t="array" aca="1" ref="C3609" ca="1">MAX(0,ROUND(Inputs!$B$10*Inputs!$B$11+NORMSINV(B3609)*SQRT(Inputs!$B$10*Inputs!$B$11),0))</f>
        <v>506</v>
      </c>
      <c r="D3609" s="49">
        <f ca="1">C3609*Inputs!$B$12</f>
        <v>60720000</v>
      </c>
    </row>
    <row r="3610" spans="1:4" ht="13.5" customHeight="1" x14ac:dyDescent="0.3">
      <c r="A3610" s="50">
        <v>3606</v>
      </c>
      <c r="B3610" s="51">
        <f t="shared" ca="1" si="56"/>
        <v>0.4357969973546435</v>
      </c>
      <c r="C3610" s="48">
        <f t="array" aca="1" ref="C3610" ca="1">MAX(0,ROUND(Inputs!$B$10*Inputs!$B$11+NORMSINV(B3610)*SQRT(Inputs!$B$10*Inputs!$B$11),0))</f>
        <v>496</v>
      </c>
      <c r="D3610" s="52">
        <f ca="1">C3610*Inputs!$B$12</f>
        <v>59520000</v>
      </c>
    </row>
    <row r="3611" spans="1:4" ht="13.5" customHeight="1" x14ac:dyDescent="0.3">
      <c r="A3611" s="46">
        <v>3607</v>
      </c>
      <c r="B3611" s="47">
        <f t="shared" ca="1" si="56"/>
        <v>0.51944650002785642</v>
      </c>
      <c r="C3611" s="48">
        <f t="array" aca="1" ref="C3611" ca="1">MAX(0,ROUND(Inputs!$B$10*Inputs!$B$11+NORMSINV(B3611)*SQRT(Inputs!$B$10*Inputs!$B$11),0))</f>
        <v>501</v>
      </c>
      <c r="D3611" s="49">
        <f ca="1">C3611*Inputs!$B$12</f>
        <v>60120000</v>
      </c>
    </row>
    <row r="3612" spans="1:4" ht="13.5" customHeight="1" x14ac:dyDescent="0.3">
      <c r="A3612" s="50">
        <v>3608</v>
      </c>
      <c r="B3612" s="51">
        <f t="shared" ca="1" si="56"/>
        <v>0.85089066762549015</v>
      </c>
      <c r="C3612" s="48">
        <f t="array" aca="1" ref="C3612" ca="1">MAX(0,ROUND(Inputs!$B$10*Inputs!$B$11+NORMSINV(B3612)*SQRT(Inputs!$B$10*Inputs!$B$11),0))</f>
        <v>523</v>
      </c>
      <c r="D3612" s="52">
        <f ca="1">C3612*Inputs!$B$12</f>
        <v>62760000</v>
      </c>
    </row>
    <row r="3613" spans="1:4" ht="13.5" customHeight="1" x14ac:dyDescent="0.3">
      <c r="A3613" s="46">
        <v>3609</v>
      </c>
      <c r="B3613" s="47">
        <f t="shared" ca="1" si="56"/>
        <v>0.63943715120570532</v>
      </c>
      <c r="C3613" s="48">
        <f t="array" aca="1" ref="C3613" ca="1">MAX(0,ROUND(Inputs!$B$10*Inputs!$B$11+NORMSINV(B3613)*SQRT(Inputs!$B$10*Inputs!$B$11),0))</f>
        <v>508</v>
      </c>
      <c r="D3613" s="49">
        <f ca="1">C3613*Inputs!$B$12</f>
        <v>60960000</v>
      </c>
    </row>
    <row r="3614" spans="1:4" ht="13.5" customHeight="1" x14ac:dyDescent="0.3">
      <c r="A3614" s="50">
        <v>3610</v>
      </c>
      <c r="B3614" s="51">
        <f t="shared" ca="1" si="56"/>
        <v>0.40818498968459327</v>
      </c>
      <c r="C3614" s="48">
        <f t="array" aca="1" ref="C3614" ca="1">MAX(0,ROUND(Inputs!$B$10*Inputs!$B$11+NORMSINV(B3614)*SQRT(Inputs!$B$10*Inputs!$B$11),0))</f>
        <v>495</v>
      </c>
      <c r="D3614" s="52">
        <f ca="1">C3614*Inputs!$B$12</f>
        <v>59400000</v>
      </c>
    </row>
    <row r="3615" spans="1:4" ht="13.5" customHeight="1" x14ac:dyDescent="0.3">
      <c r="A3615" s="46">
        <v>3611</v>
      </c>
      <c r="B3615" s="47">
        <f t="shared" ca="1" si="56"/>
        <v>0.36000909160673156</v>
      </c>
      <c r="C3615" s="48">
        <f t="array" aca="1" ref="C3615" ca="1">MAX(0,ROUND(Inputs!$B$10*Inputs!$B$11+NORMSINV(B3615)*SQRT(Inputs!$B$10*Inputs!$B$11),0))</f>
        <v>492</v>
      </c>
      <c r="D3615" s="49">
        <f ca="1">C3615*Inputs!$B$12</f>
        <v>59040000</v>
      </c>
    </row>
    <row r="3616" spans="1:4" ht="13.5" customHeight="1" x14ac:dyDescent="0.3">
      <c r="A3616" s="50">
        <v>3612</v>
      </c>
      <c r="B3616" s="51">
        <f t="shared" ca="1" si="56"/>
        <v>0.43555725634459574</v>
      </c>
      <c r="C3616" s="48">
        <f t="array" aca="1" ref="C3616" ca="1">MAX(0,ROUND(Inputs!$B$10*Inputs!$B$11+NORMSINV(B3616)*SQRT(Inputs!$B$10*Inputs!$B$11),0))</f>
        <v>496</v>
      </c>
      <c r="D3616" s="52">
        <f ca="1">C3616*Inputs!$B$12</f>
        <v>59520000</v>
      </c>
    </row>
    <row r="3617" spans="1:4" ht="13.5" customHeight="1" x14ac:dyDescent="0.3">
      <c r="A3617" s="46">
        <v>3613</v>
      </c>
      <c r="B3617" s="47">
        <f t="shared" ca="1" si="56"/>
        <v>0.54965388524290404</v>
      </c>
      <c r="C3617" s="48">
        <f t="array" aca="1" ref="C3617" ca="1">MAX(0,ROUND(Inputs!$B$10*Inputs!$B$11+NORMSINV(B3617)*SQRT(Inputs!$B$10*Inputs!$B$11),0))</f>
        <v>503</v>
      </c>
      <c r="D3617" s="49">
        <f ca="1">C3617*Inputs!$B$12</f>
        <v>60360000</v>
      </c>
    </row>
    <row r="3618" spans="1:4" ht="13.5" customHeight="1" x14ac:dyDescent="0.3">
      <c r="A3618" s="50">
        <v>3614</v>
      </c>
      <c r="B3618" s="51">
        <f t="shared" ca="1" si="56"/>
        <v>0.29135700240111373</v>
      </c>
      <c r="C3618" s="48">
        <f t="array" aca="1" ref="C3618" ca="1">MAX(0,ROUND(Inputs!$B$10*Inputs!$B$11+NORMSINV(B3618)*SQRT(Inputs!$B$10*Inputs!$B$11),0))</f>
        <v>488</v>
      </c>
      <c r="D3618" s="52">
        <f ca="1">C3618*Inputs!$B$12</f>
        <v>58560000</v>
      </c>
    </row>
    <row r="3619" spans="1:4" ht="13.5" customHeight="1" x14ac:dyDescent="0.3">
      <c r="A3619" s="46">
        <v>3615</v>
      </c>
      <c r="B3619" s="47">
        <f t="shared" ca="1" si="56"/>
        <v>0.6782129645302033</v>
      </c>
      <c r="C3619" s="48">
        <f t="array" aca="1" ref="C3619" ca="1">MAX(0,ROUND(Inputs!$B$10*Inputs!$B$11+NORMSINV(B3619)*SQRT(Inputs!$B$10*Inputs!$B$11),0))</f>
        <v>510</v>
      </c>
      <c r="D3619" s="49">
        <f ca="1">C3619*Inputs!$B$12</f>
        <v>61200000</v>
      </c>
    </row>
    <row r="3620" spans="1:4" ht="13.5" customHeight="1" x14ac:dyDescent="0.3">
      <c r="A3620" s="50">
        <v>3616</v>
      </c>
      <c r="B3620" s="51">
        <f t="shared" ca="1" si="56"/>
        <v>2.3101785153124554E-2</v>
      </c>
      <c r="C3620" s="48">
        <f t="array" aca="1" ref="C3620" ca="1">MAX(0,ROUND(Inputs!$B$10*Inputs!$B$11+NORMSINV(B3620)*SQRT(Inputs!$B$10*Inputs!$B$11),0))</f>
        <v>455</v>
      </c>
      <c r="D3620" s="52">
        <f ca="1">C3620*Inputs!$B$12</f>
        <v>54600000</v>
      </c>
    </row>
    <row r="3621" spans="1:4" ht="13.5" customHeight="1" x14ac:dyDescent="0.3">
      <c r="A3621" s="46">
        <v>3617</v>
      </c>
      <c r="B3621" s="47">
        <f t="shared" ca="1" si="56"/>
        <v>0.32313597388620896</v>
      </c>
      <c r="C3621" s="48">
        <f t="array" aca="1" ref="C3621" ca="1">MAX(0,ROUND(Inputs!$B$10*Inputs!$B$11+NORMSINV(B3621)*SQRT(Inputs!$B$10*Inputs!$B$11),0))</f>
        <v>490</v>
      </c>
      <c r="D3621" s="49">
        <f ca="1">C3621*Inputs!$B$12</f>
        <v>58800000</v>
      </c>
    </row>
    <row r="3622" spans="1:4" ht="13.5" customHeight="1" x14ac:dyDescent="0.3">
      <c r="A3622" s="50">
        <v>3618</v>
      </c>
      <c r="B3622" s="51">
        <f t="shared" ca="1" si="56"/>
        <v>5.739689175406415E-2</v>
      </c>
      <c r="C3622" s="48">
        <f t="array" aca="1" ref="C3622" ca="1">MAX(0,ROUND(Inputs!$B$10*Inputs!$B$11+NORMSINV(B3622)*SQRT(Inputs!$B$10*Inputs!$B$11),0))</f>
        <v>465</v>
      </c>
      <c r="D3622" s="52">
        <f ca="1">C3622*Inputs!$B$12</f>
        <v>55800000</v>
      </c>
    </row>
    <row r="3623" spans="1:4" ht="13.5" customHeight="1" x14ac:dyDescent="0.3">
      <c r="A3623" s="46">
        <v>3619</v>
      </c>
      <c r="B3623" s="47">
        <f t="shared" ca="1" si="56"/>
        <v>0.75063336833903604</v>
      </c>
      <c r="C3623" s="48">
        <f t="array" aca="1" ref="C3623" ca="1">MAX(0,ROUND(Inputs!$B$10*Inputs!$B$11+NORMSINV(B3623)*SQRT(Inputs!$B$10*Inputs!$B$11),0))</f>
        <v>515</v>
      </c>
      <c r="D3623" s="49">
        <f ca="1">C3623*Inputs!$B$12</f>
        <v>61800000</v>
      </c>
    </row>
    <row r="3624" spans="1:4" ht="13.5" customHeight="1" x14ac:dyDescent="0.3">
      <c r="A3624" s="50">
        <v>3620</v>
      </c>
      <c r="B3624" s="51">
        <f t="shared" ca="1" si="56"/>
        <v>0.64640319248476319</v>
      </c>
      <c r="C3624" s="48">
        <f t="array" aca="1" ref="C3624" ca="1">MAX(0,ROUND(Inputs!$B$10*Inputs!$B$11+NORMSINV(B3624)*SQRT(Inputs!$B$10*Inputs!$B$11),0))</f>
        <v>508</v>
      </c>
      <c r="D3624" s="52">
        <f ca="1">C3624*Inputs!$B$12</f>
        <v>60960000</v>
      </c>
    </row>
    <row r="3625" spans="1:4" ht="13.5" customHeight="1" x14ac:dyDescent="0.3">
      <c r="A3625" s="46">
        <v>3621</v>
      </c>
      <c r="B3625" s="47">
        <f t="shared" ca="1" si="56"/>
        <v>0.20025536307832792</v>
      </c>
      <c r="C3625" s="48">
        <f t="array" aca="1" ref="C3625" ca="1">MAX(0,ROUND(Inputs!$B$10*Inputs!$B$11+NORMSINV(B3625)*SQRT(Inputs!$B$10*Inputs!$B$11),0))</f>
        <v>481</v>
      </c>
      <c r="D3625" s="49">
        <f ca="1">C3625*Inputs!$B$12</f>
        <v>57720000</v>
      </c>
    </row>
    <row r="3626" spans="1:4" ht="13.5" customHeight="1" x14ac:dyDescent="0.3">
      <c r="A3626" s="50">
        <v>3622</v>
      </c>
      <c r="B3626" s="51">
        <f t="shared" ca="1" si="56"/>
        <v>0.74876998056651733</v>
      </c>
      <c r="C3626" s="48">
        <f t="array" aca="1" ref="C3626" ca="1">MAX(0,ROUND(Inputs!$B$10*Inputs!$B$11+NORMSINV(B3626)*SQRT(Inputs!$B$10*Inputs!$B$11),0))</f>
        <v>515</v>
      </c>
      <c r="D3626" s="52">
        <f ca="1">C3626*Inputs!$B$12</f>
        <v>61800000</v>
      </c>
    </row>
    <row r="3627" spans="1:4" ht="13.5" customHeight="1" x14ac:dyDescent="0.3">
      <c r="A3627" s="46">
        <v>3623</v>
      </c>
      <c r="B3627" s="47">
        <f t="shared" ca="1" si="56"/>
        <v>0.27411129026888181</v>
      </c>
      <c r="C3627" s="48">
        <f t="array" aca="1" ref="C3627" ca="1">MAX(0,ROUND(Inputs!$B$10*Inputs!$B$11+NORMSINV(B3627)*SQRT(Inputs!$B$10*Inputs!$B$11),0))</f>
        <v>487</v>
      </c>
      <c r="D3627" s="49">
        <f ca="1">C3627*Inputs!$B$12</f>
        <v>58440000</v>
      </c>
    </row>
    <row r="3628" spans="1:4" ht="13.5" customHeight="1" x14ac:dyDescent="0.3">
      <c r="A3628" s="50">
        <v>3624</v>
      </c>
      <c r="B3628" s="51">
        <f t="shared" ca="1" si="56"/>
        <v>0.35774491629564453</v>
      </c>
      <c r="C3628" s="48">
        <f t="array" aca="1" ref="C3628" ca="1">MAX(0,ROUND(Inputs!$B$10*Inputs!$B$11+NORMSINV(B3628)*SQRT(Inputs!$B$10*Inputs!$B$11),0))</f>
        <v>492</v>
      </c>
      <c r="D3628" s="52">
        <f ca="1">C3628*Inputs!$B$12</f>
        <v>59040000</v>
      </c>
    </row>
    <row r="3629" spans="1:4" ht="13.5" customHeight="1" x14ac:dyDescent="0.3">
      <c r="A3629" s="46">
        <v>3625</v>
      </c>
      <c r="B3629" s="47">
        <f t="shared" ca="1" si="56"/>
        <v>4.8582219919436787E-2</v>
      </c>
      <c r="C3629" s="48">
        <f t="array" aca="1" ref="C3629" ca="1">MAX(0,ROUND(Inputs!$B$10*Inputs!$B$11+NORMSINV(B3629)*SQRT(Inputs!$B$10*Inputs!$B$11),0))</f>
        <v>463</v>
      </c>
      <c r="D3629" s="49">
        <f ca="1">C3629*Inputs!$B$12</f>
        <v>55560000</v>
      </c>
    </row>
    <row r="3630" spans="1:4" ht="13.5" customHeight="1" x14ac:dyDescent="0.3">
      <c r="A3630" s="50">
        <v>3626</v>
      </c>
      <c r="B3630" s="51">
        <f t="shared" ca="1" si="56"/>
        <v>0.48178645987050239</v>
      </c>
      <c r="C3630" s="48">
        <f t="array" aca="1" ref="C3630" ca="1">MAX(0,ROUND(Inputs!$B$10*Inputs!$B$11+NORMSINV(B3630)*SQRT(Inputs!$B$10*Inputs!$B$11),0))</f>
        <v>499</v>
      </c>
      <c r="D3630" s="52">
        <f ca="1">C3630*Inputs!$B$12</f>
        <v>59880000</v>
      </c>
    </row>
    <row r="3631" spans="1:4" ht="13.5" customHeight="1" x14ac:dyDescent="0.3">
      <c r="A3631" s="46">
        <v>3627</v>
      </c>
      <c r="B3631" s="47">
        <f t="shared" ca="1" si="56"/>
        <v>0.29677388455626041</v>
      </c>
      <c r="C3631" s="48">
        <f t="array" aca="1" ref="C3631" ca="1">MAX(0,ROUND(Inputs!$B$10*Inputs!$B$11+NORMSINV(B3631)*SQRT(Inputs!$B$10*Inputs!$B$11),0))</f>
        <v>488</v>
      </c>
      <c r="D3631" s="49">
        <f ca="1">C3631*Inputs!$B$12</f>
        <v>58560000</v>
      </c>
    </row>
    <row r="3632" spans="1:4" ht="13.5" customHeight="1" x14ac:dyDescent="0.3">
      <c r="A3632" s="50">
        <v>3628</v>
      </c>
      <c r="B3632" s="51">
        <f t="shared" ca="1" si="56"/>
        <v>0.30914429471092031</v>
      </c>
      <c r="C3632" s="48">
        <f t="array" aca="1" ref="C3632" ca="1">MAX(0,ROUND(Inputs!$B$10*Inputs!$B$11+NORMSINV(B3632)*SQRT(Inputs!$B$10*Inputs!$B$11),0))</f>
        <v>489</v>
      </c>
      <c r="D3632" s="52">
        <f ca="1">C3632*Inputs!$B$12</f>
        <v>58680000</v>
      </c>
    </row>
    <row r="3633" spans="1:4" ht="13.5" customHeight="1" x14ac:dyDescent="0.3">
      <c r="A3633" s="46">
        <v>3629</v>
      </c>
      <c r="B3633" s="47">
        <f t="shared" ca="1" si="56"/>
        <v>0.83078599889837557</v>
      </c>
      <c r="C3633" s="48">
        <f t="array" aca="1" ref="C3633" ca="1">MAX(0,ROUND(Inputs!$B$10*Inputs!$B$11+NORMSINV(B3633)*SQRT(Inputs!$B$10*Inputs!$B$11),0))</f>
        <v>521</v>
      </c>
      <c r="D3633" s="49">
        <f ca="1">C3633*Inputs!$B$12</f>
        <v>62520000</v>
      </c>
    </row>
    <row r="3634" spans="1:4" ht="13.5" customHeight="1" x14ac:dyDescent="0.3">
      <c r="A3634" s="50">
        <v>3630</v>
      </c>
      <c r="B3634" s="51">
        <f t="shared" ca="1" si="56"/>
        <v>0.45016424177854686</v>
      </c>
      <c r="C3634" s="48">
        <f t="array" aca="1" ref="C3634" ca="1">MAX(0,ROUND(Inputs!$B$10*Inputs!$B$11+NORMSINV(B3634)*SQRT(Inputs!$B$10*Inputs!$B$11),0))</f>
        <v>497</v>
      </c>
      <c r="D3634" s="52">
        <f ca="1">C3634*Inputs!$B$12</f>
        <v>59640000</v>
      </c>
    </row>
    <row r="3635" spans="1:4" ht="13.5" customHeight="1" x14ac:dyDescent="0.3">
      <c r="A3635" s="46">
        <v>3631</v>
      </c>
      <c r="B3635" s="47">
        <f t="shared" ca="1" si="56"/>
        <v>0.51870846645702695</v>
      </c>
      <c r="C3635" s="48">
        <f t="array" aca="1" ref="C3635" ca="1">MAX(0,ROUND(Inputs!$B$10*Inputs!$B$11+NORMSINV(B3635)*SQRT(Inputs!$B$10*Inputs!$B$11),0))</f>
        <v>501</v>
      </c>
      <c r="D3635" s="49">
        <f ca="1">C3635*Inputs!$B$12</f>
        <v>60120000</v>
      </c>
    </row>
    <row r="3636" spans="1:4" ht="13.5" customHeight="1" x14ac:dyDescent="0.3">
      <c r="A3636" s="50">
        <v>3632</v>
      </c>
      <c r="B3636" s="51">
        <f t="shared" ca="1" si="56"/>
        <v>0.72098032695883763</v>
      </c>
      <c r="C3636" s="48">
        <f t="array" aca="1" ref="C3636" ca="1">MAX(0,ROUND(Inputs!$B$10*Inputs!$B$11+NORMSINV(B3636)*SQRT(Inputs!$B$10*Inputs!$B$11),0))</f>
        <v>513</v>
      </c>
      <c r="D3636" s="52">
        <f ca="1">C3636*Inputs!$B$12</f>
        <v>61560000</v>
      </c>
    </row>
    <row r="3637" spans="1:4" ht="13.5" customHeight="1" x14ac:dyDescent="0.3">
      <c r="A3637" s="46">
        <v>3633</v>
      </c>
      <c r="B3637" s="47">
        <f t="shared" ca="1" si="56"/>
        <v>0.12655641922679894</v>
      </c>
      <c r="C3637" s="48">
        <f t="array" aca="1" ref="C3637" ca="1">MAX(0,ROUND(Inputs!$B$10*Inputs!$B$11+NORMSINV(B3637)*SQRT(Inputs!$B$10*Inputs!$B$11),0))</f>
        <v>474</v>
      </c>
      <c r="D3637" s="49">
        <f ca="1">C3637*Inputs!$B$12</f>
        <v>56880000</v>
      </c>
    </row>
    <row r="3638" spans="1:4" ht="13.5" customHeight="1" x14ac:dyDescent="0.3">
      <c r="A3638" s="50">
        <v>3634</v>
      </c>
      <c r="B3638" s="51">
        <f t="shared" ca="1" si="56"/>
        <v>9.6602449461107298E-3</v>
      </c>
      <c r="C3638" s="48">
        <f t="array" aca="1" ref="C3638" ca="1">MAX(0,ROUND(Inputs!$B$10*Inputs!$B$11+NORMSINV(B3638)*SQRT(Inputs!$B$10*Inputs!$B$11),0))</f>
        <v>448</v>
      </c>
      <c r="D3638" s="52">
        <f ca="1">C3638*Inputs!$B$12</f>
        <v>53760000</v>
      </c>
    </row>
    <row r="3639" spans="1:4" ht="13.5" customHeight="1" x14ac:dyDescent="0.3">
      <c r="A3639" s="46">
        <v>3635</v>
      </c>
      <c r="B3639" s="47">
        <f t="shared" ca="1" si="56"/>
        <v>0.88197463973271151</v>
      </c>
      <c r="C3639" s="48">
        <f t="array" aca="1" ref="C3639" ca="1">MAX(0,ROUND(Inputs!$B$10*Inputs!$B$11+NORMSINV(B3639)*SQRT(Inputs!$B$10*Inputs!$B$11),0))</f>
        <v>526</v>
      </c>
      <c r="D3639" s="49">
        <f ca="1">C3639*Inputs!$B$12</f>
        <v>63120000</v>
      </c>
    </row>
    <row r="3640" spans="1:4" ht="13.5" customHeight="1" x14ac:dyDescent="0.3">
      <c r="A3640" s="50">
        <v>3636</v>
      </c>
      <c r="B3640" s="51">
        <f t="shared" ca="1" si="56"/>
        <v>0.22443499689620061</v>
      </c>
      <c r="C3640" s="48">
        <f t="array" aca="1" ref="C3640" ca="1">MAX(0,ROUND(Inputs!$B$10*Inputs!$B$11+NORMSINV(B3640)*SQRT(Inputs!$B$10*Inputs!$B$11),0))</f>
        <v>483</v>
      </c>
      <c r="D3640" s="52">
        <f ca="1">C3640*Inputs!$B$12</f>
        <v>57960000</v>
      </c>
    </row>
    <row r="3641" spans="1:4" ht="13.5" customHeight="1" x14ac:dyDescent="0.3">
      <c r="A3641" s="46">
        <v>3637</v>
      </c>
      <c r="B3641" s="47">
        <f t="shared" ca="1" si="56"/>
        <v>9.3286866051919271E-3</v>
      </c>
      <c r="C3641" s="48">
        <f t="array" aca="1" ref="C3641" ca="1">MAX(0,ROUND(Inputs!$B$10*Inputs!$B$11+NORMSINV(B3641)*SQRT(Inputs!$B$10*Inputs!$B$11),0))</f>
        <v>447</v>
      </c>
      <c r="D3641" s="49">
        <f ca="1">C3641*Inputs!$B$12</f>
        <v>53640000</v>
      </c>
    </row>
    <row r="3642" spans="1:4" ht="13.5" customHeight="1" x14ac:dyDescent="0.3">
      <c r="A3642" s="50">
        <v>3638</v>
      </c>
      <c r="B3642" s="51">
        <f t="shared" ca="1" si="56"/>
        <v>0.25376809949886059</v>
      </c>
      <c r="C3642" s="48">
        <f t="array" aca="1" ref="C3642" ca="1">MAX(0,ROUND(Inputs!$B$10*Inputs!$B$11+NORMSINV(B3642)*SQRT(Inputs!$B$10*Inputs!$B$11),0))</f>
        <v>485</v>
      </c>
      <c r="D3642" s="52">
        <f ca="1">C3642*Inputs!$B$12</f>
        <v>58200000</v>
      </c>
    </row>
    <row r="3643" spans="1:4" ht="13.5" customHeight="1" x14ac:dyDescent="0.3">
      <c r="A3643" s="46">
        <v>3639</v>
      </c>
      <c r="B3643" s="47">
        <f t="shared" ca="1" si="56"/>
        <v>0.8675625460665064</v>
      </c>
      <c r="C3643" s="48">
        <f t="array" aca="1" ref="C3643" ca="1">MAX(0,ROUND(Inputs!$B$10*Inputs!$B$11+NORMSINV(B3643)*SQRT(Inputs!$B$10*Inputs!$B$11),0))</f>
        <v>525</v>
      </c>
      <c r="D3643" s="49">
        <f ca="1">C3643*Inputs!$B$12</f>
        <v>63000000</v>
      </c>
    </row>
    <row r="3644" spans="1:4" ht="13.5" customHeight="1" x14ac:dyDescent="0.3">
      <c r="A3644" s="50">
        <v>3640</v>
      </c>
      <c r="B3644" s="51">
        <f t="shared" ca="1" si="56"/>
        <v>0.41156574832401827</v>
      </c>
      <c r="C3644" s="48">
        <f t="array" aca="1" ref="C3644" ca="1">MAX(0,ROUND(Inputs!$B$10*Inputs!$B$11+NORMSINV(B3644)*SQRT(Inputs!$B$10*Inputs!$B$11),0))</f>
        <v>495</v>
      </c>
      <c r="D3644" s="52">
        <f ca="1">C3644*Inputs!$B$12</f>
        <v>59400000</v>
      </c>
    </row>
    <row r="3645" spans="1:4" ht="13.5" customHeight="1" x14ac:dyDescent="0.3">
      <c r="A3645" s="46">
        <v>3641</v>
      </c>
      <c r="B3645" s="47">
        <f t="shared" ca="1" si="56"/>
        <v>0.16310654360214016</v>
      </c>
      <c r="C3645" s="48">
        <f t="array" aca="1" ref="C3645" ca="1">MAX(0,ROUND(Inputs!$B$10*Inputs!$B$11+NORMSINV(B3645)*SQRT(Inputs!$B$10*Inputs!$B$11),0))</f>
        <v>478</v>
      </c>
      <c r="D3645" s="49">
        <f ca="1">C3645*Inputs!$B$12</f>
        <v>57360000</v>
      </c>
    </row>
    <row r="3646" spans="1:4" ht="13.5" customHeight="1" x14ac:dyDescent="0.3">
      <c r="A3646" s="50">
        <v>3642</v>
      </c>
      <c r="B3646" s="51">
        <f t="shared" ca="1" si="56"/>
        <v>0.7701961188615466</v>
      </c>
      <c r="C3646" s="48">
        <f t="array" aca="1" ref="C3646" ca="1">MAX(0,ROUND(Inputs!$B$10*Inputs!$B$11+NORMSINV(B3646)*SQRT(Inputs!$B$10*Inputs!$B$11),0))</f>
        <v>517</v>
      </c>
      <c r="D3646" s="52">
        <f ca="1">C3646*Inputs!$B$12</f>
        <v>62040000</v>
      </c>
    </row>
    <row r="3647" spans="1:4" ht="13.5" customHeight="1" x14ac:dyDescent="0.3">
      <c r="A3647" s="46">
        <v>3643</v>
      </c>
      <c r="B3647" s="47">
        <f t="shared" ca="1" si="56"/>
        <v>9.1380245901824253E-2</v>
      </c>
      <c r="C3647" s="48">
        <f t="array" aca="1" ref="C3647" ca="1">MAX(0,ROUND(Inputs!$B$10*Inputs!$B$11+NORMSINV(B3647)*SQRT(Inputs!$B$10*Inputs!$B$11),0))</f>
        <v>470</v>
      </c>
      <c r="D3647" s="49">
        <f ca="1">C3647*Inputs!$B$12</f>
        <v>56400000</v>
      </c>
    </row>
    <row r="3648" spans="1:4" ht="13.5" customHeight="1" x14ac:dyDescent="0.3">
      <c r="A3648" s="50">
        <v>3644</v>
      </c>
      <c r="B3648" s="51">
        <f t="shared" ca="1" si="56"/>
        <v>0.88174419985274888</v>
      </c>
      <c r="C3648" s="48">
        <f t="array" aca="1" ref="C3648" ca="1">MAX(0,ROUND(Inputs!$B$10*Inputs!$B$11+NORMSINV(B3648)*SQRT(Inputs!$B$10*Inputs!$B$11),0))</f>
        <v>526</v>
      </c>
      <c r="D3648" s="52">
        <f ca="1">C3648*Inputs!$B$12</f>
        <v>63120000</v>
      </c>
    </row>
    <row r="3649" spans="1:4" ht="13.5" customHeight="1" x14ac:dyDescent="0.3">
      <c r="A3649" s="46">
        <v>3645</v>
      </c>
      <c r="B3649" s="47">
        <f t="shared" ca="1" si="56"/>
        <v>0.67715209216617145</v>
      </c>
      <c r="C3649" s="48">
        <f t="array" aca="1" ref="C3649" ca="1">MAX(0,ROUND(Inputs!$B$10*Inputs!$B$11+NORMSINV(B3649)*SQRT(Inputs!$B$10*Inputs!$B$11),0))</f>
        <v>510</v>
      </c>
      <c r="D3649" s="49">
        <f ca="1">C3649*Inputs!$B$12</f>
        <v>61200000</v>
      </c>
    </row>
    <row r="3650" spans="1:4" ht="13.5" customHeight="1" x14ac:dyDescent="0.3">
      <c r="A3650" s="50">
        <v>3646</v>
      </c>
      <c r="B3650" s="51">
        <f t="shared" ca="1" si="56"/>
        <v>0.79287239313493607</v>
      </c>
      <c r="C3650" s="48">
        <f t="array" aca="1" ref="C3650" ca="1">MAX(0,ROUND(Inputs!$B$10*Inputs!$B$11+NORMSINV(B3650)*SQRT(Inputs!$B$10*Inputs!$B$11),0))</f>
        <v>518</v>
      </c>
      <c r="D3650" s="52">
        <f ca="1">C3650*Inputs!$B$12</f>
        <v>62160000</v>
      </c>
    </row>
    <row r="3651" spans="1:4" ht="13.5" customHeight="1" x14ac:dyDescent="0.3">
      <c r="A3651" s="46">
        <v>3647</v>
      </c>
      <c r="B3651" s="47">
        <f t="shared" ca="1" si="56"/>
        <v>0.73177706763293848</v>
      </c>
      <c r="C3651" s="48">
        <f t="array" aca="1" ref="C3651" ca="1">MAX(0,ROUND(Inputs!$B$10*Inputs!$B$11+NORMSINV(B3651)*SQRT(Inputs!$B$10*Inputs!$B$11),0))</f>
        <v>514</v>
      </c>
      <c r="D3651" s="49">
        <f ca="1">C3651*Inputs!$B$12</f>
        <v>61680000</v>
      </c>
    </row>
    <row r="3652" spans="1:4" ht="13.5" customHeight="1" x14ac:dyDescent="0.3">
      <c r="A3652" s="50">
        <v>3648</v>
      </c>
      <c r="B3652" s="51">
        <f t="shared" ca="1" si="56"/>
        <v>0.42634035931477088</v>
      </c>
      <c r="C3652" s="48">
        <f t="array" aca="1" ref="C3652" ca="1">MAX(0,ROUND(Inputs!$B$10*Inputs!$B$11+NORMSINV(B3652)*SQRT(Inputs!$B$10*Inputs!$B$11),0))</f>
        <v>496</v>
      </c>
      <c r="D3652" s="52">
        <f ca="1">C3652*Inputs!$B$12</f>
        <v>59520000</v>
      </c>
    </row>
    <row r="3653" spans="1:4" ht="13.5" customHeight="1" x14ac:dyDescent="0.3">
      <c r="A3653" s="46">
        <v>3649</v>
      </c>
      <c r="B3653" s="47">
        <f t="shared" ref="B3653:B3716" ca="1" si="57">RAND()</f>
        <v>0.698296104567946</v>
      </c>
      <c r="C3653" s="48">
        <f t="array" aca="1" ref="C3653" ca="1">MAX(0,ROUND(Inputs!$B$10*Inputs!$B$11+NORMSINV(B3653)*SQRT(Inputs!$B$10*Inputs!$B$11),0))</f>
        <v>512</v>
      </c>
      <c r="D3653" s="49">
        <f ca="1">C3653*Inputs!$B$12</f>
        <v>61440000</v>
      </c>
    </row>
    <row r="3654" spans="1:4" ht="13.5" customHeight="1" x14ac:dyDescent="0.3">
      <c r="A3654" s="50">
        <v>3650</v>
      </c>
      <c r="B3654" s="51">
        <f t="shared" ca="1" si="57"/>
        <v>0.65020554640873129</v>
      </c>
      <c r="C3654" s="48">
        <f t="array" aca="1" ref="C3654" ca="1">MAX(0,ROUND(Inputs!$B$10*Inputs!$B$11+NORMSINV(B3654)*SQRT(Inputs!$B$10*Inputs!$B$11),0))</f>
        <v>509</v>
      </c>
      <c r="D3654" s="52">
        <f ca="1">C3654*Inputs!$B$12</f>
        <v>61080000</v>
      </c>
    </row>
    <row r="3655" spans="1:4" ht="13.5" customHeight="1" x14ac:dyDescent="0.3">
      <c r="A3655" s="46">
        <v>3651</v>
      </c>
      <c r="B3655" s="47">
        <f t="shared" ca="1" si="57"/>
        <v>0.57596613236803029</v>
      </c>
      <c r="C3655" s="48">
        <f t="array" aca="1" ref="C3655" ca="1">MAX(0,ROUND(Inputs!$B$10*Inputs!$B$11+NORMSINV(B3655)*SQRT(Inputs!$B$10*Inputs!$B$11),0))</f>
        <v>504</v>
      </c>
      <c r="D3655" s="49">
        <f ca="1">C3655*Inputs!$B$12</f>
        <v>60480000</v>
      </c>
    </row>
    <row r="3656" spans="1:4" ht="13.5" customHeight="1" x14ac:dyDescent="0.3">
      <c r="A3656" s="50">
        <v>3652</v>
      </c>
      <c r="B3656" s="51">
        <f t="shared" ca="1" si="57"/>
        <v>0.20982721452281272</v>
      </c>
      <c r="C3656" s="48">
        <f t="array" aca="1" ref="C3656" ca="1">MAX(0,ROUND(Inputs!$B$10*Inputs!$B$11+NORMSINV(B3656)*SQRT(Inputs!$B$10*Inputs!$B$11),0))</f>
        <v>482</v>
      </c>
      <c r="D3656" s="52">
        <f ca="1">C3656*Inputs!$B$12</f>
        <v>57840000</v>
      </c>
    </row>
    <row r="3657" spans="1:4" ht="13.5" customHeight="1" x14ac:dyDescent="0.3">
      <c r="A3657" s="46">
        <v>3653</v>
      </c>
      <c r="B3657" s="47">
        <f t="shared" ca="1" si="57"/>
        <v>0.73994739430558265</v>
      </c>
      <c r="C3657" s="48">
        <f t="array" aca="1" ref="C3657" ca="1">MAX(0,ROUND(Inputs!$B$10*Inputs!$B$11+NORMSINV(B3657)*SQRT(Inputs!$B$10*Inputs!$B$11),0))</f>
        <v>514</v>
      </c>
      <c r="D3657" s="49">
        <f ca="1">C3657*Inputs!$B$12</f>
        <v>61680000</v>
      </c>
    </row>
    <row r="3658" spans="1:4" ht="13.5" customHeight="1" x14ac:dyDescent="0.3">
      <c r="A3658" s="50">
        <v>3654</v>
      </c>
      <c r="B3658" s="51">
        <f t="shared" ca="1" si="57"/>
        <v>0.56843709305067291</v>
      </c>
      <c r="C3658" s="48">
        <f t="array" aca="1" ref="C3658" ca="1">MAX(0,ROUND(Inputs!$B$10*Inputs!$B$11+NORMSINV(B3658)*SQRT(Inputs!$B$10*Inputs!$B$11),0))</f>
        <v>504</v>
      </c>
      <c r="D3658" s="52">
        <f ca="1">C3658*Inputs!$B$12</f>
        <v>60480000</v>
      </c>
    </row>
    <row r="3659" spans="1:4" ht="13.5" customHeight="1" x14ac:dyDescent="0.3">
      <c r="A3659" s="46">
        <v>3655</v>
      </c>
      <c r="B3659" s="47">
        <f t="shared" ca="1" si="57"/>
        <v>0.76124038896616497</v>
      </c>
      <c r="C3659" s="48">
        <f t="array" aca="1" ref="C3659" ca="1">MAX(0,ROUND(Inputs!$B$10*Inputs!$B$11+NORMSINV(B3659)*SQRT(Inputs!$B$10*Inputs!$B$11),0))</f>
        <v>516</v>
      </c>
      <c r="D3659" s="49">
        <f ca="1">C3659*Inputs!$B$12</f>
        <v>61920000</v>
      </c>
    </row>
    <row r="3660" spans="1:4" ht="13.5" customHeight="1" x14ac:dyDescent="0.3">
      <c r="A3660" s="50">
        <v>3656</v>
      </c>
      <c r="B3660" s="51">
        <f t="shared" ca="1" si="57"/>
        <v>0.9328602418569677</v>
      </c>
      <c r="C3660" s="48">
        <f t="array" aca="1" ref="C3660" ca="1">MAX(0,ROUND(Inputs!$B$10*Inputs!$B$11+NORMSINV(B3660)*SQRT(Inputs!$B$10*Inputs!$B$11),0))</f>
        <v>533</v>
      </c>
      <c r="D3660" s="52">
        <f ca="1">C3660*Inputs!$B$12</f>
        <v>63960000</v>
      </c>
    </row>
    <row r="3661" spans="1:4" ht="13.5" customHeight="1" x14ac:dyDescent="0.3">
      <c r="A3661" s="46">
        <v>3657</v>
      </c>
      <c r="B3661" s="47">
        <f t="shared" ca="1" si="57"/>
        <v>0.45134389708206157</v>
      </c>
      <c r="C3661" s="48">
        <f t="array" aca="1" ref="C3661" ca="1">MAX(0,ROUND(Inputs!$B$10*Inputs!$B$11+NORMSINV(B3661)*SQRT(Inputs!$B$10*Inputs!$B$11),0))</f>
        <v>497</v>
      </c>
      <c r="D3661" s="49">
        <f ca="1">C3661*Inputs!$B$12</f>
        <v>59640000</v>
      </c>
    </row>
    <row r="3662" spans="1:4" ht="13.5" customHeight="1" x14ac:dyDescent="0.3">
      <c r="A3662" s="50">
        <v>3658</v>
      </c>
      <c r="B3662" s="51">
        <f t="shared" ca="1" si="57"/>
        <v>0.42455214263466989</v>
      </c>
      <c r="C3662" s="48">
        <f t="array" aca="1" ref="C3662" ca="1">MAX(0,ROUND(Inputs!$B$10*Inputs!$B$11+NORMSINV(B3662)*SQRT(Inputs!$B$10*Inputs!$B$11),0))</f>
        <v>496</v>
      </c>
      <c r="D3662" s="52">
        <f ca="1">C3662*Inputs!$B$12</f>
        <v>59520000</v>
      </c>
    </row>
    <row r="3663" spans="1:4" ht="13.5" customHeight="1" x14ac:dyDescent="0.3">
      <c r="A3663" s="46">
        <v>3659</v>
      </c>
      <c r="B3663" s="47">
        <f t="shared" ca="1" si="57"/>
        <v>0.74071940631234701</v>
      </c>
      <c r="C3663" s="48">
        <f t="array" aca="1" ref="C3663" ca="1">MAX(0,ROUND(Inputs!$B$10*Inputs!$B$11+NORMSINV(B3663)*SQRT(Inputs!$B$10*Inputs!$B$11),0))</f>
        <v>514</v>
      </c>
      <c r="D3663" s="49">
        <f ca="1">C3663*Inputs!$B$12</f>
        <v>61680000</v>
      </c>
    </row>
    <row r="3664" spans="1:4" ht="13.5" customHeight="1" x14ac:dyDescent="0.3">
      <c r="A3664" s="50">
        <v>3660</v>
      </c>
      <c r="B3664" s="51">
        <f t="shared" ca="1" si="57"/>
        <v>0.20051426270047845</v>
      </c>
      <c r="C3664" s="48">
        <f t="array" aca="1" ref="C3664" ca="1">MAX(0,ROUND(Inputs!$B$10*Inputs!$B$11+NORMSINV(B3664)*SQRT(Inputs!$B$10*Inputs!$B$11),0))</f>
        <v>481</v>
      </c>
      <c r="D3664" s="52">
        <f ca="1">C3664*Inputs!$B$12</f>
        <v>57720000</v>
      </c>
    </row>
    <row r="3665" spans="1:4" ht="13.5" customHeight="1" x14ac:dyDescent="0.3">
      <c r="A3665" s="46">
        <v>3661</v>
      </c>
      <c r="B3665" s="47">
        <f t="shared" ca="1" si="57"/>
        <v>5.096898039775255E-2</v>
      </c>
      <c r="C3665" s="48">
        <f t="array" aca="1" ref="C3665" ca="1">MAX(0,ROUND(Inputs!$B$10*Inputs!$B$11+NORMSINV(B3665)*SQRT(Inputs!$B$10*Inputs!$B$11),0))</f>
        <v>463</v>
      </c>
      <c r="D3665" s="49">
        <f ca="1">C3665*Inputs!$B$12</f>
        <v>55560000</v>
      </c>
    </row>
    <row r="3666" spans="1:4" ht="13.5" customHeight="1" x14ac:dyDescent="0.3">
      <c r="A3666" s="50">
        <v>3662</v>
      </c>
      <c r="B3666" s="51">
        <f t="shared" ca="1" si="57"/>
        <v>0.37772719504928176</v>
      </c>
      <c r="C3666" s="48">
        <f t="array" aca="1" ref="C3666" ca="1">MAX(0,ROUND(Inputs!$B$10*Inputs!$B$11+NORMSINV(B3666)*SQRT(Inputs!$B$10*Inputs!$B$11),0))</f>
        <v>493</v>
      </c>
      <c r="D3666" s="52">
        <f ca="1">C3666*Inputs!$B$12</f>
        <v>59160000</v>
      </c>
    </row>
    <row r="3667" spans="1:4" ht="13.5" customHeight="1" x14ac:dyDescent="0.3">
      <c r="A3667" s="46">
        <v>3663</v>
      </c>
      <c r="B3667" s="47">
        <f t="shared" ca="1" si="57"/>
        <v>0.82242269092288178</v>
      </c>
      <c r="C3667" s="48">
        <f t="array" aca="1" ref="C3667" ca="1">MAX(0,ROUND(Inputs!$B$10*Inputs!$B$11+NORMSINV(B3667)*SQRT(Inputs!$B$10*Inputs!$B$11),0))</f>
        <v>521</v>
      </c>
      <c r="D3667" s="49">
        <f ca="1">C3667*Inputs!$B$12</f>
        <v>62520000</v>
      </c>
    </row>
    <row r="3668" spans="1:4" ht="13.5" customHeight="1" x14ac:dyDescent="0.3">
      <c r="A3668" s="50">
        <v>3664</v>
      </c>
      <c r="B3668" s="51">
        <f t="shared" ca="1" si="57"/>
        <v>0.64943544515133833</v>
      </c>
      <c r="C3668" s="48">
        <f t="array" aca="1" ref="C3668" ca="1">MAX(0,ROUND(Inputs!$B$10*Inputs!$B$11+NORMSINV(B3668)*SQRT(Inputs!$B$10*Inputs!$B$11),0))</f>
        <v>509</v>
      </c>
      <c r="D3668" s="52">
        <f ca="1">C3668*Inputs!$B$12</f>
        <v>61080000</v>
      </c>
    </row>
    <row r="3669" spans="1:4" ht="13.5" customHeight="1" x14ac:dyDescent="0.3">
      <c r="A3669" s="46">
        <v>3665</v>
      </c>
      <c r="B3669" s="47">
        <f t="shared" ca="1" si="57"/>
        <v>0.19706526372779531</v>
      </c>
      <c r="C3669" s="48">
        <f t="array" aca="1" ref="C3669" ca="1">MAX(0,ROUND(Inputs!$B$10*Inputs!$B$11+NORMSINV(B3669)*SQRT(Inputs!$B$10*Inputs!$B$11),0))</f>
        <v>481</v>
      </c>
      <c r="D3669" s="49">
        <f ca="1">C3669*Inputs!$B$12</f>
        <v>57720000</v>
      </c>
    </row>
    <row r="3670" spans="1:4" ht="13.5" customHeight="1" x14ac:dyDescent="0.3">
      <c r="A3670" s="50">
        <v>3666</v>
      </c>
      <c r="B3670" s="51">
        <f t="shared" ca="1" si="57"/>
        <v>0.62746351898968211</v>
      </c>
      <c r="C3670" s="48">
        <f t="array" aca="1" ref="C3670" ca="1">MAX(0,ROUND(Inputs!$B$10*Inputs!$B$11+NORMSINV(B3670)*SQRT(Inputs!$B$10*Inputs!$B$11),0))</f>
        <v>507</v>
      </c>
      <c r="D3670" s="52">
        <f ca="1">C3670*Inputs!$B$12</f>
        <v>60840000</v>
      </c>
    </row>
    <row r="3671" spans="1:4" ht="13.5" customHeight="1" x14ac:dyDescent="0.3">
      <c r="A3671" s="46">
        <v>3667</v>
      </c>
      <c r="B3671" s="47">
        <f t="shared" ca="1" si="57"/>
        <v>0.99724270690334194</v>
      </c>
      <c r="C3671" s="48">
        <f t="array" aca="1" ref="C3671" ca="1">MAX(0,ROUND(Inputs!$B$10*Inputs!$B$11+NORMSINV(B3671)*SQRT(Inputs!$B$10*Inputs!$B$11),0))</f>
        <v>562</v>
      </c>
      <c r="D3671" s="49">
        <f ca="1">C3671*Inputs!$B$12</f>
        <v>67440000</v>
      </c>
    </row>
    <row r="3672" spans="1:4" ht="13.5" customHeight="1" x14ac:dyDescent="0.3">
      <c r="A3672" s="50">
        <v>3668</v>
      </c>
      <c r="B3672" s="51">
        <f t="shared" ca="1" si="57"/>
        <v>0.13039499781155173</v>
      </c>
      <c r="C3672" s="48">
        <f t="array" aca="1" ref="C3672" ca="1">MAX(0,ROUND(Inputs!$B$10*Inputs!$B$11+NORMSINV(B3672)*SQRT(Inputs!$B$10*Inputs!$B$11),0))</f>
        <v>475</v>
      </c>
      <c r="D3672" s="52">
        <f ca="1">C3672*Inputs!$B$12</f>
        <v>57000000</v>
      </c>
    </row>
    <row r="3673" spans="1:4" ht="13.5" customHeight="1" x14ac:dyDescent="0.3">
      <c r="A3673" s="46">
        <v>3669</v>
      </c>
      <c r="B3673" s="47">
        <f t="shared" ca="1" si="57"/>
        <v>0.8312571150415955</v>
      </c>
      <c r="C3673" s="48">
        <f t="array" aca="1" ref="C3673" ca="1">MAX(0,ROUND(Inputs!$B$10*Inputs!$B$11+NORMSINV(B3673)*SQRT(Inputs!$B$10*Inputs!$B$11),0))</f>
        <v>521</v>
      </c>
      <c r="D3673" s="49">
        <f ca="1">C3673*Inputs!$B$12</f>
        <v>62520000</v>
      </c>
    </row>
    <row r="3674" spans="1:4" ht="13.5" customHeight="1" x14ac:dyDescent="0.3">
      <c r="A3674" s="50">
        <v>3670</v>
      </c>
      <c r="B3674" s="51">
        <f t="shared" ca="1" si="57"/>
        <v>0.55186245172936887</v>
      </c>
      <c r="C3674" s="48">
        <f t="array" aca="1" ref="C3674" ca="1">MAX(0,ROUND(Inputs!$B$10*Inputs!$B$11+NORMSINV(B3674)*SQRT(Inputs!$B$10*Inputs!$B$11),0))</f>
        <v>503</v>
      </c>
      <c r="D3674" s="52">
        <f ca="1">C3674*Inputs!$B$12</f>
        <v>60360000</v>
      </c>
    </row>
    <row r="3675" spans="1:4" ht="13.5" customHeight="1" x14ac:dyDescent="0.3">
      <c r="A3675" s="46">
        <v>3671</v>
      </c>
      <c r="B3675" s="47">
        <f t="shared" ca="1" si="57"/>
        <v>0.81002455526622608</v>
      </c>
      <c r="C3675" s="48">
        <f t="array" aca="1" ref="C3675" ca="1">MAX(0,ROUND(Inputs!$B$10*Inputs!$B$11+NORMSINV(B3675)*SQRT(Inputs!$B$10*Inputs!$B$11),0))</f>
        <v>520</v>
      </c>
      <c r="D3675" s="49">
        <f ca="1">C3675*Inputs!$B$12</f>
        <v>62400000</v>
      </c>
    </row>
    <row r="3676" spans="1:4" ht="13.5" customHeight="1" x14ac:dyDescent="0.3">
      <c r="A3676" s="50">
        <v>3672</v>
      </c>
      <c r="B3676" s="51">
        <f t="shared" ca="1" si="57"/>
        <v>0.29955072968439922</v>
      </c>
      <c r="C3676" s="48">
        <f t="array" aca="1" ref="C3676" ca="1">MAX(0,ROUND(Inputs!$B$10*Inputs!$B$11+NORMSINV(B3676)*SQRT(Inputs!$B$10*Inputs!$B$11),0))</f>
        <v>488</v>
      </c>
      <c r="D3676" s="52">
        <f ca="1">C3676*Inputs!$B$12</f>
        <v>58560000</v>
      </c>
    </row>
    <row r="3677" spans="1:4" ht="13.5" customHeight="1" x14ac:dyDescent="0.3">
      <c r="A3677" s="46">
        <v>3673</v>
      </c>
      <c r="B3677" s="47">
        <f t="shared" ca="1" si="57"/>
        <v>0.4092696287918316</v>
      </c>
      <c r="C3677" s="48">
        <f t="array" aca="1" ref="C3677" ca="1">MAX(0,ROUND(Inputs!$B$10*Inputs!$B$11+NORMSINV(B3677)*SQRT(Inputs!$B$10*Inputs!$B$11),0))</f>
        <v>495</v>
      </c>
      <c r="D3677" s="49">
        <f ca="1">C3677*Inputs!$B$12</f>
        <v>59400000</v>
      </c>
    </row>
    <row r="3678" spans="1:4" ht="13.5" customHeight="1" x14ac:dyDescent="0.3">
      <c r="A3678" s="50">
        <v>3674</v>
      </c>
      <c r="B3678" s="51">
        <f t="shared" ca="1" si="57"/>
        <v>0.44657131911353376</v>
      </c>
      <c r="C3678" s="48">
        <f t="array" aca="1" ref="C3678" ca="1">MAX(0,ROUND(Inputs!$B$10*Inputs!$B$11+NORMSINV(B3678)*SQRT(Inputs!$B$10*Inputs!$B$11),0))</f>
        <v>497</v>
      </c>
      <c r="D3678" s="52">
        <f ca="1">C3678*Inputs!$B$12</f>
        <v>59640000</v>
      </c>
    </row>
    <row r="3679" spans="1:4" ht="13.5" customHeight="1" x14ac:dyDescent="0.3">
      <c r="A3679" s="46">
        <v>3675</v>
      </c>
      <c r="B3679" s="47">
        <f t="shared" ca="1" si="57"/>
        <v>0.99536404045617788</v>
      </c>
      <c r="C3679" s="48">
        <f t="array" aca="1" ref="C3679" ca="1">MAX(0,ROUND(Inputs!$B$10*Inputs!$B$11+NORMSINV(B3679)*SQRT(Inputs!$B$10*Inputs!$B$11),0))</f>
        <v>558</v>
      </c>
      <c r="D3679" s="49">
        <f ca="1">C3679*Inputs!$B$12</f>
        <v>66960000</v>
      </c>
    </row>
    <row r="3680" spans="1:4" ht="13.5" customHeight="1" x14ac:dyDescent="0.3">
      <c r="A3680" s="50">
        <v>3676</v>
      </c>
      <c r="B3680" s="51">
        <f t="shared" ca="1" si="57"/>
        <v>0.45397183628218019</v>
      </c>
      <c r="C3680" s="48">
        <f t="array" aca="1" ref="C3680" ca="1">MAX(0,ROUND(Inputs!$B$10*Inputs!$B$11+NORMSINV(B3680)*SQRT(Inputs!$B$10*Inputs!$B$11),0))</f>
        <v>497</v>
      </c>
      <c r="D3680" s="52">
        <f ca="1">C3680*Inputs!$B$12</f>
        <v>59640000</v>
      </c>
    </row>
    <row r="3681" spans="1:4" ht="13.5" customHeight="1" x14ac:dyDescent="0.3">
      <c r="A3681" s="46">
        <v>3677</v>
      </c>
      <c r="B3681" s="47">
        <f t="shared" ca="1" si="57"/>
        <v>0.11508018399660036</v>
      </c>
      <c r="C3681" s="48">
        <f t="array" aca="1" ref="C3681" ca="1">MAX(0,ROUND(Inputs!$B$10*Inputs!$B$11+NORMSINV(B3681)*SQRT(Inputs!$B$10*Inputs!$B$11),0))</f>
        <v>473</v>
      </c>
      <c r="D3681" s="49">
        <f ca="1">C3681*Inputs!$B$12</f>
        <v>56760000</v>
      </c>
    </row>
    <row r="3682" spans="1:4" ht="13.5" customHeight="1" x14ac:dyDescent="0.3">
      <c r="A3682" s="50">
        <v>3678</v>
      </c>
      <c r="B3682" s="51">
        <f t="shared" ca="1" si="57"/>
        <v>0.14613256443105038</v>
      </c>
      <c r="C3682" s="48">
        <f t="array" aca="1" ref="C3682" ca="1">MAX(0,ROUND(Inputs!$B$10*Inputs!$B$11+NORMSINV(B3682)*SQRT(Inputs!$B$10*Inputs!$B$11),0))</f>
        <v>476</v>
      </c>
      <c r="D3682" s="52">
        <f ca="1">C3682*Inputs!$B$12</f>
        <v>57120000</v>
      </c>
    </row>
    <row r="3683" spans="1:4" ht="13.5" customHeight="1" x14ac:dyDescent="0.3">
      <c r="A3683" s="46">
        <v>3679</v>
      </c>
      <c r="B3683" s="47">
        <f t="shared" ca="1" si="57"/>
        <v>0.33433310070946221</v>
      </c>
      <c r="C3683" s="48">
        <f t="array" aca="1" ref="C3683" ca="1">MAX(0,ROUND(Inputs!$B$10*Inputs!$B$11+NORMSINV(B3683)*SQRT(Inputs!$B$10*Inputs!$B$11),0))</f>
        <v>490</v>
      </c>
      <c r="D3683" s="49">
        <f ca="1">C3683*Inputs!$B$12</f>
        <v>58800000</v>
      </c>
    </row>
    <row r="3684" spans="1:4" ht="13.5" customHeight="1" x14ac:dyDescent="0.3">
      <c r="A3684" s="50">
        <v>3680</v>
      </c>
      <c r="B3684" s="51">
        <f t="shared" ca="1" si="57"/>
        <v>0.67013674029348103</v>
      </c>
      <c r="C3684" s="48">
        <f t="array" aca="1" ref="C3684" ca="1">MAX(0,ROUND(Inputs!$B$10*Inputs!$B$11+NORMSINV(B3684)*SQRT(Inputs!$B$10*Inputs!$B$11),0))</f>
        <v>510</v>
      </c>
      <c r="D3684" s="52">
        <f ca="1">C3684*Inputs!$B$12</f>
        <v>61200000</v>
      </c>
    </row>
    <row r="3685" spans="1:4" ht="13.5" customHeight="1" x14ac:dyDescent="0.3">
      <c r="A3685" s="46">
        <v>3681</v>
      </c>
      <c r="B3685" s="47">
        <f t="shared" ca="1" si="57"/>
        <v>0.5315644283985469</v>
      </c>
      <c r="C3685" s="48">
        <f t="array" aca="1" ref="C3685" ca="1">MAX(0,ROUND(Inputs!$B$10*Inputs!$B$11+NORMSINV(B3685)*SQRT(Inputs!$B$10*Inputs!$B$11),0))</f>
        <v>502</v>
      </c>
      <c r="D3685" s="49">
        <f ca="1">C3685*Inputs!$B$12</f>
        <v>60240000</v>
      </c>
    </row>
    <row r="3686" spans="1:4" ht="13.5" customHeight="1" x14ac:dyDescent="0.3">
      <c r="A3686" s="50">
        <v>3682</v>
      </c>
      <c r="B3686" s="51">
        <f t="shared" ca="1" si="57"/>
        <v>0.7645974403439969</v>
      </c>
      <c r="C3686" s="48">
        <f t="array" aca="1" ref="C3686" ca="1">MAX(0,ROUND(Inputs!$B$10*Inputs!$B$11+NORMSINV(B3686)*SQRT(Inputs!$B$10*Inputs!$B$11),0))</f>
        <v>516</v>
      </c>
      <c r="D3686" s="52">
        <f ca="1">C3686*Inputs!$B$12</f>
        <v>61920000</v>
      </c>
    </row>
    <row r="3687" spans="1:4" ht="13.5" customHeight="1" x14ac:dyDescent="0.3">
      <c r="A3687" s="46">
        <v>3683</v>
      </c>
      <c r="B3687" s="47">
        <f t="shared" ca="1" si="57"/>
        <v>0.81471157297335473</v>
      </c>
      <c r="C3687" s="48">
        <f t="array" aca="1" ref="C3687" ca="1">MAX(0,ROUND(Inputs!$B$10*Inputs!$B$11+NORMSINV(B3687)*SQRT(Inputs!$B$10*Inputs!$B$11),0))</f>
        <v>520</v>
      </c>
      <c r="D3687" s="49">
        <f ca="1">C3687*Inputs!$B$12</f>
        <v>62400000</v>
      </c>
    </row>
    <row r="3688" spans="1:4" ht="13.5" customHeight="1" x14ac:dyDescent="0.3">
      <c r="A3688" s="50">
        <v>3684</v>
      </c>
      <c r="B3688" s="51">
        <f t="shared" ca="1" si="57"/>
        <v>1.4461525825677612E-2</v>
      </c>
      <c r="C3688" s="48">
        <f t="array" aca="1" ref="C3688" ca="1">MAX(0,ROUND(Inputs!$B$10*Inputs!$B$11+NORMSINV(B3688)*SQRT(Inputs!$B$10*Inputs!$B$11),0))</f>
        <v>451</v>
      </c>
      <c r="D3688" s="52">
        <f ca="1">C3688*Inputs!$B$12</f>
        <v>54120000</v>
      </c>
    </row>
    <row r="3689" spans="1:4" ht="13.5" customHeight="1" x14ac:dyDescent="0.3">
      <c r="A3689" s="46">
        <v>3685</v>
      </c>
      <c r="B3689" s="47">
        <f t="shared" ca="1" si="57"/>
        <v>0.80768189695729931</v>
      </c>
      <c r="C3689" s="48">
        <f t="array" aca="1" ref="C3689" ca="1">MAX(0,ROUND(Inputs!$B$10*Inputs!$B$11+NORMSINV(B3689)*SQRT(Inputs!$B$10*Inputs!$B$11),0))</f>
        <v>519</v>
      </c>
      <c r="D3689" s="49">
        <f ca="1">C3689*Inputs!$B$12</f>
        <v>62280000</v>
      </c>
    </row>
    <row r="3690" spans="1:4" ht="13.5" customHeight="1" x14ac:dyDescent="0.3">
      <c r="A3690" s="50">
        <v>3686</v>
      </c>
      <c r="B3690" s="51">
        <f t="shared" ca="1" si="57"/>
        <v>0.45421861896364091</v>
      </c>
      <c r="C3690" s="48">
        <f t="array" aca="1" ref="C3690" ca="1">MAX(0,ROUND(Inputs!$B$10*Inputs!$B$11+NORMSINV(B3690)*SQRT(Inputs!$B$10*Inputs!$B$11),0))</f>
        <v>497</v>
      </c>
      <c r="D3690" s="52">
        <f ca="1">C3690*Inputs!$B$12</f>
        <v>59640000</v>
      </c>
    </row>
    <row r="3691" spans="1:4" ht="13.5" customHeight="1" x14ac:dyDescent="0.3">
      <c r="A3691" s="46">
        <v>3687</v>
      </c>
      <c r="B3691" s="47">
        <f t="shared" ca="1" si="57"/>
        <v>0.4289522071643268</v>
      </c>
      <c r="C3691" s="48">
        <f t="array" aca="1" ref="C3691" ca="1">MAX(0,ROUND(Inputs!$B$10*Inputs!$B$11+NORMSINV(B3691)*SQRT(Inputs!$B$10*Inputs!$B$11),0))</f>
        <v>496</v>
      </c>
      <c r="D3691" s="49">
        <f ca="1">C3691*Inputs!$B$12</f>
        <v>59520000</v>
      </c>
    </row>
    <row r="3692" spans="1:4" ht="13.5" customHeight="1" x14ac:dyDescent="0.3">
      <c r="A3692" s="50">
        <v>3688</v>
      </c>
      <c r="B3692" s="51">
        <f t="shared" ca="1" si="57"/>
        <v>3.3482179878286278E-2</v>
      </c>
      <c r="C3692" s="48">
        <f t="array" aca="1" ref="C3692" ca="1">MAX(0,ROUND(Inputs!$B$10*Inputs!$B$11+NORMSINV(B3692)*SQRT(Inputs!$B$10*Inputs!$B$11),0))</f>
        <v>459</v>
      </c>
      <c r="D3692" s="52">
        <f ca="1">C3692*Inputs!$B$12</f>
        <v>55080000</v>
      </c>
    </row>
    <row r="3693" spans="1:4" ht="13.5" customHeight="1" x14ac:dyDescent="0.3">
      <c r="A3693" s="46">
        <v>3689</v>
      </c>
      <c r="B3693" s="47">
        <f t="shared" ca="1" si="57"/>
        <v>0.36272909104269935</v>
      </c>
      <c r="C3693" s="48">
        <f t="array" aca="1" ref="C3693" ca="1">MAX(0,ROUND(Inputs!$B$10*Inputs!$B$11+NORMSINV(B3693)*SQRT(Inputs!$B$10*Inputs!$B$11),0))</f>
        <v>492</v>
      </c>
      <c r="D3693" s="49">
        <f ca="1">C3693*Inputs!$B$12</f>
        <v>59040000</v>
      </c>
    </row>
    <row r="3694" spans="1:4" ht="13.5" customHeight="1" x14ac:dyDescent="0.3">
      <c r="A3694" s="50">
        <v>3690</v>
      </c>
      <c r="B3694" s="51">
        <f t="shared" ca="1" si="57"/>
        <v>0.40865195542224642</v>
      </c>
      <c r="C3694" s="48">
        <f t="array" aca="1" ref="C3694" ca="1">MAX(0,ROUND(Inputs!$B$10*Inputs!$B$11+NORMSINV(B3694)*SQRT(Inputs!$B$10*Inputs!$B$11),0))</f>
        <v>495</v>
      </c>
      <c r="D3694" s="52">
        <f ca="1">C3694*Inputs!$B$12</f>
        <v>59400000</v>
      </c>
    </row>
    <row r="3695" spans="1:4" ht="13.5" customHeight="1" x14ac:dyDescent="0.3">
      <c r="A3695" s="46">
        <v>3691</v>
      </c>
      <c r="B3695" s="47">
        <f t="shared" ca="1" si="57"/>
        <v>0.20540924646274172</v>
      </c>
      <c r="C3695" s="48">
        <f t="array" aca="1" ref="C3695" ca="1">MAX(0,ROUND(Inputs!$B$10*Inputs!$B$11+NORMSINV(B3695)*SQRT(Inputs!$B$10*Inputs!$B$11),0))</f>
        <v>482</v>
      </c>
      <c r="D3695" s="49">
        <f ca="1">C3695*Inputs!$B$12</f>
        <v>57840000</v>
      </c>
    </row>
    <row r="3696" spans="1:4" ht="13.5" customHeight="1" x14ac:dyDescent="0.3">
      <c r="A3696" s="50">
        <v>3692</v>
      </c>
      <c r="B3696" s="51">
        <f t="shared" ca="1" si="57"/>
        <v>4.2434713816445147E-2</v>
      </c>
      <c r="C3696" s="48">
        <f t="array" aca="1" ref="C3696" ca="1">MAX(0,ROUND(Inputs!$B$10*Inputs!$B$11+NORMSINV(B3696)*SQRT(Inputs!$B$10*Inputs!$B$11),0))</f>
        <v>461</v>
      </c>
      <c r="D3696" s="52">
        <f ca="1">C3696*Inputs!$B$12</f>
        <v>55320000</v>
      </c>
    </row>
    <row r="3697" spans="1:4" ht="13.5" customHeight="1" x14ac:dyDescent="0.3">
      <c r="A3697" s="46">
        <v>3693</v>
      </c>
      <c r="B3697" s="47">
        <f t="shared" ca="1" si="57"/>
        <v>0.59931676975310066</v>
      </c>
      <c r="C3697" s="48">
        <f t="array" aca="1" ref="C3697" ca="1">MAX(0,ROUND(Inputs!$B$10*Inputs!$B$11+NORMSINV(B3697)*SQRT(Inputs!$B$10*Inputs!$B$11),0))</f>
        <v>506</v>
      </c>
      <c r="D3697" s="49">
        <f ca="1">C3697*Inputs!$B$12</f>
        <v>60720000</v>
      </c>
    </row>
    <row r="3698" spans="1:4" ht="13.5" customHeight="1" x14ac:dyDescent="0.3">
      <c r="A3698" s="50">
        <v>3694</v>
      </c>
      <c r="B3698" s="51">
        <f t="shared" ca="1" si="57"/>
        <v>0.60928328229682227</v>
      </c>
      <c r="C3698" s="48">
        <f t="array" aca="1" ref="C3698" ca="1">MAX(0,ROUND(Inputs!$B$10*Inputs!$B$11+NORMSINV(B3698)*SQRT(Inputs!$B$10*Inputs!$B$11),0))</f>
        <v>506</v>
      </c>
      <c r="D3698" s="52">
        <f ca="1">C3698*Inputs!$B$12</f>
        <v>60720000</v>
      </c>
    </row>
    <row r="3699" spans="1:4" ht="13.5" customHeight="1" x14ac:dyDescent="0.3">
      <c r="A3699" s="46">
        <v>3695</v>
      </c>
      <c r="B3699" s="47">
        <f t="shared" ca="1" si="57"/>
        <v>0.45774431342259225</v>
      </c>
      <c r="C3699" s="48">
        <f t="array" aca="1" ref="C3699" ca="1">MAX(0,ROUND(Inputs!$B$10*Inputs!$B$11+NORMSINV(B3699)*SQRT(Inputs!$B$10*Inputs!$B$11),0))</f>
        <v>498</v>
      </c>
      <c r="D3699" s="49">
        <f ca="1">C3699*Inputs!$B$12</f>
        <v>59760000</v>
      </c>
    </row>
    <row r="3700" spans="1:4" ht="13.5" customHeight="1" x14ac:dyDescent="0.3">
      <c r="A3700" s="50">
        <v>3696</v>
      </c>
      <c r="B3700" s="51">
        <f t="shared" ca="1" si="57"/>
        <v>0.85872409925471738</v>
      </c>
      <c r="C3700" s="48">
        <f t="array" aca="1" ref="C3700" ca="1">MAX(0,ROUND(Inputs!$B$10*Inputs!$B$11+NORMSINV(B3700)*SQRT(Inputs!$B$10*Inputs!$B$11),0))</f>
        <v>524</v>
      </c>
      <c r="D3700" s="52">
        <f ca="1">C3700*Inputs!$B$12</f>
        <v>62880000</v>
      </c>
    </row>
    <row r="3701" spans="1:4" ht="13.5" customHeight="1" x14ac:dyDescent="0.3">
      <c r="A3701" s="46">
        <v>3697</v>
      </c>
      <c r="B3701" s="47">
        <f t="shared" ca="1" si="57"/>
        <v>0.29380442645973082</v>
      </c>
      <c r="C3701" s="48">
        <f t="array" aca="1" ref="C3701" ca="1">MAX(0,ROUND(Inputs!$B$10*Inputs!$B$11+NORMSINV(B3701)*SQRT(Inputs!$B$10*Inputs!$B$11),0))</f>
        <v>488</v>
      </c>
      <c r="D3701" s="49">
        <f ca="1">C3701*Inputs!$B$12</f>
        <v>58560000</v>
      </c>
    </row>
    <row r="3702" spans="1:4" ht="13.5" customHeight="1" x14ac:dyDescent="0.3">
      <c r="A3702" s="50">
        <v>3698</v>
      </c>
      <c r="B3702" s="51">
        <f t="shared" ca="1" si="57"/>
        <v>0.47776474200591534</v>
      </c>
      <c r="C3702" s="48">
        <f t="array" aca="1" ref="C3702" ca="1">MAX(0,ROUND(Inputs!$B$10*Inputs!$B$11+NORMSINV(B3702)*SQRT(Inputs!$B$10*Inputs!$B$11),0))</f>
        <v>499</v>
      </c>
      <c r="D3702" s="52">
        <f ca="1">C3702*Inputs!$B$12</f>
        <v>59880000</v>
      </c>
    </row>
    <row r="3703" spans="1:4" ht="13.5" customHeight="1" x14ac:dyDescent="0.3">
      <c r="A3703" s="46">
        <v>3699</v>
      </c>
      <c r="B3703" s="47">
        <f t="shared" ca="1" si="57"/>
        <v>0.58760042982263061</v>
      </c>
      <c r="C3703" s="48">
        <f t="array" aca="1" ref="C3703" ca="1">MAX(0,ROUND(Inputs!$B$10*Inputs!$B$11+NORMSINV(B3703)*SQRT(Inputs!$B$10*Inputs!$B$11),0))</f>
        <v>505</v>
      </c>
      <c r="D3703" s="49">
        <f ca="1">C3703*Inputs!$B$12</f>
        <v>60600000</v>
      </c>
    </row>
    <row r="3704" spans="1:4" ht="13.5" customHeight="1" x14ac:dyDescent="0.3">
      <c r="A3704" s="50">
        <v>3700</v>
      </c>
      <c r="B3704" s="51">
        <f t="shared" ca="1" si="57"/>
        <v>0.9634283990346193</v>
      </c>
      <c r="C3704" s="48">
        <f t="array" aca="1" ref="C3704" ca="1">MAX(0,ROUND(Inputs!$B$10*Inputs!$B$11+NORMSINV(B3704)*SQRT(Inputs!$B$10*Inputs!$B$11),0))</f>
        <v>540</v>
      </c>
      <c r="D3704" s="52">
        <f ca="1">C3704*Inputs!$B$12</f>
        <v>64800000</v>
      </c>
    </row>
    <row r="3705" spans="1:4" ht="13.5" customHeight="1" x14ac:dyDescent="0.3">
      <c r="A3705" s="46">
        <v>3701</v>
      </c>
      <c r="B3705" s="47">
        <f t="shared" ca="1" si="57"/>
        <v>0.94737816983613432</v>
      </c>
      <c r="C3705" s="48">
        <f t="array" aca="1" ref="C3705" ca="1">MAX(0,ROUND(Inputs!$B$10*Inputs!$B$11+NORMSINV(B3705)*SQRT(Inputs!$B$10*Inputs!$B$11),0))</f>
        <v>536</v>
      </c>
      <c r="D3705" s="49">
        <f ca="1">C3705*Inputs!$B$12</f>
        <v>64320000</v>
      </c>
    </row>
    <row r="3706" spans="1:4" ht="13.5" customHeight="1" x14ac:dyDescent="0.3">
      <c r="A3706" s="50">
        <v>3702</v>
      </c>
      <c r="B3706" s="51">
        <f t="shared" ca="1" si="57"/>
        <v>0.50538117371284075</v>
      </c>
      <c r="C3706" s="48">
        <f t="array" aca="1" ref="C3706" ca="1">MAX(0,ROUND(Inputs!$B$10*Inputs!$B$11+NORMSINV(B3706)*SQRT(Inputs!$B$10*Inputs!$B$11),0))</f>
        <v>500</v>
      </c>
      <c r="D3706" s="52">
        <f ca="1">C3706*Inputs!$B$12</f>
        <v>60000000</v>
      </c>
    </row>
    <row r="3707" spans="1:4" ht="13.5" customHeight="1" x14ac:dyDescent="0.3">
      <c r="A3707" s="46">
        <v>3703</v>
      </c>
      <c r="B3707" s="47">
        <f t="shared" ca="1" si="57"/>
        <v>0.32340809010214311</v>
      </c>
      <c r="C3707" s="48">
        <f t="array" aca="1" ref="C3707" ca="1">MAX(0,ROUND(Inputs!$B$10*Inputs!$B$11+NORMSINV(B3707)*SQRT(Inputs!$B$10*Inputs!$B$11),0))</f>
        <v>490</v>
      </c>
      <c r="D3707" s="49">
        <f ca="1">C3707*Inputs!$B$12</f>
        <v>58800000</v>
      </c>
    </row>
    <row r="3708" spans="1:4" ht="13.5" customHeight="1" x14ac:dyDescent="0.3">
      <c r="A3708" s="50">
        <v>3704</v>
      </c>
      <c r="B3708" s="51">
        <f t="shared" ca="1" si="57"/>
        <v>0.26175097260584534</v>
      </c>
      <c r="C3708" s="48">
        <f t="array" aca="1" ref="C3708" ca="1">MAX(0,ROUND(Inputs!$B$10*Inputs!$B$11+NORMSINV(B3708)*SQRT(Inputs!$B$10*Inputs!$B$11),0))</f>
        <v>486</v>
      </c>
      <c r="D3708" s="52">
        <f ca="1">C3708*Inputs!$B$12</f>
        <v>58320000</v>
      </c>
    </row>
    <row r="3709" spans="1:4" ht="13.5" customHeight="1" x14ac:dyDescent="0.3">
      <c r="A3709" s="46">
        <v>3705</v>
      </c>
      <c r="B3709" s="47">
        <f t="shared" ca="1" si="57"/>
        <v>0.56453868885734904</v>
      </c>
      <c r="C3709" s="48">
        <f t="array" aca="1" ref="C3709" ca="1">MAX(0,ROUND(Inputs!$B$10*Inputs!$B$11+NORMSINV(B3709)*SQRT(Inputs!$B$10*Inputs!$B$11),0))</f>
        <v>504</v>
      </c>
      <c r="D3709" s="49">
        <f ca="1">C3709*Inputs!$B$12</f>
        <v>60480000</v>
      </c>
    </row>
    <row r="3710" spans="1:4" ht="13.5" customHeight="1" x14ac:dyDescent="0.3">
      <c r="A3710" s="50">
        <v>3706</v>
      </c>
      <c r="B3710" s="51">
        <f t="shared" ca="1" si="57"/>
        <v>0.94422478313583114</v>
      </c>
      <c r="C3710" s="48">
        <f t="array" aca="1" ref="C3710" ca="1">MAX(0,ROUND(Inputs!$B$10*Inputs!$B$11+NORMSINV(B3710)*SQRT(Inputs!$B$10*Inputs!$B$11),0))</f>
        <v>536</v>
      </c>
      <c r="D3710" s="52">
        <f ca="1">C3710*Inputs!$B$12</f>
        <v>64320000</v>
      </c>
    </row>
    <row r="3711" spans="1:4" ht="13.5" customHeight="1" x14ac:dyDescent="0.3">
      <c r="A3711" s="46">
        <v>3707</v>
      </c>
      <c r="B3711" s="47">
        <f t="shared" ca="1" si="57"/>
        <v>0.35430723284174936</v>
      </c>
      <c r="C3711" s="48">
        <f t="array" aca="1" ref="C3711" ca="1">MAX(0,ROUND(Inputs!$B$10*Inputs!$B$11+NORMSINV(B3711)*SQRT(Inputs!$B$10*Inputs!$B$11),0))</f>
        <v>492</v>
      </c>
      <c r="D3711" s="49">
        <f ca="1">C3711*Inputs!$B$12</f>
        <v>59040000</v>
      </c>
    </row>
    <row r="3712" spans="1:4" ht="13.5" customHeight="1" x14ac:dyDescent="0.3">
      <c r="A3712" s="50">
        <v>3708</v>
      </c>
      <c r="B3712" s="51">
        <f t="shared" ca="1" si="57"/>
        <v>0.98242136151897219</v>
      </c>
      <c r="C3712" s="48">
        <f t="array" aca="1" ref="C3712" ca="1">MAX(0,ROUND(Inputs!$B$10*Inputs!$B$11+NORMSINV(B3712)*SQRT(Inputs!$B$10*Inputs!$B$11),0))</f>
        <v>547</v>
      </c>
      <c r="D3712" s="52">
        <f ca="1">C3712*Inputs!$B$12</f>
        <v>65640000</v>
      </c>
    </row>
    <row r="3713" spans="1:4" ht="13.5" customHeight="1" x14ac:dyDescent="0.3">
      <c r="A3713" s="46">
        <v>3709</v>
      </c>
      <c r="B3713" s="47">
        <f t="shared" ca="1" si="57"/>
        <v>0.21371318132696371</v>
      </c>
      <c r="C3713" s="48">
        <f t="array" aca="1" ref="C3713" ca="1">MAX(0,ROUND(Inputs!$B$10*Inputs!$B$11+NORMSINV(B3713)*SQRT(Inputs!$B$10*Inputs!$B$11),0))</f>
        <v>482</v>
      </c>
      <c r="D3713" s="49">
        <f ca="1">C3713*Inputs!$B$12</f>
        <v>57840000</v>
      </c>
    </row>
    <row r="3714" spans="1:4" ht="13.5" customHeight="1" x14ac:dyDescent="0.3">
      <c r="A3714" s="50">
        <v>3710</v>
      </c>
      <c r="B3714" s="51">
        <f t="shared" ca="1" si="57"/>
        <v>0.473314633059565</v>
      </c>
      <c r="C3714" s="48">
        <f t="array" aca="1" ref="C3714" ca="1">MAX(0,ROUND(Inputs!$B$10*Inputs!$B$11+NORMSINV(B3714)*SQRT(Inputs!$B$10*Inputs!$B$11),0))</f>
        <v>499</v>
      </c>
      <c r="D3714" s="52">
        <f ca="1">C3714*Inputs!$B$12</f>
        <v>59880000</v>
      </c>
    </row>
    <row r="3715" spans="1:4" ht="13.5" customHeight="1" x14ac:dyDescent="0.3">
      <c r="A3715" s="46">
        <v>3711</v>
      </c>
      <c r="B3715" s="47">
        <f t="shared" ca="1" si="57"/>
        <v>0.42125000429227966</v>
      </c>
      <c r="C3715" s="48">
        <f t="array" aca="1" ref="C3715" ca="1">MAX(0,ROUND(Inputs!$B$10*Inputs!$B$11+NORMSINV(B3715)*SQRT(Inputs!$B$10*Inputs!$B$11),0))</f>
        <v>496</v>
      </c>
      <c r="D3715" s="49">
        <f ca="1">C3715*Inputs!$B$12</f>
        <v>59520000</v>
      </c>
    </row>
    <row r="3716" spans="1:4" ht="13.5" customHeight="1" x14ac:dyDescent="0.3">
      <c r="A3716" s="50">
        <v>3712</v>
      </c>
      <c r="B3716" s="51">
        <f t="shared" ca="1" si="57"/>
        <v>0.5761001895218848</v>
      </c>
      <c r="C3716" s="48">
        <f t="array" aca="1" ref="C3716" ca="1">MAX(0,ROUND(Inputs!$B$10*Inputs!$B$11+NORMSINV(B3716)*SQRT(Inputs!$B$10*Inputs!$B$11),0))</f>
        <v>504</v>
      </c>
      <c r="D3716" s="52">
        <f ca="1">C3716*Inputs!$B$12</f>
        <v>60480000</v>
      </c>
    </row>
    <row r="3717" spans="1:4" ht="13.5" customHeight="1" x14ac:dyDescent="0.3">
      <c r="A3717" s="46">
        <v>3713</v>
      </c>
      <c r="B3717" s="47">
        <f t="shared" ref="B3717:B3780" ca="1" si="58">RAND()</f>
        <v>0.63707702872861161</v>
      </c>
      <c r="C3717" s="48">
        <f t="array" aca="1" ref="C3717" ca="1">MAX(0,ROUND(Inputs!$B$10*Inputs!$B$11+NORMSINV(B3717)*SQRT(Inputs!$B$10*Inputs!$B$11),0))</f>
        <v>508</v>
      </c>
      <c r="D3717" s="49">
        <f ca="1">C3717*Inputs!$B$12</f>
        <v>60960000</v>
      </c>
    </row>
    <row r="3718" spans="1:4" ht="13.5" customHeight="1" x14ac:dyDescent="0.3">
      <c r="A3718" s="50">
        <v>3714</v>
      </c>
      <c r="B3718" s="51">
        <f t="shared" ca="1" si="58"/>
        <v>0.33093161227256651</v>
      </c>
      <c r="C3718" s="48">
        <f t="array" aca="1" ref="C3718" ca="1">MAX(0,ROUND(Inputs!$B$10*Inputs!$B$11+NORMSINV(B3718)*SQRT(Inputs!$B$10*Inputs!$B$11),0))</f>
        <v>490</v>
      </c>
      <c r="D3718" s="52">
        <f ca="1">C3718*Inputs!$B$12</f>
        <v>58800000</v>
      </c>
    </row>
    <row r="3719" spans="1:4" ht="13.5" customHeight="1" x14ac:dyDescent="0.3">
      <c r="A3719" s="46">
        <v>3715</v>
      </c>
      <c r="B3719" s="47">
        <f t="shared" ca="1" si="58"/>
        <v>0.37834507249827143</v>
      </c>
      <c r="C3719" s="48">
        <f t="array" aca="1" ref="C3719" ca="1">MAX(0,ROUND(Inputs!$B$10*Inputs!$B$11+NORMSINV(B3719)*SQRT(Inputs!$B$10*Inputs!$B$11),0))</f>
        <v>493</v>
      </c>
      <c r="D3719" s="49">
        <f ca="1">C3719*Inputs!$B$12</f>
        <v>59160000</v>
      </c>
    </row>
    <row r="3720" spans="1:4" ht="13.5" customHeight="1" x14ac:dyDescent="0.3">
      <c r="A3720" s="50">
        <v>3716</v>
      </c>
      <c r="B3720" s="51">
        <f t="shared" ca="1" si="58"/>
        <v>0.88363683929973702</v>
      </c>
      <c r="C3720" s="48">
        <f t="array" aca="1" ref="C3720" ca="1">MAX(0,ROUND(Inputs!$B$10*Inputs!$B$11+NORMSINV(B3720)*SQRT(Inputs!$B$10*Inputs!$B$11),0))</f>
        <v>527</v>
      </c>
      <c r="D3720" s="52">
        <f ca="1">C3720*Inputs!$B$12</f>
        <v>63240000</v>
      </c>
    </row>
    <row r="3721" spans="1:4" ht="13.5" customHeight="1" x14ac:dyDescent="0.3">
      <c r="A3721" s="46">
        <v>3717</v>
      </c>
      <c r="B3721" s="47">
        <f t="shared" ca="1" si="58"/>
        <v>0.47411350162834809</v>
      </c>
      <c r="C3721" s="48">
        <f t="array" aca="1" ref="C3721" ca="1">MAX(0,ROUND(Inputs!$B$10*Inputs!$B$11+NORMSINV(B3721)*SQRT(Inputs!$B$10*Inputs!$B$11),0))</f>
        <v>499</v>
      </c>
      <c r="D3721" s="49">
        <f ca="1">C3721*Inputs!$B$12</f>
        <v>59880000</v>
      </c>
    </row>
    <row r="3722" spans="1:4" ht="13.5" customHeight="1" x14ac:dyDescent="0.3">
      <c r="A3722" s="50">
        <v>3718</v>
      </c>
      <c r="B3722" s="51">
        <f t="shared" ca="1" si="58"/>
        <v>0.76570589068445583</v>
      </c>
      <c r="C3722" s="48">
        <f t="array" aca="1" ref="C3722" ca="1">MAX(0,ROUND(Inputs!$B$10*Inputs!$B$11+NORMSINV(B3722)*SQRT(Inputs!$B$10*Inputs!$B$11),0))</f>
        <v>516</v>
      </c>
      <c r="D3722" s="52">
        <f ca="1">C3722*Inputs!$B$12</f>
        <v>61920000</v>
      </c>
    </row>
    <row r="3723" spans="1:4" ht="13.5" customHeight="1" x14ac:dyDescent="0.3">
      <c r="A3723" s="46">
        <v>3719</v>
      </c>
      <c r="B3723" s="47">
        <f t="shared" ca="1" si="58"/>
        <v>0.91342246303413355</v>
      </c>
      <c r="C3723" s="48">
        <f t="array" aca="1" ref="C3723" ca="1">MAX(0,ROUND(Inputs!$B$10*Inputs!$B$11+NORMSINV(B3723)*SQRT(Inputs!$B$10*Inputs!$B$11),0))</f>
        <v>530</v>
      </c>
      <c r="D3723" s="49">
        <f ca="1">C3723*Inputs!$B$12</f>
        <v>63600000</v>
      </c>
    </row>
    <row r="3724" spans="1:4" ht="13.5" customHeight="1" x14ac:dyDescent="0.3">
      <c r="A3724" s="50">
        <v>3720</v>
      </c>
      <c r="B3724" s="51">
        <f t="shared" ca="1" si="58"/>
        <v>0.98384021261428733</v>
      </c>
      <c r="C3724" s="48">
        <f t="array" aca="1" ref="C3724" ca="1">MAX(0,ROUND(Inputs!$B$10*Inputs!$B$11+NORMSINV(B3724)*SQRT(Inputs!$B$10*Inputs!$B$11),0))</f>
        <v>548</v>
      </c>
      <c r="D3724" s="52">
        <f ca="1">C3724*Inputs!$B$12</f>
        <v>65760000</v>
      </c>
    </row>
    <row r="3725" spans="1:4" ht="13.5" customHeight="1" x14ac:dyDescent="0.3">
      <c r="A3725" s="46">
        <v>3721</v>
      </c>
      <c r="B3725" s="47">
        <f t="shared" ca="1" si="58"/>
        <v>0.13863693440141323</v>
      </c>
      <c r="C3725" s="48">
        <f t="array" aca="1" ref="C3725" ca="1">MAX(0,ROUND(Inputs!$B$10*Inputs!$B$11+NORMSINV(B3725)*SQRT(Inputs!$B$10*Inputs!$B$11),0))</f>
        <v>476</v>
      </c>
      <c r="D3725" s="49">
        <f ca="1">C3725*Inputs!$B$12</f>
        <v>57120000</v>
      </c>
    </row>
    <row r="3726" spans="1:4" ht="13.5" customHeight="1" x14ac:dyDescent="0.3">
      <c r="A3726" s="50">
        <v>3722</v>
      </c>
      <c r="B3726" s="51">
        <f t="shared" ca="1" si="58"/>
        <v>0.40609058934248266</v>
      </c>
      <c r="C3726" s="48">
        <f t="array" aca="1" ref="C3726" ca="1">MAX(0,ROUND(Inputs!$B$10*Inputs!$B$11+NORMSINV(B3726)*SQRT(Inputs!$B$10*Inputs!$B$11),0))</f>
        <v>495</v>
      </c>
      <c r="D3726" s="52">
        <f ca="1">C3726*Inputs!$B$12</f>
        <v>59400000</v>
      </c>
    </row>
    <row r="3727" spans="1:4" ht="13.5" customHeight="1" x14ac:dyDescent="0.3">
      <c r="A3727" s="46">
        <v>3723</v>
      </c>
      <c r="B3727" s="47">
        <f t="shared" ca="1" si="58"/>
        <v>0.21279825039254652</v>
      </c>
      <c r="C3727" s="48">
        <f t="array" aca="1" ref="C3727" ca="1">MAX(0,ROUND(Inputs!$B$10*Inputs!$B$11+NORMSINV(B3727)*SQRT(Inputs!$B$10*Inputs!$B$11),0))</f>
        <v>482</v>
      </c>
      <c r="D3727" s="49">
        <f ca="1">C3727*Inputs!$B$12</f>
        <v>57840000</v>
      </c>
    </row>
    <row r="3728" spans="1:4" ht="13.5" customHeight="1" x14ac:dyDescent="0.3">
      <c r="A3728" s="50">
        <v>3724</v>
      </c>
      <c r="B3728" s="51">
        <f t="shared" ca="1" si="58"/>
        <v>0.58759675799370181</v>
      </c>
      <c r="C3728" s="48">
        <f t="array" aca="1" ref="C3728" ca="1">MAX(0,ROUND(Inputs!$B$10*Inputs!$B$11+NORMSINV(B3728)*SQRT(Inputs!$B$10*Inputs!$B$11),0))</f>
        <v>505</v>
      </c>
      <c r="D3728" s="52">
        <f ca="1">C3728*Inputs!$B$12</f>
        <v>60600000</v>
      </c>
    </row>
    <row r="3729" spans="1:4" ht="13.5" customHeight="1" x14ac:dyDescent="0.3">
      <c r="A3729" s="46">
        <v>3725</v>
      </c>
      <c r="B3729" s="47">
        <f t="shared" ca="1" si="58"/>
        <v>0.27724484472792088</v>
      </c>
      <c r="C3729" s="48">
        <f t="array" aca="1" ref="C3729" ca="1">MAX(0,ROUND(Inputs!$B$10*Inputs!$B$11+NORMSINV(B3729)*SQRT(Inputs!$B$10*Inputs!$B$11),0))</f>
        <v>487</v>
      </c>
      <c r="D3729" s="49">
        <f ca="1">C3729*Inputs!$B$12</f>
        <v>58440000</v>
      </c>
    </row>
    <row r="3730" spans="1:4" ht="13.5" customHeight="1" x14ac:dyDescent="0.3">
      <c r="A3730" s="50">
        <v>3726</v>
      </c>
      <c r="B3730" s="51">
        <f t="shared" ca="1" si="58"/>
        <v>0.39360916039152749</v>
      </c>
      <c r="C3730" s="48">
        <f t="array" aca="1" ref="C3730" ca="1">MAX(0,ROUND(Inputs!$B$10*Inputs!$B$11+NORMSINV(B3730)*SQRT(Inputs!$B$10*Inputs!$B$11),0))</f>
        <v>494</v>
      </c>
      <c r="D3730" s="52">
        <f ca="1">C3730*Inputs!$B$12</f>
        <v>59280000</v>
      </c>
    </row>
    <row r="3731" spans="1:4" ht="13.5" customHeight="1" x14ac:dyDescent="0.3">
      <c r="A3731" s="46">
        <v>3727</v>
      </c>
      <c r="B3731" s="47">
        <f t="shared" ca="1" si="58"/>
        <v>0.63699152826890748</v>
      </c>
      <c r="C3731" s="48">
        <f t="array" aca="1" ref="C3731" ca="1">MAX(0,ROUND(Inputs!$B$10*Inputs!$B$11+NORMSINV(B3731)*SQRT(Inputs!$B$10*Inputs!$B$11),0))</f>
        <v>508</v>
      </c>
      <c r="D3731" s="49">
        <f ca="1">C3731*Inputs!$B$12</f>
        <v>60960000</v>
      </c>
    </row>
    <row r="3732" spans="1:4" ht="13.5" customHeight="1" x14ac:dyDescent="0.3">
      <c r="A3732" s="50">
        <v>3728</v>
      </c>
      <c r="B3732" s="51">
        <f t="shared" ca="1" si="58"/>
        <v>3.1555586774017486E-2</v>
      </c>
      <c r="C3732" s="48">
        <f t="array" aca="1" ref="C3732" ca="1">MAX(0,ROUND(Inputs!$B$10*Inputs!$B$11+NORMSINV(B3732)*SQRT(Inputs!$B$10*Inputs!$B$11),0))</f>
        <v>458</v>
      </c>
      <c r="D3732" s="52">
        <f ca="1">C3732*Inputs!$B$12</f>
        <v>54960000</v>
      </c>
    </row>
    <row r="3733" spans="1:4" ht="13.5" customHeight="1" x14ac:dyDescent="0.3">
      <c r="A3733" s="46">
        <v>3729</v>
      </c>
      <c r="B3733" s="47">
        <f t="shared" ca="1" si="58"/>
        <v>0.37926827878375402</v>
      </c>
      <c r="C3733" s="48">
        <f t="array" aca="1" ref="C3733" ca="1">MAX(0,ROUND(Inputs!$B$10*Inputs!$B$11+NORMSINV(B3733)*SQRT(Inputs!$B$10*Inputs!$B$11),0))</f>
        <v>493</v>
      </c>
      <c r="D3733" s="49">
        <f ca="1">C3733*Inputs!$B$12</f>
        <v>59160000</v>
      </c>
    </row>
    <row r="3734" spans="1:4" ht="13.5" customHeight="1" x14ac:dyDescent="0.3">
      <c r="A3734" s="50">
        <v>3730</v>
      </c>
      <c r="B3734" s="51">
        <f t="shared" ca="1" si="58"/>
        <v>4.3933605089590988E-2</v>
      </c>
      <c r="C3734" s="48">
        <f t="array" aca="1" ref="C3734" ca="1">MAX(0,ROUND(Inputs!$B$10*Inputs!$B$11+NORMSINV(B3734)*SQRT(Inputs!$B$10*Inputs!$B$11),0))</f>
        <v>462</v>
      </c>
      <c r="D3734" s="52">
        <f ca="1">C3734*Inputs!$B$12</f>
        <v>55440000</v>
      </c>
    </row>
    <row r="3735" spans="1:4" ht="13.5" customHeight="1" x14ac:dyDescent="0.3">
      <c r="A3735" s="46">
        <v>3731</v>
      </c>
      <c r="B3735" s="47">
        <f t="shared" ca="1" si="58"/>
        <v>0.36041326204676638</v>
      </c>
      <c r="C3735" s="48">
        <f t="array" aca="1" ref="C3735" ca="1">MAX(0,ROUND(Inputs!$B$10*Inputs!$B$11+NORMSINV(B3735)*SQRT(Inputs!$B$10*Inputs!$B$11),0))</f>
        <v>492</v>
      </c>
      <c r="D3735" s="49">
        <f ca="1">C3735*Inputs!$B$12</f>
        <v>59040000</v>
      </c>
    </row>
    <row r="3736" spans="1:4" ht="13.5" customHeight="1" x14ac:dyDescent="0.3">
      <c r="A3736" s="50">
        <v>3732</v>
      </c>
      <c r="B3736" s="51">
        <f t="shared" ca="1" si="58"/>
        <v>0.45027153028391875</v>
      </c>
      <c r="C3736" s="48">
        <f t="array" aca="1" ref="C3736" ca="1">MAX(0,ROUND(Inputs!$B$10*Inputs!$B$11+NORMSINV(B3736)*SQRT(Inputs!$B$10*Inputs!$B$11),0))</f>
        <v>497</v>
      </c>
      <c r="D3736" s="52">
        <f ca="1">C3736*Inputs!$B$12</f>
        <v>59640000</v>
      </c>
    </row>
    <row r="3737" spans="1:4" ht="13.5" customHeight="1" x14ac:dyDescent="0.3">
      <c r="A3737" s="46">
        <v>3733</v>
      </c>
      <c r="B3737" s="47">
        <f t="shared" ca="1" si="58"/>
        <v>0.94484319642008296</v>
      </c>
      <c r="C3737" s="48">
        <f t="array" aca="1" ref="C3737" ca="1">MAX(0,ROUND(Inputs!$B$10*Inputs!$B$11+NORMSINV(B3737)*SQRT(Inputs!$B$10*Inputs!$B$11),0))</f>
        <v>536</v>
      </c>
      <c r="D3737" s="49">
        <f ca="1">C3737*Inputs!$B$12</f>
        <v>64320000</v>
      </c>
    </row>
    <row r="3738" spans="1:4" ht="13.5" customHeight="1" x14ac:dyDescent="0.3">
      <c r="A3738" s="50">
        <v>3734</v>
      </c>
      <c r="B3738" s="51">
        <f t="shared" ca="1" si="58"/>
        <v>0.18924647519559623</v>
      </c>
      <c r="C3738" s="48">
        <f t="array" aca="1" ref="C3738" ca="1">MAX(0,ROUND(Inputs!$B$10*Inputs!$B$11+NORMSINV(B3738)*SQRT(Inputs!$B$10*Inputs!$B$11),0))</f>
        <v>480</v>
      </c>
      <c r="D3738" s="52">
        <f ca="1">C3738*Inputs!$B$12</f>
        <v>57600000</v>
      </c>
    </row>
    <row r="3739" spans="1:4" ht="13.5" customHeight="1" x14ac:dyDescent="0.3">
      <c r="A3739" s="46">
        <v>3735</v>
      </c>
      <c r="B3739" s="47">
        <f t="shared" ca="1" si="58"/>
        <v>0.72509810024129273</v>
      </c>
      <c r="C3739" s="48">
        <f t="array" aca="1" ref="C3739" ca="1">MAX(0,ROUND(Inputs!$B$10*Inputs!$B$11+NORMSINV(B3739)*SQRT(Inputs!$B$10*Inputs!$B$11),0))</f>
        <v>513</v>
      </c>
      <c r="D3739" s="49">
        <f ca="1">C3739*Inputs!$B$12</f>
        <v>61560000</v>
      </c>
    </row>
    <row r="3740" spans="1:4" ht="13.5" customHeight="1" x14ac:dyDescent="0.3">
      <c r="A3740" s="50">
        <v>3736</v>
      </c>
      <c r="B3740" s="51">
        <f t="shared" ca="1" si="58"/>
        <v>0.11239913047643035</v>
      </c>
      <c r="C3740" s="48">
        <f t="array" aca="1" ref="C3740" ca="1">MAX(0,ROUND(Inputs!$B$10*Inputs!$B$11+NORMSINV(B3740)*SQRT(Inputs!$B$10*Inputs!$B$11),0))</f>
        <v>473</v>
      </c>
      <c r="D3740" s="52">
        <f ca="1">C3740*Inputs!$B$12</f>
        <v>56760000</v>
      </c>
    </row>
    <row r="3741" spans="1:4" ht="13.5" customHeight="1" x14ac:dyDescent="0.3">
      <c r="A3741" s="46">
        <v>3737</v>
      </c>
      <c r="B3741" s="47">
        <f t="shared" ca="1" si="58"/>
        <v>0.43183165195112383</v>
      </c>
      <c r="C3741" s="48">
        <f t="array" aca="1" ref="C3741" ca="1">MAX(0,ROUND(Inputs!$B$10*Inputs!$B$11+NORMSINV(B3741)*SQRT(Inputs!$B$10*Inputs!$B$11),0))</f>
        <v>496</v>
      </c>
      <c r="D3741" s="49">
        <f ca="1">C3741*Inputs!$B$12</f>
        <v>59520000</v>
      </c>
    </row>
    <row r="3742" spans="1:4" ht="13.5" customHeight="1" x14ac:dyDescent="0.3">
      <c r="A3742" s="50">
        <v>3738</v>
      </c>
      <c r="B3742" s="51">
        <f t="shared" ca="1" si="58"/>
        <v>0.39166007363951627</v>
      </c>
      <c r="C3742" s="48">
        <f t="array" aca="1" ref="C3742" ca="1">MAX(0,ROUND(Inputs!$B$10*Inputs!$B$11+NORMSINV(B3742)*SQRT(Inputs!$B$10*Inputs!$B$11),0))</f>
        <v>494</v>
      </c>
      <c r="D3742" s="52">
        <f ca="1">C3742*Inputs!$B$12</f>
        <v>59280000</v>
      </c>
    </row>
    <row r="3743" spans="1:4" ht="13.5" customHeight="1" x14ac:dyDescent="0.3">
      <c r="A3743" s="46">
        <v>3739</v>
      </c>
      <c r="B3743" s="47">
        <f t="shared" ca="1" si="58"/>
        <v>0.9668762081943868</v>
      </c>
      <c r="C3743" s="48">
        <f t="array" aca="1" ref="C3743" ca="1">MAX(0,ROUND(Inputs!$B$10*Inputs!$B$11+NORMSINV(B3743)*SQRT(Inputs!$B$10*Inputs!$B$11),0))</f>
        <v>541</v>
      </c>
      <c r="D3743" s="49">
        <f ca="1">C3743*Inputs!$B$12</f>
        <v>64920000</v>
      </c>
    </row>
    <row r="3744" spans="1:4" ht="13.5" customHeight="1" x14ac:dyDescent="0.3">
      <c r="A3744" s="50">
        <v>3740</v>
      </c>
      <c r="B3744" s="51">
        <f t="shared" ca="1" si="58"/>
        <v>0.37735573937371125</v>
      </c>
      <c r="C3744" s="48">
        <f t="array" aca="1" ref="C3744" ca="1">MAX(0,ROUND(Inputs!$B$10*Inputs!$B$11+NORMSINV(B3744)*SQRT(Inputs!$B$10*Inputs!$B$11),0))</f>
        <v>493</v>
      </c>
      <c r="D3744" s="52">
        <f ca="1">C3744*Inputs!$B$12</f>
        <v>59160000</v>
      </c>
    </row>
    <row r="3745" spans="1:4" ht="13.5" customHeight="1" x14ac:dyDescent="0.3">
      <c r="A3745" s="46">
        <v>3741</v>
      </c>
      <c r="B3745" s="47">
        <f t="shared" ca="1" si="58"/>
        <v>0.79665947025681894</v>
      </c>
      <c r="C3745" s="48">
        <f t="array" aca="1" ref="C3745" ca="1">MAX(0,ROUND(Inputs!$B$10*Inputs!$B$11+NORMSINV(B3745)*SQRT(Inputs!$B$10*Inputs!$B$11),0))</f>
        <v>519</v>
      </c>
      <c r="D3745" s="49">
        <f ca="1">C3745*Inputs!$B$12</f>
        <v>62280000</v>
      </c>
    </row>
    <row r="3746" spans="1:4" ht="13.5" customHeight="1" x14ac:dyDescent="0.3">
      <c r="A3746" s="50">
        <v>3742</v>
      </c>
      <c r="B3746" s="51">
        <f t="shared" ca="1" si="58"/>
        <v>0.22753430049608958</v>
      </c>
      <c r="C3746" s="48">
        <f t="array" aca="1" ref="C3746" ca="1">MAX(0,ROUND(Inputs!$B$10*Inputs!$B$11+NORMSINV(B3746)*SQRT(Inputs!$B$10*Inputs!$B$11),0))</f>
        <v>483</v>
      </c>
      <c r="D3746" s="52">
        <f ca="1">C3746*Inputs!$B$12</f>
        <v>57960000</v>
      </c>
    </row>
    <row r="3747" spans="1:4" ht="13.5" customHeight="1" x14ac:dyDescent="0.3">
      <c r="A3747" s="46">
        <v>3743</v>
      </c>
      <c r="B3747" s="47">
        <f t="shared" ca="1" si="58"/>
        <v>0.80566750455018132</v>
      </c>
      <c r="C3747" s="48">
        <f t="array" aca="1" ref="C3747" ca="1">MAX(0,ROUND(Inputs!$B$10*Inputs!$B$11+NORMSINV(B3747)*SQRT(Inputs!$B$10*Inputs!$B$11),0))</f>
        <v>519</v>
      </c>
      <c r="D3747" s="49">
        <f ca="1">C3747*Inputs!$B$12</f>
        <v>62280000</v>
      </c>
    </row>
    <row r="3748" spans="1:4" ht="13.5" customHeight="1" x14ac:dyDescent="0.3">
      <c r="A3748" s="50">
        <v>3744</v>
      </c>
      <c r="B3748" s="51">
        <f t="shared" ca="1" si="58"/>
        <v>0.13846017797546417</v>
      </c>
      <c r="C3748" s="48">
        <f t="array" aca="1" ref="C3748" ca="1">MAX(0,ROUND(Inputs!$B$10*Inputs!$B$11+NORMSINV(B3748)*SQRT(Inputs!$B$10*Inputs!$B$11),0))</f>
        <v>476</v>
      </c>
      <c r="D3748" s="52">
        <f ca="1">C3748*Inputs!$B$12</f>
        <v>57120000</v>
      </c>
    </row>
    <row r="3749" spans="1:4" ht="13.5" customHeight="1" x14ac:dyDescent="0.3">
      <c r="A3749" s="46">
        <v>3745</v>
      </c>
      <c r="B3749" s="47">
        <f t="shared" ca="1" si="58"/>
        <v>2.5896847344642704E-2</v>
      </c>
      <c r="C3749" s="48">
        <f t="array" aca="1" ref="C3749" ca="1">MAX(0,ROUND(Inputs!$B$10*Inputs!$B$11+NORMSINV(B3749)*SQRT(Inputs!$B$10*Inputs!$B$11),0))</f>
        <v>457</v>
      </c>
      <c r="D3749" s="49">
        <f ca="1">C3749*Inputs!$B$12</f>
        <v>54840000</v>
      </c>
    </row>
    <row r="3750" spans="1:4" ht="13.5" customHeight="1" x14ac:dyDescent="0.3">
      <c r="A3750" s="50">
        <v>3746</v>
      </c>
      <c r="B3750" s="51">
        <f t="shared" ca="1" si="58"/>
        <v>4.9602882730473086E-2</v>
      </c>
      <c r="C3750" s="48">
        <f t="array" aca="1" ref="C3750" ca="1">MAX(0,ROUND(Inputs!$B$10*Inputs!$B$11+NORMSINV(B3750)*SQRT(Inputs!$B$10*Inputs!$B$11),0))</f>
        <v>463</v>
      </c>
      <c r="D3750" s="52">
        <f ca="1">C3750*Inputs!$B$12</f>
        <v>55560000</v>
      </c>
    </row>
    <row r="3751" spans="1:4" ht="13.5" customHeight="1" x14ac:dyDescent="0.3">
      <c r="A3751" s="46">
        <v>3747</v>
      </c>
      <c r="B3751" s="47">
        <f t="shared" ca="1" si="58"/>
        <v>0.4547505139860839</v>
      </c>
      <c r="C3751" s="48">
        <f t="array" aca="1" ref="C3751" ca="1">MAX(0,ROUND(Inputs!$B$10*Inputs!$B$11+NORMSINV(B3751)*SQRT(Inputs!$B$10*Inputs!$B$11),0))</f>
        <v>497</v>
      </c>
      <c r="D3751" s="49">
        <f ca="1">C3751*Inputs!$B$12</f>
        <v>59640000</v>
      </c>
    </row>
    <row r="3752" spans="1:4" ht="13.5" customHeight="1" x14ac:dyDescent="0.3">
      <c r="A3752" s="50">
        <v>3748</v>
      </c>
      <c r="B3752" s="51">
        <f t="shared" ca="1" si="58"/>
        <v>0.21906768001845422</v>
      </c>
      <c r="C3752" s="48">
        <f t="array" aca="1" ref="C3752" ca="1">MAX(0,ROUND(Inputs!$B$10*Inputs!$B$11+NORMSINV(B3752)*SQRT(Inputs!$B$10*Inputs!$B$11),0))</f>
        <v>483</v>
      </c>
      <c r="D3752" s="52">
        <f ca="1">C3752*Inputs!$B$12</f>
        <v>57960000</v>
      </c>
    </row>
    <row r="3753" spans="1:4" ht="13.5" customHeight="1" x14ac:dyDescent="0.3">
      <c r="A3753" s="46">
        <v>3749</v>
      </c>
      <c r="B3753" s="47">
        <f t="shared" ca="1" si="58"/>
        <v>0.64141123712622661</v>
      </c>
      <c r="C3753" s="48">
        <f t="array" aca="1" ref="C3753" ca="1">MAX(0,ROUND(Inputs!$B$10*Inputs!$B$11+NORMSINV(B3753)*SQRT(Inputs!$B$10*Inputs!$B$11),0))</f>
        <v>508</v>
      </c>
      <c r="D3753" s="49">
        <f ca="1">C3753*Inputs!$B$12</f>
        <v>60960000</v>
      </c>
    </row>
    <row r="3754" spans="1:4" ht="13.5" customHeight="1" x14ac:dyDescent="0.3">
      <c r="A3754" s="50">
        <v>3750</v>
      </c>
      <c r="B3754" s="51">
        <f t="shared" ca="1" si="58"/>
        <v>0.94238850181988054</v>
      </c>
      <c r="C3754" s="48">
        <f t="array" aca="1" ref="C3754" ca="1">MAX(0,ROUND(Inputs!$B$10*Inputs!$B$11+NORMSINV(B3754)*SQRT(Inputs!$B$10*Inputs!$B$11),0))</f>
        <v>535</v>
      </c>
      <c r="D3754" s="52">
        <f ca="1">C3754*Inputs!$B$12</f>
        <v>64200000</v>
      </c>
    </row>
    <row r="3755" spans="1:4" ht="13.5" customHeight="1" x14ac:dyDescent="0.3">
      <c r="A3755" s="46">
        <v>3751</v>
      </c>
      <c r="B3755" s="47">
        <f t="shared" ca="1" si="58"/>
        <v>0.45211433117568445</v>
      </c>
      <c r="C3755" s="48">
        <f t="array" aca="1" ref="C3755" ca="1">MAX(0,ROUND(Inputs!$B$10*Inputs!$B$11+NORMSINV(B3755)*SQRT(Inputs!$B$10*Inputs!$B$11),0))</f>
        <v>497</v>
      </c>
      <c r="D3755" s="49">
        <f ca="1">C3755*Inputs!$B$12</f>
        <v>59640000</v>
      </c>
    </row>
    <row r="3756" spans="1:4" ht="13.5" customHeight="1" x14ac:dyDescent="0.3">
      <c r="A3756" s="50">
        <v>3752</v>
      </c>
      <c r="B3756" s="51">
        <f t="shared" ca="1" si="58"/>
        <v>0.54460190526276953</v>
      </c>
      <c r="C3756" s="48">
        <f t="array" aca="1" ref="C3756" ca="1">MAX(0,ROUND(Inputs!$B$10*Inputs!$B$11+NORMSINV(B3756)*SQRT(Inputs!$B$10*Inputs!$B$11),0))</f>
        <v>503</v>
      </c>
      <c r="D3756" s="52">
        <f ca="1">C3756*Inputs!$B$12</f>
        <v>60360000</v>
      </c>
    </row>
    <row r="3757" spans="1:4" ht="13.5" customHeight="1" x14ac:dyDescent="0.3">
      <c r="A3757" s="46">
        <v>3753</v>
      </c>
      <c r="B3757" s="47">
        <f t="shared" ca="1" si="58"/>
        <v>0.35694820761923107</v>
      </c>
      <c r="C3757" s="48">
        <f t="array" aca="1" ref="C3757" ca="1">MAX(0,ROUND(Inputs!$B$10*Inputs!$B$11+NORMSINV(B3757)*SQRT(Inputs!$B$10*Inputs!$B$11),0))</f>
        <v>492</v>
      </c>
      <c r="D3757" s="49">
        <f ca="1">C3757*Inputs!$B$12</f>
        <v>59040000</v>
      </c>
    </row>
    <row r="3758" spans="1:4" ht="13.5" customHeight="1" x14ac:dyDescent="0.3">
      <c r="A3758" s="50">
        <v>3754</v>
      </c>
      <c r="B3758" s="51">
        <f t="shared" ca="1" si="58"/>
        <v>0.98745630312655286</v>
      </c>
      <c r="C3758" s="48">
        <f t="array" aca="1" ref="C3758" ca="1">MAX(0,ROUND(Inputs!$B$10*Inputs!$B$11+NORMSINV(B3758)*SQRT(Inputs!$B$10*Inputs!$B$11),0))</f>
        <v>550</v>
      </c>
      <c r="D3758" s="52">
        <f ca="1">C3758*Inputs!$B$12</f>
        <v>66000000</v>
      </c>
    </row>
    <row r="3759" spans="1:4" ht="13.5" customHeight="1" x14ac:dyDescent="0.3">
      <c r="A3759" s="46">
        <v>3755</v>
      </c>
      <c r="B3759" s="47">
        <f t="shared" ca="1" si="58"/>
        <v>0.93066203752377463</v>
      </c>
      <c r="C3759" s="48">
        <f t="array" aca="1" ref="C3759" ca="1">MAX(0,ROUND(Inputs!$B$10*Inputs!$B$11+NORMSINV(B3759)*SQRT(Inputs!$B$10*Inputs!$B$11),0))</f>
        <v>533</v>
      </c>
      <c r="D3759" s="49">
        <f ca="1">C3759*Inputs!$B$12</f>
        <v>63960000</v>
      </c>
    </row>
    <row r="3760" spans="1:4" ht="13.5" customHeight="1" x14ac:dyDescent="0.3">
      <c r="A3760" s="50">
        <v>3756</v>
      </c>
      <c r="B3760" s="51">
        <f t="shared" ca="1" si="58"/>
        <v>0.44950758701821358</v>
      </c>
      <c r="C3760" s="48">
        <f t="array" aca="1" ref="C3760" ca="1">MAX(0,ROUND(Inputs!$B$10*Inputs!$B$11+NORMSINV(B3760)*SQRT(Inputs!$B$10*Inputs!$B$11),0))</f>
        <v>497</v>
      </c>
      <c r="D3760" s="52">
        <f ca="1">C3760*Inputs!$B$12</f>
        <v>59640000</v>
      </c>
    </row>
    <row r="3761" spans="1:4" ht="13.5" customHeight="1" x14ac:dyDescent="0.3">
      <c r="A3761" s="46">
        <v>3757</v>
      </c>
      <c r="B3761" s="47">
        <f t="shared" ca="1" si="58"/>
        <v>0.84525141276896143</v>
      </c>
      <c r="C3761" s="48">
        <f t="array" aca="1" ref="C3761" ca="1">MAX(0,ROUND(Inputs!$B$10*Inputs!$B$11+NORMSINV(B3761)*SQRT(Inputs!$B$10*Inputs!$B$11),0))</f>
        <v>523</v>
      </c>
      <c r="D3761" s="49">
        <f ca="1">C3761*Inputs!$B$12</f>
        <v>62760000</v>
      </c>
    </row>
    <row r="3762" spans="1:4" ht="13.5" customHeight="1" x14ac:dyDescent="0.3">
      <c r="A3762" s="50">
        <v>3758</v>
      </c>
      <c r="B3762" s="51">
        <f t="shared" ca="1" si="58"/>
        <v>0.95476291286688442</v>
      </c>
      <c r="C3762" s="48">
        <f t="array" aca="1" ref="C3762" ca="1">MAX(0,ROUND(Inputs!$B$10*Inputs!$B$11+NORMSINV(B3762)*SQRT(Inputs!$B$10*Inputs!$B$11),0))</f>
        <v>538</v>
      </c>
      <c r="D3762" s="52">
        <f ca="1">C3762*Inputs!$B$12</f>
        <v>64560000</v>
      </c>
    </row>
    <row r="3763" spans="1:4" ht="13.5" customHeight="1" x14ac:dyDescent="0.3">
      <c r="A3763" s="46">
        <v>3759</v>
      </c>
      <c r="B3763" s="47">
        <f t="shared" ca="1" si="58"/>
        <v>0.87941117466648588</v>
      </c>
      <c r="C3763" s="48">
        <f t="array" aca="1" ref="C3763" ca="1">MAX(0,ROUND(Inputs!$B$10*Inputs!$B$11+NORMSINV(B3763)*SQRT(Inputs!$B$10*Inputs!$B$11),0))</f>
        <v>526</v>
      </c>
      <c r="D3763" s="49">
        <f ca="1">C3763*Inputs!$B$12</f>
        <v>63120000</v>
      </c>
    </row>
    <row r="3764" spans="1:4" ht="13.5" customHeight="1" x14ac:dyDescent="0.3">
      <c r="A3764" s="50">
        <v>3760</v>
      </c>
      <c r="B3764" s="51">
        <f t="shared" ca="1" si="58"/>
        <v>0.24817770980402054</v>
      </c>
      <c r="C3764" s="48">
        <f t="array" aca="1" ref="C3764" ca="1">MAX(0,ROUND(Inputs!$B$10*Inputs!$B$11+NORMSINV(B3764)*SQRT(Inputs!$B$10*Inputs!$B$11),0))</f>
        <v>485</v>
      </c>
      <c r="D3764" s="52">
        <f ca="1">C3764*Inputs!$B$12</f>
        <v>58200000</v>
      </c>
    </row>
    <row r="3765" spans="1:4" ht="13.5" customHeight="1" x14ac:dyDescent="0.3">
      <c r="A3765" s="46">
        <v>3761</v>
      </c>
      <c r="B3765" s="47">
        <f t="shared" ca="1" si="58"/>
        <v>0.73888831084853523</v>
      </c>
      <c r="C3765" s="48">
        <f t="array" aca="1" ref="C3765" ca="1">MAX(0,ROUND(Inputs!$B$10*Inputs!$B$11+NORMSINV(B3765)*SQRT(Inputs!$B$10*Inputs!$B$11),0))</f>
        <v>514</v>
      </c>
      <c r="D3765" s="49">
        <f ca="1">C3765*Inputs!$B$12</f>
        <v>61680000</v>
      </c>
    </row>
    <row r="3766" spans="1:4" ht="13.5" customHeight="1" x14ac:dyDescent="0.3">
      <c r="A3766" s="50">
        <v>3762</v>
      </c>
      <c r="B3766" s="51">
        <f t="shared" ca="1" si="58"/>
        <v>0.69963288193712747</v>
      </c>
      <c r="C3766" s="48">
        <f t="array" aca="1" ref="C3766" ca="1">MAX(0,ROUND(Inputs!$B$10*Inputs!$B$11+NORMSINV(B3766)*SQRT(Inputs!$B$10*Inputs!$B$11),0))</f>
        <v>512</v>
      </c>
      <c r="D3766" s="52">
        <f ca="1">C3766*Inputs!$B$12</f>
        <v>61440000</v>
      </c>
    </row>
    <row r="3767" spans="1:4" ht="13.5" customHeight="1" x14ac:dyDescent="0.3">
      <c r="A3767" s="46">
        <v>3763</v>
      </c>
      <c r="B3767" s="47">
        <f t="shared" ca="1" si="58"/>
        <v>0.34884753682403535</v>
      </c>
      <c r="C3767" s="48">
        <f t="array" aca="1" ref="C3767" ca="1">MAX(0,ROUND(Inputs!$B$10*Inputs!$B$11+NORMSINV(B3767)*SQRT(Inputs!$B$10*Inputs!$B$11),0))</f>
        <v>491</v>
      </c>
      <c r="D3767" s="49">
        <f ca="1">C3767*Inputs!$B$12</f>
        <v>58920000</v>
      </c>
    </row>
    <row r="3768" spans="1:4" ht="13.5" customHeight="1" x14ac:dyDescent="0.3">
      <c r="A3768" s="50">
        <v>3764</v>
      </c>
      <c r="B3768" s="51">
        <f t="shared" ca="1" si="58"/>
        <v>0.92644607496727804</v>
      </c>
      <c r="C3768" s="48">
        <f t="array" aca="1" ref="C3768" ca="1">MAX(0,ROUND(Inputs!$B$10*Inputs!$B$11+NORMSINV(B3768)*SQRT(Inputs!$B$10*Inputs!$B$11),0))</f>
        <v>532</v>
      </c>
      <c r="D3768" s="52">
        <f ca="1">C3768*Inputs!$B$12</f>
        <v>63840000</v>
      </c>
    </row>
    <row r="3769" spans="1:4" ht="13.5" customHeight="1" x14ac:dyDescent="0.3">
      <c r="A3769" s="46">
        <v>3765</v>
      </c>
      <c r="B3769" s="47">
        <f t="shared" ca="1" si="58"/>
        <v>0.50814070402811751</v>
      </c>
      <c r="C3769" s="48">
        <f t="array" aca="1" ref="C3769" ca="1">MAX(0,ROUND(Inputs!$B$10*Inputs!$B$11+NORMSINV(B3769)*SQRT(Inputs!$B$10*Inputs!$B$11),0))</f>
        <v>500</v>
      </c>
      <c r="D3769" s="49">
        <f ca="1">C3769*Inputs!$B$12</f>
        <v>60000000</v>
      </c>
    </row>
    <row r="3770" spans="1:4" ht="13.5" customHeight="1" x14ac:dyDescent="0.3">
      <c r="A3770" s="50">
        <v>3766</v>
      </c>
      <c r="B3770" s="51">
        <f t="shared" ca="1" si="58"/>
        <v>2.3974893064428127E-2</v>
      </c>
      <c r="C3770" s="48">
        <f t="array" aca="1" ref="C3770" ca="1">MAX(0,ROUND(Inputs!$B$10*Inputs!$B$11+NORMSINV(B3770)*SQRT(Inputs!$B$10*Inputs!$B$11),0))</f>
        <v>456</v>
      </c>
      <c r="D3770" s="52">
        <f ca="1">C3770*Inputs!$B$12</f>
        <v>54720000</v>
      </c>
    </row>
    <row r="3771" spans="1:4" ht="13.5" customHeight="1" x14ac:dyDescent="0.3">
      <c r="A3771" s="46">
        <v>3767</v>
      </c>
      <c r="B3771" s="47">
        <f t="shared" ca="1" si="58"/>
        <v>0.92918613370849257</v>
      </c>
      <c r="C3771" s="48">
        <f t="array" aca="1" ref="C3771" ca="1">MAX(0,ROUND(Inputs!$B$10*Inputs!$B$11+NORMSINV(B3771)*SQRT(Inputs!$B$10*Inputs!$B$11),0))</f>
        <v>533</v>
      </c>
      <c r="D3771" s="49">
        <f ca="1">C3771*Inputs!$B$12</f>
        <v>63960000</v>
      </c>
    </row>
    <row r="3772" spans="1:4" ht="13.5" customHeight="1" x14ac:dyDescent="0.3">
      <c r="A3772" s="50">
        <v>3768</v>
      </c>
      <c r="B3772" s="51">
        <f t="shared" ca="1" si="58"/>
        <v>0.4000245369361406</v>
      </c>
      <c r="C3772" s="48">
        <f t="array" aca="1" ref="C3772" ca="1">MAX(0,ROUND(Inputs!$B$10*Inputs!$B$11+NORMSINV(B3772)*SQRT(Inputs!$B$10*Inputs!$B$11),0))</f>
        <v>494</v>
      </c>
      <c r="D3772" s="52">
        <f ca="1">C3772*Inputs!$B$12</f>
        <v>59280000</v>
      </c>
    </row>
    <row r="3773" spans="1:4" ht="13.5" customHeight="1" x14ac:dyDescent="0.3">
      <c r="A3773" s="46">
        <v>3769</v>
      </c>
      <c r="B3773" s="47">
        <f t="shared" ca="1" si="58"/>
        <v>0.60119230703796744</v>
      </c>
      <c r="C3773" s="48">
        <f t="array" aca="1" ref="C3773" ca="1">MAX(0,ROUND(Inputs!$B$10*Inputs!$B$11+NORMSINV(B3773)*SQRT(Inputs!$B$10*Inputs!$B$11),0))</f>
        <v>506</v>
      </c>
      <c r="D3773" s="49">
        <f ca="1">C3773*Inputs!$B$12</f>
        <v>60720000</v>
      </c>
    </row>
    <row r="3774" spans="1:4" ht="13.5" customHeight="1" x14ac:dyDescent="0.3">
      <c r="A3774" s="50">
        <v>3770</v>
      </c>
      <c r="B3774" s="51">
        <f t="shared" ca="1" si="58"/>
        <v>0.51918590749030691</v>
      </c>
      <c r="C3774" s="48">
        <f t="array" aca="1" ref="C3774" ca="1">MAX(0,ROUND(Inputs!$B$10*Inputs!$B$11+NORMSINV(B3774)*SQRT(Inputs!$B$10*Inputs!$B$11),0))</f>
        <v>501</v>
      </c>
      <c r="D3774" s="52">
        <f ca="1">C3774*Inputs!$B$12</f>
        <v>60120000</v>
      </c>
    </row>
    <row r="3775" spans="1:4" ht="13.5" customHeight="1" x14ac:dyDescent="0.3">
      <c r="A3775" s="46">
        <v>3771</v>
      </c>
      <c r="B3775" s="47">
        <f t="shared" ca="1" si="58"/>
        <v>0.29825344411872057</v>
      </c>
      <c r="C3775" s="48">
        <f t="array" aca="1" ref="C3775" ca="1">MAX(0,ROUND(Inputs!$B$10*Inputs!$B$11+NORMSINV(B3775)*SQRT(Inputs!$B$10*Inputs!$B$11),0))</f>
        <v>488</v>
      </c>
      <c r="D3775" s="49">
        <f ca="1">C3775*Inputs!$B$12</f>
        <v>58560000</v>
      </c>
    </row>
    <row r="3776" spans="1:4" ht="13.5" customHeight="1" x14ac:dyDescent="0.3">
      <c r="A3776" s="50">
        <v>3772</v>
      </c>
      <c r="B3776" s="51">
        <f t="shared" ca="1" si="58"/>
        <v>0.48587255782136507</v>
      </c>
      <c r="C3776" s="48">
        <f t="array" aca="1" ref="C3776" ca="1">MAX(0,ROUND(Inputs!$B$10*Inputs!$B$11+NORMSINV(B3776)*SQRT(Inputs!$B$10*Inputs!$B$11),0))</f>
        <v>499</v>
      </c>
      <c r="D3776" s="52">
        <f ca="1">C3776*Inputs!$B$12</f>
        <v>59880000</v>
      </c>
    </row>
    <row r="3777" spans="1:4" ht="13.5" customHeight="1" x14ac:dyDescent="0.3">
      <c r="A3777" s="46">
        <v>3773</v>
      </c>
      <c r="B3777" s="47">
        <f t="shared" ca="1" si="58"/>
        <v>0.132157912860285</v>
      </c>
      <c r="C3777" s="48">
        <f t="array" aca="1" ref="C3777" ca="1">MAX(0,ROUND(Inputs!$B$10*Inputs!$B$11+NORMSINV(B3777)*SQRT(Inputs!$B$10*Inputs!$B$11),0))</f>
        <v>475</v>
      </c>
      <c r="D3777" s="49">
        <f ca="1">C3777*Inputs!$B$12</f>
        <v>57000000</v>
      </c>
    </row>
    <row r="3778" spans="1:4" ht="13.5" customHeight="1" x14ac:dyDescent="0.3">
      <c r="A3778" s="50">
        <v>3774</v>
      </c>
      <c r="B3778" s="51">
        <f t="shared" ca="1" si="58"/>
        <v>0.46894155490578504</v>
      </c>
      <c r="C3778" s="48">
        <f t="array" aca="1" ref="C3778" ca="1">MAX(0,ROUND(Inputs!$B$10*Inputs!$B$11+NORMSINV(B3778)*SQRT(Inputs!$B$10*Inputs!$B$11),0))</f>
        <v>498</v>
      </c>
      <c r="D3778" s="52">
        <f ca="1">C3778*Inputs!$B$12</f>
        <v>59760000</v>
      </c>
    </row>
    <row r="3779" spans="1:4" ht="13.5" customHeight="1" x14ac:dyDescent="0.3">
      <c r="A3779" s="46">
        <v>3775</v>
      </c>
      <c r="B3779" s="47">
        <f t="shared" ca="1" si="58"/>
        <v>0.40783216267277034</v>
      </c>
      <c r="C3779" s="48">
        <f t="array" aca="1" ref="C3779" ca="1">MAX(0,ROUND(Inputs!$B$10*Inputs!$B$11+NORMSINV(B3779)*SQRT(Inputs!$B$10*Inputs!$B$11),0))</f>
        <v>495</v>
      </c>
      <c r="D3779" s="49">
        <f ca="1">C3779*Inputs!$B$12</f>
        <v>59400000</v>
      </c>
    </row>
    <row r="3780" spans="1:4" ht="13.5" customHeight="1" x14ac:dyDescent="0.3">
      <c r="A3780" s="50">
        <v>3776</v>
      </c>
      <c r="B3780" s="51">
        <f t="shared" ca="1" si="58"/>
        <v>0.17373824295650275</v>
      </c>
      <c r="C3780" s="48">
        <f t="array" aca="1" ref="C3780" ca="1">MAX(0,ROUND(Inputs!$B$10*Inputs!$B$11+NORMSINV(B3780)*SQRT(Inputs!$B$10*Inputs!$B$11),0))</f>
        <v>479</v>
      </c>
      <c r="D3780" s="52">
        <f ca="1">C3780*Inputs!$B$12</f>
        <v>57480000</v>
      </c>
    </row>
    <row r="3781" spans="1:4" ht="13.5" customHeight="1" x14ac:dyDescent="0.3">
      <c r="A3781" s="46">
        <v>3777</v>
      </c>
      <c r="B3781" s="47">
        <f t="shared" ref="B3781:B3844" ca="1" si="59">RAND()</f>
        <v>0.89153399714454673</v>
      </c>
      <c r="C3781" s="48">
        <f t="array" aca="1" ref="C3781" ca="1">MAX(0,ROUND(Inputs!$B$10*Inputs!$B$11+NORMSINV(B3781)*SQRT(Inputs!$B$10*Inputs!$B$11),0))</f>
        <v>528</v>
      </c>
      <c r="D3781" s="49">
        <f ca="1">C3781*Inputs!$B$12</f>
        <v>63360000</v>
      </c>
    </row>
    <row r="3782" spans="1:4" ht="13.5" customHeight="1" x14ac:dyDescent="0.3">
      <c r="A3782" s="50">
        <v>3778</v>
      </c>
      <c r="B3782" s="51">
        <f t="shared" ca="1" si="59"/>
        <v>0.52889982615036402</v>
      </c>
      <c r="C3782" s="48">
        <f t="array" aca="1" ref="C3782" ca="1">MAX(0,ROUND(Inputs!$B$10*Inputs!$B$11+NORMSINV(B3782)*SQRT(Inputs!$B$10*Inputs!$B$11),0))</f>
        <v>502</v>
      </c>
      <c r="D3782" s="52">
        <f ca="1">C3782*Inputs!$B$12</f>
        <v>60240000</v>
      </c>
    </row>
    <row r="3783" spans="1:4" ht="13.5" customHeight="1" x14ac:dyDescent="0.3">
      <c r="A3783" s="46">
        <v>3779</v>
      </c>
      <c r="B3783" s="47">
        <f t="shared" ca="1" si="59"/>
        <v>4.9760980857502357E-2</v>
      </c>
      <c r="C3783" s="48">
        <f t="array" aca="1" ref="C3783" ca="1">MAX(0,ROUND(Inputs!$B$10*Inputs!$B$11+NORMSINV(B3783)*SQRT(Inputs!$B$10*Inputs!$B$11),0))</f>
        <v>463</v>
      </c>
      <c r="D3783" s="49">
        <f ca="1">C3783*Inputs!$B$12</f>
        <v>55560000</v>
      </c>
    </row>
    <row r="3784" spans="1:4" ht="13.5" customHeight="1" x14ac:dyDescent="0.3">
      <c r="A3784" s="50">
        <v>3780</v>
      </c>
      <c r="B3784" s="51">
        <f t="shared" ca="1" si="59"/>
        <v>0.17204393248408778</v>
      </c>
      <c r="C3784" s="48">
        <f t="array" aca="1" ref="C3784" ca="1">MAX(0,ROUND(Inputs!$B$10*Inputs!$B$11+NORMSINV(B3784)*SQRT(Inputs!$B$10*Inputs!$B$11),0))</f>
        <v>479</v>
      </c>
      <c r="D3784" s="52">
        <f ca="1">C3784*Inputs!$B$12</f>
        <v>57480000</v>
      </c>
    </row>
    <row r="3785" spans="1:4" ht="13.5" customHeight="1" x14ac:dyDescent="0.3">
      <c r="A3785" s="46">
        <v>3781</v>
      </c>
      <c r="B3785" s="47">
        <f t="shared" ca="1" si="59"/>
        <v>0.78024576186634376</v>
      </c>
      <c r="C3785" s="48">
        <f t="array" aca="1" ref="C3785" ca="1">MAX(0,ROUND(Inputs!$B$10*Inputs!$B$11+NORMSINV(B3785)*SQRT(Inputs!$B$10*Inputs!$B$11),0))</f>
        <v>517</v>
      </c>
      <c r="D3785" s="49">
        <f ca="1">C3785*Inputs!$B$12</f>
        <v>62040000</v>
      </c>
    </row>
    <row r="3786" spans="1:4" ht="13.5" customHeight="1" x14ac:dyDescent="0.3">
      <c r="A3786" s="50">
        <v>3782</v>
      </c>
      <c r="B3786" s="51">
        <f t="shared" ca="1" si="59"/>
        <v>0.48498014655621247</v>
      </c>
      <c r="C3786" s="48">
        <f t="array" aca="1" ref="C3786" ca="1">MAX(0,ROUND(Inputs!$B$10*Inputs!$B$11+NORMSINV(B3786)*SQRT(Inputs!$B$10*Inputs!$B$11),0))</f>
        <v>499</v>
      </c>
      <c r="D3786" s="52">
        <f ca="1">C3786*Inputs!$B$12</f>
        <v>59880000</v>
      </c>
    </row>
    <row r="3787" spans="1:4" ht="13.5" customHeight="1" x14ac:dyDescent="0.3">
      <c r="A3787" s="46">
        <v>3783</v>
      </c>
      <c r="B3787" s="47">
        <f t="shared" ca="1" si="59"/>
        <v>0.77737306422221641</v>
      </c>
      <c r="C3787" s="48">
        <f t="array" aca="1" ref="C3787" ca="1">MAX(0,ROUND(Inputs!$B$10*Inputs!$B$11+NORMSINV(B3787)*SQRT(Inputs!$B$10*Inputs!$B$11),0))</f>
        <v>517</v>
      </c>
      <c r="D3787" s="49">
        <f ca="1">C3787*Inputs!$B$12</f>
        <v>62040000</v>
      </c>
    </row>
    <row r="3788" spans="1:4" ht="13.5" customHeight="1" x14ac:dyDescent="0.3">
      <c r="A3788" s="50">
        <v>3784</v>
      </c>
      <c r="B3788" s="51">
        <f t="shared" ca="1" si="59"/>
        <v>0.13397463853370806</v>
      </c>
      <c r="C3788" s="48">
        <f t="array" aca="1" ref="C3788" ca="1">MAX(0,ROUND(Inputs!$B$10*Inputs!$B$11+NORMSINV(B3788)*SQRT(Inputs!$B$10*Inputs!$B$11),0))</f>
        <v>475</v>
      </c>
      <c r="D3788" s="52">
        <f ca="1">C3788*Inputs!$B$12</f>
        <v>57000000</v>
      </c>
    </row>
    <row r="3789" spans="1:4" ht="13.5" customHeight="1" x14ac:dyDescent="0.3">
      <c r="A3789" s="46">
        <v>3785</v>
      </c>
      <c r="B3789" s="47">
        <f t="shared" ca="1" si="59"/>
        <v>0.6215910286401658</v>
      </c>
      <c r="C3789" s="48">
        <f t="array" aca="1" ref="C3789" ca="1">MAX(0,ROUND(Inputs!$B$10*Inputs!$B$11+NORMSINV(B3789)*SQRT(Inputs!$B$10*Inputs!$B$11),0))</f>
        <v>507</v>
      </c>
      <c r="D3789" s="49">
        <f ca="1">C3789*Inputs!$B$12</f>
        <v>60840000</v>
      </c>
    </row>
    <row r="3790" spans="1:4" ht="13.5" customHeight="1" x14ac:dyDescent="0.3">
      <c r="A3790" s="50">
        <v>3786</v>
      </c>
      <c r="B3790" s="51">
        <f t="shared" ca="1" si="59"/>
        <v>0.9682349728153381</v>
      </c>
      <c r="C3790" s="48">
        <f t="array" aca="1" ref="C3790" ca="1">MAX(0,ROUND(Inputs!$B$10*Inputs!$B$11+NORMSINV(B3790)*SQRT(Inputs!$B$10*Inputs!$B$11),0))</f>
        <v>541</v>
      </c>
      <c r="D3790" s="52">
        <f ca="1">C3790*Inputs!$B$12</f>
        <v>64920000</v>
      </c>
    </row>
    <row r="3791" spans="1:4" ht="13.5" customHeight="1" x14ac:dyDescent="0.3">
      <c r="A3791" s="46">
        <v>3787</v>
      </c>
      <c r="B3791" s="47">
        <f t="shared" ca="1" si="59"/>
        <v>0.92642386767813922</v>
      </c>
      <c r="C3791" s="48">
        <f t="array" aca="1" ref="C3791" ca="1">MAX(0,ROUND(Inputs!$B$10*Inputs!$B$11+NORMSINV(B3791)*SQRT(Inputs!$B$10*Inputs!$B$11),0))</f>
        <v>532</v>
      </c>
      <c r="D3791" s="49">
        <f ca="1">C3791*Inputs!$B$12</f>
        <v>63840000</v>
      </c>
    </row>
    <row r="3792" spans="1:4" ht="13.5" customHeight="1" x14ac:dyDescent="0.3">
      <c r="A3792" s="50">
        <v>3788</v>
      </c>
      <c r="B3792" s="51">
        <f t="shared" ca="1" si="59"/>
        <v>0.97996687053687459</v>
      </c>
      <c r="C3792" s="48">
        <f t="array" aca="1" ref="C3792" ca="1">MAX(0,ROUND(Inputs!$B$10*Inputs!$B$11+NORMSINV(B3792)*SQRT(Inputs!$B$10*Inputs!$B$11),0))</f>
        <v>546</v>
      </c>
      <c r="D3792" s="52">
        <f ca="1">C3792*Inputs!$B$12</f>
        <v>65520000</v>
      </c>
    </row>
    <row r="3793" spans="1:4" ht="13.5" customHeight="1" x14ac:dyDescent="0.3">
      <c r="A3793" s="46">
        <v>3789</v>
      </c>
      <c r="B3793" s="47">
        <f t="shared" ca="1" si="59"/>
        <v>2.9192486036112242E-2</v>
      </c>
      <c r="C3793" s="48">
        <f t="array" aca="1" ref="C3793" ca="1">MAX(0,ROUND(Inputs!$B$10*Inputs!$B$11+NORMSINV(B3793)*SQRT(Inputs!$B$10*Inputs!$B$11),0))</f>
        <v>458</v>
      </c>
      <c r="D3793" s="49">
        <f ca="1">C3793*Inputs!$B$12</f>
        <v>54960000</v>
      </c>
    </row>
    <row r="3794" spans="1:4" ht="13.5" customHeight="1" x14ac:dyDescent="0.3">
      <c r="A3794" s="50">
        <v>3790</v>
      </c>
      <c r="B3794" s="51">
        <f t="shared" ca="1" si="59"/>
        <v>3.6215432336198838E-2</v>
      </c>
      <c r="C3794" s="48">
        <f t="array" aca="1" ref="C3794" ca="1">MAX(0,ROUND(Inputs!$B$10*Inputs!$B$11+NORMSINV(B3794)*SQRT(Inputs!$B$10*Inputs!$B$11),0))</f>
        <v>460</v>
      </c>
      <c r="D3794" s="52">
        <f ca="1">C3794*Inputs!$B$12</f>
        <v>55200000</v>
      </c>
    </row>
    <row r="3795" spans="1:4" ht="13.5" customHeight="1" x14ac:dyDescent="0.3">
      <c r="A3795" s="46">
        <v>3791</v>
      </c>
      <c r="B3795" s="47">
        <f t="shared" ca="1" si="59"/>
        <v>0.66349718640984123</v>
      </c>
      <c r="C3795" s="48">
        <f t="array" aca="1" ref="C3795" ca="1">MAX(0,ROUND(Inputs!$B$10*Inputs!$B$11+NORMSINV(B3795)*SQRT(Inputs!$B$10*Inputs!$B$11),0))</f>
        <v>509</v>
      </c>
      <c r="D3795" s="49">
        <f ca="1">C3795*Inputs!$B$12</f>
        <v>61080000</v>
      </c>
    </row>
    <row r="3796" spans="1:4" ht="13.5" customHeight="1" x14ac:dyDescent="0.3">
      <c r="A3796" s="50">
        <v>3792</v>
      </c>
      <c r="B3796" s="51">
        <f t="shared" ca="1" si="59"/>
        <v>0.70687865592600974</v>
      </c>
      <c r="C3796" s="48">
        <f t="array" aca="1" ref="C3796" ca="1">MAX(0,ROUND(Inputs!$B$10*Inputs!$B$11+NORMSINV(B3796)*SQRT(Inputs!$B$10*Inputs!$B$11),0))</f>
        <v>512</v>
      </c>
      <c r="D3796" s="52">
        <f ca="1">C3796*Inputs!$B$12</f>
        <v>61440000</v>
      </c>
    </row>
    <row r="3797" spans="1:4" ht="13.5" customHeight="1" x14ac:dyDescent="0.3">
      <c r="A3797" s="46">
        <v>3793</v>
      </c>
      <c r="B3797" s="47">
        <f t="shared" ca="1" si="59"/>
        <v>0.61408130989001009</v>
      </c>
      <c r="C3797" s="48">
        <f t="array" aca="1" ref="C3797" ca="1">MAX(0,ROUND(Inputs!$B$10*Inputs!$B$11+NORMSINV(B3797)*SQRT(Inputs!$B$10*Inputs!$B$11),0))</f>
        <v>506</v>
      </c>
      <c r="D3797" s="49">
        <f ca="1">C3797*Inputs!$B$12</f>
        <v>60720000</v>
      </c>
    </row>
    <row r="3798" spans="1:4" ht="13.5" customHeight="1" x14ac:dyDescent="0.3">
      <c r="A3798" s="50">
        <v>3794</v>
      </c>
      <c r="B3798" s="51">
        <f t="shared" ca="1" si="59"/>
        <v>0.76041010548113686</v>
      </c>
      <c r="C3798" s="48">
        <f t="array" aca="1" ref="C3798" ca="1">MAX(0,ROUND(Inputs!$B$10*Inputs!$B$11+NORMSINV(B3798)*SQRT(Inputs!$B$10*Inputs!$B$11),0))</f>
        <v>516</v>
      </c>
      <c r="D3798" s="52">
        <f ca="1">C3798*Inputs!$B$12</f>
        <v>61920000</v>
      </c>
    </row>
    <row r="3799" spans="1:4" ht="13.5" customHeight="1" x14ac:dyDescent="0.3">
      <c r="A3799" s="46">
        <v>3795</v>
      </c>
      <c r="B3799" s="47">
        <f t="shared" ca="1" si="59"/>
        <v>0.42484035853129021</v>
      </c>
      <c r="C3799" s="48">
        <f t="array" aca="1" ref="C3799" ca="1">MAX(0,ROUND(Inputs!$B$10*Inputs!$B$11+NORMSINV(B3799)*SQRT(Inputs!$B$10*Inputs!$B$11),0))</f>
        <v>496</v>
      </c>
      <c r="D3799" s="49">
        <f ca="1">C3799*Inputs!$B$12</f>
        <v>59520000</v>
      </c>
    </row>
    <row r="3800" spans="1:4" ht="13.5" customHeight="1" x14ac:dyDescent="0.3">
      <c r="A3800" s="50">
        <v>3796</v>
      </c>
      <c r="B3800" s="51">
        <f t="shared" ca="1" si="59"/>
        <v>0.80203092147153532</v>
      </c>
      <c r="C3800" s="48">
        <f t="array" aca="1" ref="C3800" ca="1">MAX(0,ROUND(Inputs!$B$10*Inputs!$B$11+NORMSINV(B3800)*SQRT(Inputs!$B$10*Inputs!$B$11),0))</f>
        <v>519</v>
      </c>
      <c r="D3800" s="52">
        <f ca="1">C3800*Inputs!$B$12</f>
        <v>62280000</v>
      </c>
    </row>
    <row r="3801" spans="1:4" ht="13.5" customHeight="1" x14ac:dyDescent="0.3">
      <c r="A3801" s="46">
        <v>3797</v>
      </c>
      <c r="B3801" s="47">
        <f t="shared" ca="1" si="59"/>
        <v>0.56243740357111216</v>
      </c>
      <c r="C3801" s="48">
        <f t="array" aca="1" ref="C3801" ca="1">MAX(0,ROUND(Inputs!$B$10*Inputs!$B$11+NORMSINV(B3801)*SQRT(Inputs!$B$10*Inputs!$B$11),0))</f>
        <v>504</v>
      </c>
      <c r="D3801" s="49">
        <f ca="1">C3801*Inputs!$B$12</f>
        <v>60480000</v>
      </c>
    </row>
    <row r="3802" spans="1:4" ht="13.5" customHeight="1" x14ac:dyDescent="0.3">
      <c r="A3802" s="50">
        <v>3798</v>
      </c>
      <c r="B3802" s="51">
        <f t="shared" ca="1" si="59"/>
        <v>0.95668986962146063</v>
      </c>
      <c r="C3802" s="48">
        <f t="array" aca="1" ref="C3802" ca="1">MAX(0,ROUND(Inputs!$B$10*Inputs!$B$11+NORMSINV(B3802)*SQRT(Inputs!$B$10*Inputs!$B$11),0))</f>
        <v>538</v>
      </c>
      <c r="D3802" s="52">
        <f ca="1">C3802*Inputs!$B$12</f>
        <v>64560000</v>
      </c>
    </row>
    <row r="3803" spans="1:4" ht="13.5" customHeight="1" x14ac:dyDescent="0.3">
      <c r="A3803" s="46">
        <v>3799</v>
      </c>
      <c r="B3803" s="47">
        <f t="shared" ca="1" si="59"/>
        <v>0.78063032362033113</v>
      </c>
      <c r="C3803" s="48">
        <f t="array" aca="1" ref="C3803" ca="1">MAX(0,ROUND(Inputs!$B$10*Inputs!$B$11+NORMSINV(B3803)*SQRT(Inputs!$B$10*Inputs!$B$11),0))</f>
        <v>517</v>
      </c>
      <c r="D3803" s="49">
        <f ca="1">C3803*Inputs!$B$12</f>
        <v>62040000</v>
      </c>
    </row>
    <row r="3804" spans="1:4" ht="13.5" customHeight="1" x14ac:dyDescent="0.3">
      <c r="A3804" s="50">
        <v>3800</v>
      </c>
      <c r="B3804" s="51">
        <f t="shared" ca="1" si="59"/>
        <v>3.6553441999332636E-2</v>
      </c>
      <c r="C3804" s="48">
        <f t="array" aca="1" ref="C3804" ca="1">MAX(0,ROUND(Inputs!$B$10*Inputs!$B$11+NORMSINV(B3804)*SQRT(Inputs!$B$10*Inputs!$B$11),0))</f>
        <v>460</v>
      </c>
      <c r="D3804" s="52">
        <f ca="1">C3804*Inputs!$B$12</f>
        <v>55200000</v>
      </c>
    </row>
    <row r="3805" spans="1:4" ht="13.5" customHeight="1" x14ac:dyDescent="0.3">
      <c r="A3805" s="46">
        <v>3801</v>
      </c>
      <c r="B3805" s="47">
        <f t="shared" ca="1" si="59"/>
        <v>5.6877868317121383E-2</v>
      </c>
      <c r="C3805" s="48">
        <f t="array" aca="1" ref="C3805" ca="1">MAX(0,ROUND(Inputs!$B$10*Inputs!$B$11+NORMSINV(B3805)*SQRT(Inputs!$B$10*Inputs!$B$11),0))</f>
        <v>465</v>
      </c>
      <c r="D3805" s="49">
        <f ca="1">C3805*Inputs!$B$12</f>
        <v>55800000</v>
      </c>
    </row>
    <row r="3806" spans="1:4" ht="13.5" customHeight="1" x14ac:dyDescent="0.3">
      <c r="A3806" s="50">
        <v>3802</v>
      </c>
      <c r="B3806" s="51">
        <f t="shared" ca="1" si="59"/>
        <v>0.30242711404012812</v>
      </c>
      <c r="C3806" s="48">
        <f t="array" aca="1" ref="C3806" ca="1">MAX(0,ROUND(Inputs!$B$10*Inputs!$B$11+NORMSINV(B3806)*SQRT(Inputs!$B$10*Inputs!$B$11),0))</f>
        <v>488</v>
      </c>
      <c r="D3806" s="52">
        <f ca="1">C3806*Inputs!$B$12</f>
        <v>58560000</v>
      </c>
    </row>
    <row r="3807" spans="1:4" ht="13.5" customHeight="1" x14ac:dyDescent="0.3">
      <c r="A3807" s="46">
        <v>3803</v>
      </c>
      <c r="B3807" s="47">
        <f t="shared" ca="1" si="59"/>
        <v>0.35134674999449411</v>
      </c>
      <c r="C3807" s="48">
        <f t="array" aca="1" ref="C3807" ca="1">MAX(0,ROUND(Inputs!$B$10*Inputs!$B$11+NORMSINV(B3807)*SQRT(Inputs!$B$10*Inputs!$B$11),0))</f>
        <v>491</v>
      </c>
      <c r="D3807" s="49">
        <f ca="1">C3807*Inputs!$B$12</f>
        <v>58920000</v>
      </c>
    </row>
    <row r="3808" spans="1:4" ht="13.5" customHeight="1" x14ac:dyDescent="0.3">
      <c r="A3808" s="50">
        <v>3804</v>
      </c>
      <c r="B3808" s="51">
        <f t="shared" ca="1" si="59"/>
        <v>0.25028443187869043</v>
      </c>
      <c r="C3808" s="48">
        <f t="array" aca="1" ref="C3808" ca="1">MAX(0,ROUND(Inputs!$B$10*Inputs!$B$11+NORMSINV(B3808)*SQRT(Inputs!$B$10*Inputs!$B$11),0))</f>
        <v>485</v>
      </c>
      <c r="D3808" s="52">
        <f ca="1">C3808*Inputs!$B$12</f>
        <v>58200000</v>
      </c>
    </row>
    <row r="3809" spans="1:4" ht="13.5" customHeight="1" x14ac:dyDescent="0.3">
      <c r="A3809" s="46">
        <v>3805</v>
      </c>
      <c r="B3809" s="47">
        <f t="shared" ca="1" si="59"/>
        <v>0.83999009477820963</v>
      </c>
      <c r="C3809" s="48">
        <f t="array" aca="1" ref="C3809" ca="1">MAX(0,ROUND(Inputs!$B$10*Inputs!$B$11+NORMSINV(B3809)*SQRT(Inputs!$B$10*Inputs!$B$11),0))</f>
        <v>522</v>
      </c>
      <c r="D3809" s="49">
        <f ca="1">C3809*Inputs!$B$12</f>
        <v>62640000</v>
      </c>
    </row>
    <row r="3810" spans="1:4" ht="13.5" customHeight="1" x14ac:dyDescent="0.3">
      <c r="A3810" s="50">
        <v>3806</v>
      </c>
      <c r="B3810" s="51">
        <f t="shared" ca="1" si="59"/>
        <v>0.23559849995498727</v>
      </c>
      <c r="C3810" s="48">
        <f t="array" aca="1" ref="C3810" ca="1">MAX(0,ROUND(Inputs!$B$10*Inputs!$B$11+NORMSINV(B3810)*SQRT(Inputs!$B$10*Inputs!$B$11),0))</f>
        <v>484</v>
      </c>
      <c r="D3810" s="52">
        <f ca="1">C3810*Inputs!$B$12</f>
        <v>58080000</v>
      </c>
    </row>
    <row r="3811" spans="1:4" ht="13.5" customHeight="1" x14ac:dyDescent="0.3">
      <c r="A3811" s="46">
        <v>3807</v>
      </c>
      <c r="B3811" s="47">
        <f t="shared" ca="1" si="59"/>
        <v>0.54506907982741082</v>
      </c>
      <c r="C3811" s="48">
        <f t="array" aca="1" ref="C3811" ca="1">MAX(0,ROUND(Inputs!$B$10*Inputs!$B$11+NORMSINV(B3811)*SQRT(Inputs!$B$10*Inputs!$B$11),0))</f>
        <v>503</v>
      </c>
      <c r="D3811" s="49">
        <f ca="1">C3811*Inputs!$B$12</f>
        <v>60360000</v>
      </c>
    </row>
    <row r="3812" spans="1:4" ht="13.5" customHeight="1" x14ac:dyDescent="0.3">
      <c r="A3812" s="50">
        <v>3808</v>
      </c>
      <c r="B3812" s="51">
        <f t="shared" ca="1" si="59"/>
        <v>1.1996133512983786E-2</v>
      </c>
      <c r="C3812" s="48">
        <f t="array" aca="1" ref="C3812" ca="1">MAX(0,ROUND(Inputs!$B$10*Inputs!$B$11+NORMSINV(B3812)*SQRT(Inputs!$B$10*Inputs!$B$11),0))</f>
        <v>450</v>
      </c>
      <c r="D3812" s="52">
        <f ca="1">C3812*Inputs!$B$12</f>
        <v>54000000</v>
      </c>
    </row>
    <row r="3813" spans="1:4" ht="13.5" customHeight="1" x14ac:dyDescent="0.3">
      <c r="A3813" s="46">
        <v>3809</v>
      </c>
      <c r="B3813" s="47">
        <f t="shared" ca="1" si="59"/>
        <v>0.69418200690854581</v>
      </c>
      <c r="C3813" s="48">
        <f t="array" aca="1" ref="C3813" ca="1">MAX(0,ROUND(Inputs!$B$10*Inputs!$B$11+NORMSINV(B3813)*SQRT(Inputs!$B$10*Inputs!$B$11),0))</f>
        <v>511</v>
      </c>
      <c r="D3813" s="49">
        <f ca="1">C3813*Inputs!$B$12</f>
        <v>61320000</v>
      </c>
    </row>
    <row r="3814" spans="1:4" ht="13.5" customHeight="1" x14ac:dyDescent="0.3">
      <c r="A3814" s="50">
        <v>3810</v>
      </c>
      <c r="B3814" s="51">
        <f t="shared" ca="1" si="59"/>
        <v>0.59791004512958223</v>
      </c>
      <c r="C3814" s="48">
        <f t="array" aca="1" ref="C3814" ca="1">MAX(0,ROUND(Inputs!$B$10*Inputs!$B$11+NORMSINV(B3814)*SQRT(Inputs!$B$10*Inputs!$B$11),0))</f>
        <v>506</v>
      </c>
      <c r="D3814" s="52">
        <f ca="1">C3814*Inputs!$B$12</f>
        <v>60720000</v>
      </c>
    </row>
    <row r="3815" spans="1:4" ht="13.5" customHeight="1" x14ac:dyDescent="0.3">
      <c r="A3815" s="46">
        <v>3811</v>
      </c>
      <c r="B3815" s="47">
        <f t="shared" ca="1" si="59"/>
        <v>0.62673734416534377</v>
      </c>
      <c r="C3815" s="48">
        <f t="array" aca="1" ref="C3815" ca="1">MAX(0,ROUND(Inputs!$B$10*Inputs!$B$11+NORMSINV(B3815)*SQRT(Inputs!$B$10*Inputs!$B$11),0))</f>
        <v>507</v>
      </c>
      <c r="D3815" s="49">
        <f ca="1">C3815*Inputs!$B$12</f>
        <v>60840000</v>
      </c>
    </row>
    <row r="3816" spans="1:4" ht="13.5" customHeight="1" x14ac:dyDescent="0.3">
      <c r="A3816" s="50">
        <v>3812</v>
      </c>
      <c r="B3816" s="51">
        <f t="shared" ca="1" si="59"/>
        <v>0.46961864349276605</v>
      </c>
      <c r="C3816" s="48">
        <f t="array" aca="1" ref="C3816" ca="1">MAX(0,ROUND(Inputs!$B$10*Inputs!$B$11+NORMSINV(B3816)*SQRT(Inputs!$B$10*Inputs!$B$11),0))</f>
        <v>498</v>
      </c>
      <c r="D3816" s="52">
        <f ca="1">C3816*Inputs!$B$12</f>
        <v>59760000</v>
      </c>
    </row>
    <row r="3817" spans="1:4" ht="13.5" customHeight="1" x14ac:dyDescent="0.3">
      <c r="A3817" s="46">
        <v>3813</v>
      </c>
      <c r="B3817" s="47">
        <f t="shared" ca="1" si="59"/>
        <v>0.69034128907514991</v>
      </c>
      <c r="C3817" s="48">
        <f t="array" aca="1" ref="C3817" ca="1">MAX(0,ROUND(Inputs!$B$10*Inputs!$B$11+NORMSINV(B3817)*SQRT(Inputs!$B$10*Inputs!$B$11),0))</f>
        <v>511</v>
      </c>
      <c r="D3817" s="49">
        <f ca="1">C3817*Inputs!$B$12</f>
        <v>61320000</v>
      </c>
    </row>
    <row r="3818" spans="1:4" ht="13.5" customHeight="1" x14ac:dyDescent="0.3">
      <c r="A3818" s="50">
        <v>3814</v>
      </c>
      <c r="B3818" s="51">
        <f t="shared" ca="1" si="59"/>
        <v>0.10908948436618016</v>
      </c>
      <c r="C3818" s="48">
        <f t="array" aca="1" ref="C3818" ca="1">MAX(0,ROUND(Inputs!$B$10*Inputs!$B$11+NORMSINV(B3818)*SQRT(Inputs!$B$10*Inputs!$B$11),0))</f>
        <v>472</v>
      </c>
      <c r="D3818" s="52">
        <f ca="1">C3818*Inputs!$B$12</f>
        <v>56640000</v>
      </c>
    </row>
    <row r="3819" spans="1:4" ht="13.5" customHeight="1" x14ac:dyDescent="0.3">
      <c r="A3819" s="46">
        <v>3815</v>
      </c>
      <c r="B3819" s="47">
        <f t="shared" ca="1" si="59"/>
        <v>0.17311782170778955</v>
      </c>
      <c r="C3819" s="48">
        <f t="array" aca="1" ref="C3819" ca="1">MAX(0,ROUND(Inputs!$B$10*Inputs!$B$11+NORMSINV(B3819)*SQRT(Inputs!$B$10*Inputs!$B$11),0))</f>
        <v>479</v>
      </c>
      <c r="D3819" s="49">
        <f ca="1">C3819*Inputs!$B$12</f>
        <v>57480000</v>
      </c>
    </row>
    <row r="3820" spans="1:4" ht="13.5" customHeight="1" x14ac:dyDescent="0.3">
      <c r="A3820" s="50">
        <v>3816</v>
      </c>
      <c r="B3820" s="51">
        <f t="shared" ca="1" si="59"/>
        <v>0.94233583667330245</v>
      </c>
      <c r="C3820" s="48">
        <f t="array" aca="1" ref="C3820" ca="1">MAX(0,ROUND(Inputs!$B$10*Inputs!$B$11+NORMSINV(B3820)*SQRT(Inputs!$B$10*Inputs!$B$11),0))</f>
        <v>535</v>
      </c>
      <c r="D3820" s="52">
        <f ca="1">C3820*Inputs!$B$12</f>
        <v>64200000</v>
      </c>
    </row>
    <row r="3821" spans="1:4" ht="13.5" customHeight="1" x14ac:dyDescent="0.3">
      <c r="A3821" s="46">
        <v>3817</v>
      </c>
      <c r="B3821" s="47">
        <f t="shared" ca="1" si="59"/>
        <v>0.44171052175224346</v>
      </c>
      <c r="C3821" s="48">
        <f t="array" aca="1" ref="C3821" ca="1">MAX(0,ROUND(Inputs!$B$10*Inputs!$B$11+NORMSINV(B3821)*SQRT(Inputs!$B$10*Inputs!$B$11),0))</f>
        <v>497</v>
      </c>
      <c r="D3821" s="49">
        <f ca="1">C3821*Inputs!$B$12</f>
        <v>59640000</v>
      </c>
    </row>
    <row r="3822" spans="1:4" ht="13.5" customHeight="1" x14ac:dyDescent="0.3">
      <c r="A3822" s="50">
        <v>3818</v>
      </c>
      <c r="B3822" s="51">
        <f t="shared" ca="1" si="59"/>
        <v>9.7299393102765697E-2</v>
      </c>
      <c r="C3822" s="48">
        <f t="array" aca="1" ref="C3822" ca="1">MAX(0,ROUND(Inputs!$B$10*Inputs!$B$11+NORMSINV(B3822)*SQRT(Inputs!$B$10*Inputs!$B$11),0))</f>
        <v>471</v>
      </c>
      <c r="D3822" s="52">
        <f ca="1">C3822*Inputs!$B$12</f>
        <v>56520000</v>
      </c>
    </row>
    <row r="3823" spans="1:4" ht="13.5" customHeight="1" x14ac:dyDescent="0.3">
      <c r="A3823" s="46">
        <v>3819</v>
      </c>
      <c r="B3823" s="47">
        <f t="shared" ca="1" si="59"/>
        <v>0.83010846163651897</v>
      </c>
      <c r="C3823" s="48">
        <f t="array" aca="1" ref="C3823" ca="1">MAX(0,ROUND(Inputs!$B$10*Inputs!$B$11+NORMSINV(B3823)*SQRT(Inputs!$B$10*Inputs!$B$11),0))</f>
        <v>521</v>
      </c>
      <c r="D3823" s="49">
        <f ca="1">C3823*Inputs!$B$12</f>
        <v>62520000</v>
      </c>
    </row>
    <row r="3824" spans="1:4" ht="13.5" customHeight="1" x14ac:dyDescent="0.3">
      <c r="A3824" s="50">
        <v>3820</v>
      </c>
      <c r="B3824" s="51">
        <f t="shared" ca="1" si="59"/>
        <v>0.42672703159323466</v>
      </c>
      <c r="C3824" s="48">
        <f t="array" aca="1" ref="C3824" ca="1">MAX(0,ROUND(Inputs!$B$10*Inputs!$B$11+NORMSINV(B3824)*SQRT(Inputs!$B$10*Inputs!$B$11),0))</f>
        <v>496</v>
      </c>
      <c r="D3824" s="52">
        <f ca="1">C3824*Inputs!$B$12</f>
        <v>59520000</v>
      </c>
    </row>
    <row r="3825" spans="1:4" ht="13.5" customHeight="1" x14ac:dyDescent="0.3">
      <c r="A3825" s="46">
        <v>3821</v>
      </c>
      <c r="B3825" s="47">
        <f t="shared" ca="1" si="59"/>
        <v>0.34529061706952802</v>
      </c>
      <c r="C3825" s="48">
        <f t="array" aca="1" ref="C3825" ca="1">MAX(0,ROUND(Inputs!$B$10*Inputs!$B$11+NORMSINV(B3825)*SQRT(Inputs!$B$10*Inputs!$B$11),0))</f>
        <v>491</v>
      </c>
      <c r="D3825" s="49">
        <f ca="1">C3825*Inputs!$B$12</f>
        <v>58920000</v>
      </c>
    </row>
    <row r="3826" spans="1:4" ht="13.5" customHeight="1" x14ac:dyDescent="0.3">
      <c r="A3826" s="50">
        <v>3822</v>
      </c>
      <c r="B3826" s="51">
        <f t="shared" ca="1" si="59"/>
        <v>0.83592160801287052</v>
      </c>
      <c r="C3826" s="48">
        <f t="array" aca="1" ref="C3826" ca="1">MAX(0,ROUND(Inputs!$B$10*Inputs!$B$11+NORMSINV(B3826)*SQRT(Inputs!$B$10*Inputs!$B$11),0))</f>
        <v>522</v>
      </c>
      <c r="D3826" s="52">
        <f ca="1">C3826*Inputs!$B$12</f>
        <v>62640000</v>
      </c>
    </row>
    <row r="3827" spans="1:4" ht="13.5" customHeight="1" x14ac:dyDescent="0.3">
      <c r="A3827" s="46">
        <v>3823</v>
      </c>
      <c r="B3827" s="47">
        <f t="shared" ca="1" si="59"/>
        <v>0.87551761063259403</v>
      </c>
      <c r="C3827" s="48">
        <f t="array" aca="1" ref="C3827" ca="1">MAX(0,ROUND(Inputs!$B$10*Inputs!$B$11+NORMSINV(B3827)*SQRT(Inputs!$B$10*Inputs!$B$11),0))</f>
        <v>526</v>
      </c>
      <c r="D3827" s="49">
        <f ca="1">C3827*Inputs!$B$12</f>
        <v>63120000</v>
      </c>
    </row>
    <row r="3828" spans="1:4" ht="13.5" customHeight="1" x14ac:dyDescent="0.3">
      <c r="A3828" s="50">
        <v>3824</v>
      </c>
      <c r="B3828" s="51">
        <f t="shared" ca="1" si="59"/>
        <v>0.77059184209226361</v>
      </c>
      <c r="C3828" s="48">
        <f t="array" aca="1" ref="C3828" ca="1">MAX(0,ROUND(Inputs!$B$10*Inputs!$B$11+NORMSINV(B3828)*SQRT(Inputs!$B$10*Inputs!$B$11),0))</f>
        <v>517</v>
      </c>
      <c r="D3828" s="52">
        <f ca="1">C3828*Inputs!$B$12</f>
        <v>62040000</v>
      </c>
    </row>
    <row r="3829" spans="1:4" ht="13.5" customHeight="1" x14ac:dyDescent="0.3">
      <c r="A3829" s="46">
        <v>3825</v>
      </c>
      <c r="B3829" s="47">
        <f t="shared" ca="1" si="59"/>
        <v>0.81456475938345707</v>
      </c>
      <c r="C3829" s="48">
        <f t="array" aca="1" ref="C3829" ca="1">MAX(0,ROUND(Inputs!$B$10*Inputs!$B$11+NORMSINV(B3829)*SQRT(Inputs!$B$10*Inputs!$B$11),0))</f>
        <v>520</v>
      </c>
      <c r="D3829" s="49">
        <f ca="1">C3829*Inputs!$B$12</f>
        <v>62400000</v>
      </c>
    </row>
    <row r="3830" spans="1:4" ht="13.5" customHeight="1" x14ac:dyDescent="0.3">
      <c r="A3830" s="50">
        <v>3826</v>
      </c>
      <c r="B3830" s="51">
        <f t="shared" ca="1" si="59"/>
        <v>0.83646665468940884</v>
      </c>
      <c r="C3830" s="48">
        <f t="array" aca="1" ref="C3830" ca="1">MAX(0,ROUND(Inputs!$B$10*Inputs!$B$11+NORMSINV(B3830)*SQRT(Inputs!$B$10*Inputs!$B$11),0))</f>
        <v>522</v>
      </c>
      <c r="D3830" s="52">
        <f ca="1">C3830*Inputs!$B$12</f>
        <v>62640000</v>
      </c>
    </row>
    <row r="3831" spans="1:4" ht="13.5" customHeight="1" x14ac:dyDescent="0.3">
      <c r="A3831" s="46">
        <v>3827</v>
      </c>
      <c r="B3831" s="47">
        <f t="shared" ca="1" si="59"/>
        <v>0.45182817333858671</v>
      </c>
      <c r="C3831" s="48">
        <f t="array" aca="1" ref="C3831" ca="1">MAX(0,ROUND(Inputs!$B$10*Inputs!$B$11+NORMSINV(B3831)*SQRT(Inputs!$B$10*Inputs!$B$11),0))</f>
        <v>497</v>
      </c>
      <c r="D3831" s="49">
        <f ca="1">C3831*Inputs!$B$12</f>
        <v>59640000</v>
      </c>
    </row>
    <row r="3832" spans="1:4" ht="13.5" customHeight="1" x14ac:dyDescent="0.3">
      <c r="A3832" s="50">
        <v>3828</v>
      </c>
      <c r="B3832" s="51">
        <f t="shared" ca="1" si="59"/>
        <v>0.6143006185637333</v>
      </c>
      <c r="C3832" s="48">
        <f t="array" aca="1" ref="C3832" ca="1">MAX(0,ROUND(Inputs!$B$10*Inputs!$B$11+NORMSINV(B3832)*SQRT(Inputs!$B$10*Inputs!$B$11),0))</f>
        <v>506</v>
      </c>
      <c r="D3832" s="52">
        <f ca="1">C3832*Inputs!$B$12</f>
        <v>60720000</v>
      </c>
    </row>
    <row r="3833" spans="1:4" ht="13.5" customHeight="1" x14ac:dyDescent="0.3">
      <c r="A3833" s="46">
        <v>3829</v>
      </c>
      <c r="B3833" s="47">
        <f t="shared" ca="1" si="59"/>
        <v>0.67348212570609489</v>
      </c>
      <c r="C3833" s="48">
        <f t="array" aca="1" ref="C3833" ca="1">MAX(0,ROUND(Inputs!$B$10*Inputs!$B$11+NORMSINV(B3833)*SQRT(Inputs!$B$10*Inputs!$B$11),0))</f>
        <v>510</v>
      </c>
      <c r="D3833" s="49">
        <f ca="1">C3833*Inputs!$B$12</f>
        <v>61200000</v>
      </c>
    </row>
    <row r="3834" spans="1:4" ht="13.5" customHeight="1" x14ac:dyDescent="0.3">
      <c r="A3834" s="50">
        <v>3830</v>
      </c>
      <c r="B3834" s="51">
        <f t="shared" ca="1" si="59"/>
        <v>0.17533761723757835</v>
      </c>
      <c r="C3834" s="48">
        <f t="array" aca="1" ref="C3834" ca="1">MAX(0,ROUND(Inputs!$B$10*Inputs!$B$11+NORMSINV(B3834)*SQRT(Inputs!$B$10*Inputs!$B$11),0))</f>
        <v>479</v>
      </c>
      <c r="D3834" s="52">
        <f ca="1">C3834*Inputs!$B$12</f>
        <v>57480000</v>
      </c>
    </row>
    <row r="3835" spans="1:4" ht="13.5" customHeight="1" x14ac:dyDescent="0.3">
      <c r="A3835" s="46">
        <v>3831</v>
      </c>
      <c r="B3835" s="47">
        <f t="shared" ca="1" si="59"/>
        <v>0.20206445879779544</v>
      </c>
      <c r="C3835" s="48">
        <f t="array" aca="1" ref="C3835" ca="1">MAX(0,ROUND(Inputs!$B$10*Inputs!$B$11+NORMSINV(B3835)*SQRT(Inputs!$B$10*Inputs!$B$11),0))</f>
        <v>481</v>
      </c>
      <c r="D3835" s="49">
        <f ca="1">C3835*Inputs!$B$12</f>
        <v>57720000</v>
      </c>
    </row>
    <row r="3836" spans="1:4" ht="13.5" customHeight="1" x14ac:dyDescent="0.3">
      <c r="A3836" s="50">
        <v>3832</v>
      </c>
      <c r="B3836" s="51">
        <f t="shared" ca="1" si="59"/>
        <v>0.97257023664803266</v>
      </c>
      <c r="C3836" s="48">
        <f t="array" aca="1" ref="C3836" ca="1">MAX(0,ROUND(Inputs!$B$10*Inputs!$B$11+NORMSINV(B3836)*SQRT(Inputs!$B$10*Inputs!$B$11),0))</f>
        <v>543</v>
      </c>
      <c r="D3836" s="52">
        <f ca="1">C3836*Inputs!$B$12</f>
        <v>65160000</v>
      </c>
    </row>
    <row r="3837" spans="1:4" ht="13.5" customHeight="1" x14ac:dyDescent="0.3">
      <c r="A3837" s="46">
        <v>3833</v>
      </c>
      <c r="B3837" s="47">
        <f t="shared" ca="1" si="59"/>
        <v>0.12686089809837087</v>
      </c>
      <c r="C3837" s="48">
        <f t="array" aca="1" ref="C3837" ca="1">MAX(0,ROUND(Inputs!$B$10*Inputs!$B$11+NORMSINV(B3837)*SQRT(Inputs!$B$10*Inputs!$B$11),0))</f>
        <v>474</v>
      </c>
      <c r="D3837" s="49">
        <f ca="1">C3837*Inputs!$B$12</f>
        <v>56880000</v>
      </c>
    </row>
    <row r="3838" spans="1:4" ht="13.5" customHeight="1" x14ac:dyDescent="0.3">
      <c r="A3838" s="50">
        <v>3834</v>
      </c>
      <c r="B3838" s="51">
        <f t="shared" ca="1" si="59"/>
        <v>0.4720041673835933</v>
      </c>
      <c r="C3838" s="48">
        <f t="array" aca="1" ref="C3838" ca="1">MAX(0,ROUND(Inputs!$B$10*Inputs!$B$11+NORMSINV(B3838)*SQRT(Inputs!$B$10*Inputs!$B$11),0))</f>
        <v>498</v>
      </c>
      <c r="D3838" s="52">
        <f ca="1">C3838*Inputs!$B$12</f>
        <v>59760000</v>
      </c>
    </row>
    <row r="3839" spans="1:4" ht="13.5" customHeight="1" x14ac:dyDescent="0.3">
      <c r="A3839" s="46">
        <v>3835</v>
      </c>
      <c r="B3839" s="47">
        <f t="shared" ca="1" si="59"/>
        <v>0.60029407924854261</v>
      </c>
      <c r="C3839" s="48">
        <f t="array" aca="1" ref="C3839" ca="1">MAX(0,ROUND(Inputs!$B$10*Inputs!$B$11+NORMSINV(B3839)*SQRT(Inputs!$B$10*Inputs!$B$11),0))</f>
        <v>506</v>
      </c>
      <c r="D3839" s="49">
        <f ca="1">C3839*Inputs!$B$12</f>
        <v>60720000</v>
      </c>
    </row>
    <row r="3840" spans="1:4" ht="13.5" customHeight="1" x14ac:dyDescent="0.3">
      <c r="A3840" s="50">
        <v>3836</v>
      </c>
      <c r="B3840" s="51">
        <f t="shared" ca="1" si="59"/>
        <v>0.80207400697050579</v>
      </c>
      <c r="C3840" s="48">
        <f t="array" aca="1" ref="C3840" ca="1">MAX(0,ROUND(Inputs!$B$10*Inputs!$B$11+NORMSINV(B3840)*SQRT(Inputs!$B$10*Inputs!$B$11),0))</f>
        <v>519</v>
      </c>
      <c r="D3840" s="52">
        <f ca="1">C3840*Inputs!$B$12</f>
        <v>62280000</v>
      </c>
    </row>
    <row r="3841" spans="1:4" ht="13.5" customHeight="1" x14ac:dyDescent="0.3">
      <c r="A3841" s="46">
        <v>3837</v>
      </c>
      <c r="B3841" s="47">
        <f t="shared" ca="1" si="59"/>
        <v>0.71297707535523613</v>
      </c>
      <c r="C3841" s="48">
        <f t="array" aca="1" ref="C3841" ca="1">MAX(0,ROUND(Inputs!$B$10*Inputs!$B$11+NORMSINV(B3841)*SQRT(Inputs!$B$10*Inputs!$B$11),0))</f>
        <v>513</v>
      </c>
      <c r="D3841" s="49">
        <f ca="1">C3841*Inputs!$B$12</f>
        <v>61560000</v>
      </c>
    </row>
    <row r="3842" spans="1:4" ht="13.5" customHeight="1" x14ac:dyDescent="0.3">
      <c r="A3842" s="50">
        <v>3838</v>
      </c>
      <c r="B3842" s="51">
        <f t="shared" ca="1" si="59"/>
        <v>0.36561517589012837</v>
      </c>
      <c r="C3842" s="48">
        <f t="array" aca="1" ref="C3842" ca="1">MAX(0,ROUND(Inputs!$B$10*Inputs!$B$11+NORMSINV(B3842)*SQRT(Inputs!$B$10*Inputs!$B$11),0))</f>
        <v>492</v>
      </c>
      <c r="D3842" s="52">
        <f ca="1">C3842*Inputs!$B$12</f>
        <v>59040000</v>
      </c>
    </row>
    <row r="3843" spans="1:4" ht="13.5" customHeight="1" x14ac:dyDescent="0.3">
      <c r="A3843" s="46">
        <v>3839</v>
      </c>
      <c r="B3843" s="47">
        <f t="shared" ca="1" si="59"/>
        <v>0.20839776714049807</v>
      </c>
      <c r="C3843" s="48">
        <f t="array" aca="1" ref="C3843" ca="1">MAX(0,ROUND(Inputs!$B$10*Inputs!$B$11+NORMSINV(B3843)*SQRT(Inputs!$B$10*Inputs!$B$11),0))</f>
        <v>482</v>
      </c>
      <c r="D3843" s="49">
        <f ca="1">C3843*Inputs!$B$12</f>
        <v>57840000</v>
      </c>
    </row>
    <row r="3844" spans="1:4" ht="13.5" customHeight="1" x14ac:dyDescent="0.3">
      <c r="A3844" s="50">
        <v>3840</v>
      </c>
      <c r="B3844" s="51">
        <f t="shared" ca="1" si="59"/>
        <v>0.19789982742965917</v>
      </c>
      <c r="C3844" s="48">
        <f t="array" aca="1" ref="C3844" ca="1">MAX(0,ROUND(Inputs!$B$10*Inputs!$B$11+NORMSINV(B3844)*SQRT(Inputs!$B$10*Inputs!$B$11),0))</f>
        <v>481</v>
      </c>
      <c r="D3844" s="52">
        <f ca="1">C3844*Inputs!$B$12</f>
        <v>57720000</v>
      </c>
    </row>
    <row r="3845" spans="1:4" ht="13.5" customHeight="1" x14ac:dyDescent="0.3">
      <c r="A3845" s="46">
        <v>3841</v>
      </c>
      <c r="B3845" s="47">
        <f t="shared" ref="B3845:B3908" ca="1" si="60">RAND()</f>
        <v>0.97369823966231983</v>
      </c>
      <c r="C3845" s="48">
        <f t="array" aca="1" ref="C3845" ca="1">MAX(0,ROUND(Inputs!$B$10*Inputs!$B$11+NORMSINV(B3845)*SQRT(Inputs!$B$10*Inputs!$B$11),0))</f>
        <v>543</v>
      </c>
      <c r="D3845" s="49">
        <f ca="1">C3845*Inputs!$B$12</f>
        <v>65160000</v>
      </c>
    </row>
    <row r="3846" spans="1:4" ht="13.5" customHeight="1" x14ac:dyDescent="0.3">
      <c r="A3846" s="50">
        <v>3842</v>
      </c>
      <c r="B3846" s="51">
        <f t="shared" ca="1" si="60"/>
        <v>0.19818541538578682</v>
      </c>
      <c r="C3846" s="48">
        <f t="array" aca="1" ref="C3846" ca="1">MAX(0,ROUND(Inputs!$B$10*Inputs!$B$11+NORMSINV(B3846)*SQRT(Inputs!$B$10*Inputs!$B$11),0))</f>
        <v>481</v>
      </c>
      <c r="D3846" s="52">
        <f ca="1">C3846*Inputs!$B$12</f>
        <v>57720000</v>
      </c>
    </row>
    <row r="3847" spans="1:4" ht="13.5" customHeight="1" x14ac:dyDescent="0.3">
      <c r="A3847" s="46">
        <v>3843</v>
      </c>
      <c r="B3847" s="47">
        <f t="shared" ca="1" si="60"/>
        <v>0.35253047542620064</v>
      </c>
      <c r="C3847" s="48">
        <f t="array" aca="1" ref="C3847" ca="1">MAX(0,ROUND(Inputs!$B$10*Inputs!$B$11+NORMSINV(B3847)*SQRT(Inputs!$B$10*Inputs!$B$11),0))</f>
        <v>492</v>
      </c>
      <c r="D3847" s="49">
        <f ca="1">C3847*Inputs!$B$12</f>
        <v>59040000</v>
      </c>
    </row>
    <row r="3848" spans="1:4" ht="13.5" customHeight="1" x14ac:dyDescent="0.3">
      <c r="A3848" s="50">
        <v>3844</v>
      </c>
      <c r="B3848" s="51">
        <f t="shared" ca="1" si="60"/>
        <v>0.37796476042081117</v>
      </c>
      <c r="C3848" s="48">
        <f t="array" aca="1" ref="C3848" ca="1">MAX(0,ROUND(Inputs!$B$10*Inputs!$B$11+NORMSINV(B3848)*SQRT(Inputs!$B$10*Inputs!$B$11),0))</f>
        <v>493</v>
      </c>
      <c r="D3848" s="52">
        <f ca="1">C3848*Inputs!$B$12</f>
        <v>59160000</v>
      </c>
    </row>
    <row r="3849" spans="1:4" ht="13.5" customHeight="1" x14ac:dyDescent="0.3">
      <c r="A3849" s="46">
        <v>3845</v>
      </c>
      <c r="B3849" s="47">
        <f t="shared" ca="1" si="60"/>
        <v>0.9650273773906175</v>
      </c>
      <c r="C3849" s="48">
        <f t="array" aca="1" ref="C3849" ca="1">MAX(0,ROUND(Inputs!$B$10*Inputs!$B$11+NORMSINV(B3849)*SQRT(Inputs!$B$10*Inputs!$B$11),0))</f>
        <v>541</v>
      </c>
      <c r="D3849" s="49">
        <f ca="1">C3849*Inputs!$B$12</f>
        <v>64920000</v>
      </c>
    </row>
    <row r="3850" spans="1:4" ht="13.5" customHeight="1" x14ac:dyDescent="0.3">
      <c r="A3850" s="50">
        <v>3846</v>
      </c>
      <c r="B3850" s="51">
        <f t="shared" ca="1" si="60"/>
        <v>0.92498332111224224</v>
      </c>
      <c r="C3850" s="48">
        <f t="array" aca="1" ref="C3850" ca="1">MAX(0,ROUND(Inputs!$B$10*Inputs!$B$11+NORMSINV(B3850)*SQRT(Inputs!$B$10*Inputs!$B$11),0))</f>
        <v>532</v>
      </c>
      <c r="D3850" s="52">
        <f ca="1">C3850*Inputs!$B$12</f>
        <v>63840000</v>
      </c>
    </row>
    <row r="3851" spans="1:4" ht="13.5" customHeight="1" x14ac:dyDescent="0.3">
      <c r="A3851" s="46">
        <v>3847</v>
      </c>
      <c r="B3851" s="47">
        <f t="shared" ca="1" si="60"/>
        <v>0.36784649814654802</v>
      </c>
      <c r="C3851" s="48">
        <f t="array" aca="1" ref="C3851" ca="1">MAX(0,ROUND(Inputs!$B$10*Inputs!$B$11+NORMSINV(B3851)*SQRT(Inputs!$B$10*Inputs!$B$11),0))</f>
        <v>492</v>
      </c>
      <c r="D3851" s="49">
        <f ca="1">C3851*Inputs!$B$12</f>
        <v>59040000</v>
      </c>
    </row>
    <row r="3852" spans="1:4" ht="13.5" customHeight="1" x14ac:dyDescent="0.3">
      <c r="A3852" s="50">
        <v>3848</v>
      </c>
      <c r="B3852" s="51">
        <f t="shared" ca="1" si="60"/>
        <v>0.3265204527184411</v>
      </c>
      <c r="C3852" s="48">
        <f t="array" aca="1" ref="C3852" ca="1">MAX(0,ROUND(Inputs!$B$10*Inputs!$B$11+NORMSINV(B3852)*SQRT(Inputs!$B$10*Inputs!$B$11),0))</f>
        <v>490</v>
      </c>
      <c r="D3852" s="52">
        <f ca="1">C3852*Inputs!$B$12</f>
        <v>58800000</v>
      </c>
    </row>
    <row r="3853" spans="1:4" ht="13.5" customHeight="1" x14ac:dyDescent="0.3">
      <c r="A3853" s="46">
        <v>3849</v>
      </c>
      <c r="B3853" s="47">
        <f t="shared" ca="1" si="60"/>
        <v>0.26254333933383867</v>
      </c>
      <c r="C3853" s="48">
        <f t="array" aca="1" ref="C3853" ca="1">MAX(0,ROUND(Inputs!$B$10*Inputs!$B$11+NORMSINV(B3853)*SQRT(Inputs!$B$10*Inputs!$B$11),0))</f>
        <v>486</v>
      </c>
      <c r="D3853" s="49">
        <f ca="1">C3853*Inputs!$B$12</f>
        <v>58320000</v>
      </c>
    </row>
    <row r="3854" spans="1:4" ht="13.5" customHeight="1" x14ac:dyDescent="0.3">
      <c r="A3854" s="50">
        <v>3850</v>
      </c>
      <c r="B3854" s="51">
        <f t="shared" ca="1" si="60"/>
        <v>0.4256764975449342</v>
      </c>
      <c r="C3854" s="48">
        <f t="array" aca="1" ref="C3854" ca="1">MAX(0,ROUND(Inputs!$B$10*Inputs!$B$11+NORMSINV(B3854)*SQRT(Inputs!$B$10*Inputs!$B$11),0))</f>
        <v>496</v>
      </c>
      <c r="D3854" s="52">
        <f ca="1">C3854*Inputs!$B$12</f>
        <v>59520000</v>
      </c>
    </row>
    <row r="3855" spans="1:4" ht="13.5" customHeight="1" x14ac:dyDescent="0.3">
      <c r="A3855" s="46">
        <v>3851</v>
      </c>
      <c r="B3855" s="47">
        <f t="shared" ca="1" si="60"/>
        <v>0.66252948153467517</v>
      </c>
      <c r="C3855" s="48">
        <f t="array" aca="1" ref="C3855" ca="1">MAX(0,ROUND(Inputs!$B$10*Inputs!$B$11+NORMSINV(B3855)*SQRT(Inputs!$B$10*Inputs!$B$11),0))</f>
        <v>509</v>
      </c>
      <c r="D3855" s="49">
        <f ca="1">C3855*Inputs!$B$12</f>
        <v>61080000</v>
      </c>
    </row>
    <row r="3856" spans="1:4" ht="13.5" customHeight="1" x14ac:dyDescent="0.3">
      <c r="A3856" s="50">
        <v>3852</v>
      </c>
      <c r="B3856" s="51">
        <f t="shared" ca="1" si="60"/>
        <v>0.64345980406215908</v>
      </c>
      <c r="C3856" s="48">
        <f t="array" aca="1" ref="C3856" ca="1">MAX(0,ROUND(Inputs!$B$10*Inputs!$B$11+NORMSINV(B3856)*SQRT(Inputs!$B$10*Inputs!$B$11),0))</f>
        <v>508</v>
      </c>
      <c r="D3856" s="52">
        <f ca="1">C3856*Inputs!$B$12</f>
        <v>60960000</v>
      </c>
    </row>
    <row r="3857" spans="1:4" ht="13.5" customHeight="1" x14ac:dyDescent="0.3">
      <c r="A3857" s="46">
        <v>3853</v>
      </c>
      <c r="B3857" s="47">
        <f t="shared" ca="1" si="60"/>
        <v>0.49409299097025905</v>
      </c>
      <c r="C3857" s="48">
        <f t="array" aca="1" ref="C3857" ca="1">MAX(0,ROUND(Inputs!$B$10*Inputs!$B$11+NORMSINV(B3857)*SQRT(Inputs!$B$10*Inputs!$B$11),0))</f>
        <v>500</v>
      </c>
      <c r="D3857" s="49">
        <f ca="1">C3857*Inputs!$B$12</f>
        <v>60000000</v>
      </c>
    </row>
    <row r="3858" spans="1:4" ht="13.5" customHeight="1" x14ac:dyDescent="0.3">
      <c r="A3858" s="50">
        <v>3854</v>
      </c>
      <c r="B3858" s="51">
        <f t="shared" ca="1" si="60"/>
        <v>0.75980384728312578</v>
      </c>
      <c r="C3858" s="48">
        <f t="array" aca="1" ref="C3858" ca="1">MAX(0,ROUND(Inputs!$B$10*Inputs!$B$11+NORMSINV(B3858)*SQRT(Inputs!$B$10*Inputs!$B$11),0))</f>
        <v>516</v>
      </c>
      <c r="D3858" s="52">
        <f ca="1">C3858*Inputs!$B$12</f>
        <v>61920000</v>
      </c>
    </row>
    <row r="3859" spans="1:4" ht="13.5" customHeight="1" x14ac:dyDescent="0.3">
      <c r="A3859" s="46">
        <v>3855</v>
      </c>
      <c r="B3859" s="47">
        <f t="shared" ca="1" si="60"/>
        <v>0.92856582355388728</v>
      </c>
      <c r="C3859" s="48">
        <f t="array" aca="1" ref="C3859" ca="1">MAX(0,ROUND(Inputs!$B$10*Inputs!$B$11+NORMSINV(B3859)*SQRT(Inputs!$B$10*Inputs!$B$11),0))</f>
        <v>533</v>
      </c>
      <c r="D3859" s="49">
        <f ca="1">C3859*Inputs!$B$12</f>
        <v>63960000</v>
      </c>
    </row>
    <row r="3860" spans="1:4" ht="13.5" customHeight="1" x14ac:dyDescent="0.3">
      <c r="A3860" s="50">
        <v>3856</v>
      </c>
      <c r="B3860" s="51">
        <f t="shared" ca="1" si="60"/>
        <v>0.72356863851790143</v>
      </c>
      <c r="C3860" s="48">
        <f t="array" aca="1" ref="C3860" ca="1">MAX(0,ROUND(Inputs!$B$10*Inputs!$B$11+NORMSINV(B3860)*SQRT(Inputs!$B$10*Inputs!$B$11),0))</f>
        <v>513</v>
      </c>
      <c r="D3860" s="52">
        <f ca="1">C3860*Inputs!$B$12</f>
        <v>61560000</v>
      </c>
    </row>
    <row r="3861" spans="1:4" ht="13.5" customHeight="1" x14ac:dyDescent="0.3">
      <c r="A3861" s="46">
        <v>3857</v>
      </c>
      <c r="B3861" s="47">
        <f t="shared" ca="1" si="60"/>
        <v>9.1232428997409576E-2</v>
      </c>
      <c r="C3861" s="48">
        <f t="array" aca="1" ref="C3861" ca="1">MAX(0,ROUND(Inputs!$B$10*Inputs!$B$11+NORMSINV(B3861)*SQRT(Inputs!$B$10*Inputs!$B$11),0))</f>
        <v>470</v>
      </c>
      <c r="D3861" s="49">
        <f ca="1">C3861*Inputs!$B$12</f>
        <v>56400000</v>
      </c>
    </row>
    <row r="3862" spans="1:4" ht="13.5" customHeight="1" x14ac:dyDescent="0.3">
      <c r="A3862" s="50">
        <v>3858</v>
      </c>
      <c r="B3862" s="51">
        <f t="shared" ca="1" si="60"/>
        <v>0.73952494502546995</v>
      </c>
      <c r="C3862" s="48">
        <f t="array" aca="1" ref="C3862" ca="1">MAX(0,ROUND(Inputs!$B$10*Inputs!$B$11+NORMSINV(B3862)*SQRT(Inputs!$B$10*Inputs!$B$11),0))</f>
        <v>514</v>
      </c>
      <c r="D3862" s="52">
        <f ca="1">C3862*Inputs!$B$12</f>
        <v>61680000</v>
      </c>
    </row>
    <row r="3863" spans="1:4" ht="13.5" customHeight="1" x14ac:dyDescent="0.3">
      <c r="A3863" s="46">
        <v>3859</v>
      </c>
      <c r="B3863" s="47">
        <f t="shared" ca="1" si="60"/>
        <v>0.330020114278749</v>
      </c>
      <c r="C3863" s="48">
        <f t="array" aca="1" ref="C3863" ca="1">MAX(0,ROUND(Inputs!$B$10*Inputs!$B$11+NORMSINV(B3863)*SQRT(Inputs!$B$10*Inputs!$B$11),0))</f>
        <v>490</v>
      </c>
      <c r="D3863" s="49">
        <f ca="1">C3863*Inputs!$B$12</f>
        <v>58800000</v>
      </c>
    </row>
    <row r="3864" spans="1:4" ht="13.5" customHeight="1" x14ac:dyDescent="0.3">
      <c r="A3864" s="50">
        <v>3860</v>
      </c>
      <c r="B3864" s="51">
        <f t="shared" ca="1" si="60"/>
        <v>0.95249761399193322</v>
      </c>
      <c r="C3864" s="48">
        <f t="array" aca="1" ref="C3864" ca="1">MAX(0,ROUND(Inputs!$B$10*Inputs!$B$11+NORMSINV(B3864)*SQRT(Inputs!$B$10*Inputs!$B$11),0))</f>
        <v>537</v>
      </c>
      <c r="D3864" s="52">
        <f ca="1">C3864*Inputs!$B$12</f>
        <v>64440000</v>
      </c>
    </row>
    <row r="3865" spans="1:4" ht="13.5" customHeight="1" x14ac:dyDescent="0.3">
      <c r="A3865" s="46">
        <v>3861</v>
      </c>
      <c r="B3865" s="47">
        <f t="shared" ca="1" si="60"/>
        <v>0.34121387054067565</v>
      </c>
      <c r="C3865" s="48">
        <f t="array" aca="1" ref="C3865" ca="1">MAX(0,ROUND(Inputs!$B$10*Inputs!$B$11+NORMSINV(B3865)*SQRT(Inputs!$B$10*Inputs!$B$11),0))</f>
        <v>491</v>
      </c>
      <c r="D3865" s="49">
        <f ca="1">C3865*Inputs!$B$12</f>
        <v>58920000</v>
      </c>
    </row>
    <row r="3866" spans="1:4" ht="13.5" customHeight="1" x14ac:dyDescent="0.3">
      <c r="A3866" s="50">
        <v>3862</v>
      </c>
      <c r="B3866" s="51">
        <f t="shared" ca="1" si="60"/>
        <v>0.88735362464754941</v>
      </c>
      <c r="C3866" s="48">
        <f t="array" aca="1" ref="C3866" ca="1">MAX(0,ROUND(Inputs!$B$10*Inputs!$B$11+NORMSINV(B3866)*SQRT(Inputs!$B$10*Inputs!$B$11),0))</f>
        <v>527</v>
      </c>
      <c r="D3866" s="52">
        <f ca="1">C3866*Inputs!$B$12</f>
        <v>63240000</v>
      </c>
    </row>
    <row r="3867" spans="1:4" ht="13.5" customHeight="1" x14ac:dyDescent="0.3">
      <c r="A3867" s="46">
        <v>3863</v>
      </c>
      <c r="B3867" s="47">
        <f t="shared" ca="1" si="60"/>
        <v>0.99588701117324085</v>
      </c>
      <c r="C3867" s="48">
        <f t="array" aca="1" ref="C3867" ca="1">MAX(0,ROUND(Inputs!$B$10*Inputs!$B$11+NORMSINV(B3867)*SQRT(Inputs!$B$10*Inputs!$B$11),0))</f>
        <v>559</v>
      </c>
      <c r="D3867" s="49">
        <f ca="1">C3867*Inputs!$B$12</f>
        <v>67080000</v>
      </c>
    </row>
    <row r="3868" spans="1:4" ht="13.5" customHeight="1" x14ac:dyDescent="0.3">
      <c r="A3868" s="50">
        <v>3864</v>
      </c>
      <c r="B3868" s="51">
        <f t="shared" ca="1" si="60"/>
        <v>0.82769165347028795</v>
      </c>
      <c r="C3868" s="48">
        <f t="array" aca="1" ref="C3868" ca="1">MAX(0,ROUND(Inputs!$B$10*Inputs!$B$11+NORMSINV(B3868)*SQRT(Inputs!$B$10*Inputs!$B$11),0))</f>
        <v>521</v>
      </c>
      <c r="D3868" s="52">
        <f ca="1">C3868*Inputs!$B$12</f>
        <v>62520000</v>
      </c>
    </row>
    <row r="3869" spans="1:4" ht="13.5" customHeight="1" x14ac:dyDescent="0.3">
      <c r="A3869" s="46">
        <v>3865</v>
      </c>
      <c r="B3869" s="47">
        <f t="shared" ca="1" si="60"/>
        <v>0.43629275548125213</v>
      </c>
      <c r="C3869" s="48">
        <f t="array" aca="1" ref="C3869" ca="1">MAX(0,ROUND(Inputs!$B$10*Inputs!$B$11+NORMSINV(B3869)*SQRT(Inputs!$B$10*Inputs!$B$11),0))</f>
        <v>496</v>
      </c>
      <c r="D3869" s="49">
        <f ca="1">C3869*Inputs!$B$12</f>
        <v>59520000</v>
      </c>
    </row>
    <row r="3870" spans="1:4" ht="13.5" customHeight="1" x14ac:dyDescent="0.3">
      <c r="A3870" s="50">
        <v>3866</v>
      </c>
      <c r="B3870" s="51">
        <f t="shared" ca="1" si="60"/>
        <v>0.337717353478312</v>
      </c>
      <c r="C3870" s="48">
        <f t="array" aca="1" ref="C3870" ca="1">MAX(0,ROUND(Inputs!$B$10*Inputs!$B$11+NORMSINV(B3870)*SQRT(Inputs!$B$10*Inputs!$B$11),0))</f>
        <v>491</v>
      </c>
      <c r="D3870" s="52">
        <f ca="1">C3870*Inputs!$B$12</f>
        <v>58920000</v>
      </c>
    </row>
    <row r="3871" spans="1:4" ht="13.5" customHeight="1" x14ac:dyDescent="0.3">
      <c r="A3871" s="46">
        <v>3867</v>
      </c>
      <c r="B3871" s="47">
        <f t="shared" ca="1" si="60"/>
        <v>0.21853485621254143</v>
      </c>
      <c r="C3871" s="48">
        <f t="array" aca="1" ref="C3871" ca="1">MAX(0,ROUND(Inputs!$B$10*Inputs!$B$11+NORMSINV(B3871)*SQRT(Inputs!$B$10*Inputs!$B$11),0))</f>
        <v>483</v>
      </c>
      <c r="D3871" s="49">
        <f ca="1">C3871*Inputs!$B$12</f>
        <v>57960000</v>
      </c>
    </row>
    <row r="3872" spans="1:4" ht="13.5" customHeight="1" x14ac:dyDescent="0.3">
      <c r="A3872" s="50">
        <v>3868</v>
      </c>
      <c r="B3872" s="51">
        <f t="shared" ca="1" si="60"/>
        <v>0.23889170803208171</v>
      </c>
      <c r="C3872" s="48">
        <f t="array" aca="1" ref="C3872" ca="1">MAX(0,ROUND(Inputs!$B$10*Inputs!$B$11+NORMSINV(B3872)*SQRT(Inputs!$B$10*Inputs!$B$11),0))</f>
        <v>484</v>
      </c>
      <c r="D3872" s="52">
        <f ca="1">C3872*Inputs!$B$12</f>
        <v>58080000</v>
      </c>
    </row>
    <row r="3873" spans="1:4" ht="13.5" customHeight="1" x14ac:dyDescent="0.3">
      <c r="A3873" s="46">
        <v>3869</v>
      </c>
      <c r="B3873" s="47">
        <f t="shared" ca="1" si="60"/>
        <v>0.21992581234271047</v>
      </c>
      <c r="C3873" s="48">
        <f t="array" aca="1" ref="C3873" ca="1">MAX(0,ROUND(Inputs!$B$10*Inputs!$B$11+NORMSINV(B3873)*SQRT(Inputs!$B$10*Inputs!$B$11),0))</f>
        <v>483</v>
      </c>
      <c r="D3873" s="49">
        <f ca="1">C3873*Inputs!$B$12</f>
        <v>57960000</v>
      </c>
    </row>
    <row r="3874" spans="1:4" ht="13.5" customHeight="1" x14ac:dyDescent="0.3">
      <c r="A3874" s="50">
        <v>3870</v>
      </c>
      <c r="B3874" s="51">
        <f t="shared" ca="1" si="60"/>
        <v>0.45572664315421119</v>
      </c>
      <c r="C3874" s="48">
        <f t="array" aca="1" ref="C3874" ca="1">MAX(0,ROUND(Inputs!$B$10*Inputs!$B$11+NORMSINV(B3874)*SQRT(Inputs!$B$10*Inputs!$B$11),0))</f>
        <v>498</v>
      </c>
      <c r="D3874" s="52">
        <f ca="1">C3874*Inputs!$B$12</f>
        <v>59760000</v>
      </c>
    </row>
    <row r="3875" spans="1:4" ht="13.5" customHeight="1" x14ac:dyDescent="0.3">
      <c r="A3875" s="46">
        <v>3871</v>
      </c>
      <c r="B3875" s="47">
        <f t="shared" ca="1" si="60"/>
        <v>0.10781151862143379</v>
      </c>
      <c r="C3875" s="48">
        <f t="array" aca="1" ref="C3875" ca="1">MAX(0,ROUND(Inputs!$B$10*Inputs!$B$11+NORMSINV(B3875)*SQRT(Inputs!$B$10*Inputs!$B$11),0))</f>
        <v>472</v>
      </c>
      <c r="D3875" s="49">
        <f ca="1">C3875*Inputs!$B$12</f>
        <v>56640000</v>
      </c>
    </row>
    <row r="3876" spans="1:4" ht="13.5" customHeight="1" x14ac:dyDescent="0.3">
      <c r="A3876" s="50">
        <v>3872</v>
      </c>
      <c r="B3876" s="51">
        <f t="shared" ca="1" si="60"/>
        <v>0.4559506172054274</v>
      </c>
      <c r="C3876" s="48">
        <f t="array" aca="1" ref="C3876" ca="1">MAX(0,ROUND(Inputs!$B$10*Inputs!$B$11+NORMSINV(B3876)*SQRT(Inputs!$B$10*Inputs!$B$11),0))</f>
        <v>498</v>
      </c>
      <c r="D3876" s="52">
        <f ca="1">C3876*Inputs!$B$12</f>
        <v>59760000</v>
      </c>
    </row>
    <row r="3877" spans="1:4" ht="13.5" customHeight="1" x14ac:dyDescent="0.3">
      <c r="A3877" s="46">
        <v>3873</v>
      </c>
      <c r="B3877" s="47">
        <f t="shared" ca="1" si="60"/>
        <v>0.34873794275526304</v>
      </c>
      <c r="C3877" s="48">
        <f t="array" aca="1" ref="C3877" ca="1">MAX(0,ROUND(Inputs!$B$10*Inputs!$B$11+NORMSINV(B3877)*SQRT(Inputs!$B$10*Inputs!$B$11),0))</f>
        <v>491</v>
      </c>
      <c r="D3877" s="49">
        <f ca="1">C3877*Inputs!$B$12</f>
        <v>58920000</v>
      </c>
    </row>
    <row r="3878" spans="1:4" ht="13.5" customHeight="1" x14ac:dyDescent="0.3">
      <c r="A3878" s="50">
        <v>3874</v>
      </c>
      <c r="B3878" s="51">
        <f t="shared" ca="1" si="60"/>
        <v>0.77118201433264777</v>
      </c>
      <c r="C3878" s="48">
        <f t="array" aca="1" ref="C3878" ca="1">MAX(0,ROUND(Inputs!$B$10*Inputs!$B$11+NORMSINV(B3878)*SQRT(Inputs!$B$10*Inputs!$B$11),0))</f>
        <v>517</v>
      </c>
      <c r="D3878" s="52">
        <f ca="1">C3878*Inputs!$B$12</f>
        <v>62040000</v>
      </c>
    </row>
    <row r="3879" spans="1:4" ht="13.5" customHeight="1" x14ac:dyDescent="0.3">
      <c r="A3879" s="46">
        <v>3875</v>
      </c>
      <c r="B3879" s="47">
        <f t="shared" ca="1" si="60"/>
        <v>0.28204881847574592</v>
      </c>
      <c r="C3879" s="48">
        <f t="array" aca="1" ref="C3879" ca="1">MAX(0,ROUND(Inputs!$B$10*Inputs!$B$11+NORMSINV(B3879)*SQRT(Inputs!$B$10*Inputs!$B$11),0))</f>
        <v>487</v>
      </c>
      <c r="D3879" s="49">
        <f ca="1">C3879*Inputs!$B$12</f>
        <v>58440000</v>
      </c>
    </row>
    <row r="3880" spans="1:4" ht="13.5" customHeight="1" x14ac:dyDescent="0.3">
      <c r="A3880" s="50">
        <v>3876</v>
      </c>
      <c r="B3880" s="51">
        <f t="shared" ca="1" si="60"/>
        <v>0.7548887659976834</v>
      </c>
      <c r="C3880" s="48">
        <f t="array" aca="1" ref="C3880" ca="1">MAX(0,ROUND(Inputs!$B$10*Inputs!$B$11+NORMSINV(B3880)*SQRT(Inputs!$B$10*Inputs!$B$11),0))</f>
        <v>515</v>
      </c>
      <c r="D3880" s="52">
        <f ca="1">C3880*Inputs!$B$12</f>
        <v>61800000</v>
      </c>
    </row>
    <row r="3881" spans="1:4" ht="13.5" customHeight="1" x14ac:dyDescent="0.3">
      <c r="A3881" s="46">
        <v>3877</v>
      </c>
      <c r="B3881" s="47">
        <f t="shared" ca="1" si="60"/>
        <v>0.96980388082665003</v>
      </c>
      <c r="C3881" s="48">
        <f t="array" aca="1" ref="C3881" ca="1">MAX(0,ROUND(Inputs!$B$10*Inputs!$B$11+NORMSINV(B3881)*SQRT(Inputs!$B$10*Inputs!$B$11),0))</f>
        <v>542</v>
      </c>
      <c r="D3881" s="49">
        <f ca="1">C3881*Inputs!$B$12</f>
        <v>65040000</v>
      </c>
    </row>
    <row r="3882" spans="1:4" ht="13.5" customHeight="1" x14ac:dyDescent="0.3">
      <c r="A3882" s="50">
        <v>3878</v>
      </c>
      <c r="B3882" s="51">
        <f t="shared" ca="1" si="60"/>
        <v>0.21816096480816749</v>
      </c>
      <c r="C3882" s="48">
        <f t="array" aca="1" ref="C3882" ca="1">MAX(0,ROUND(Inputs!$B$10*Inputs!$B$11+NORMSINV(B3882)*SQRT(Inputs!$B$10*Inputs!$B$11),0))</f>
        <v>483</v>
      </c>
      <c r="D3882" s="52">
        <f ca="1">C3882*Inputs!$B$12</f>
        <v>57960000</v>
      </c>
    </row>
    <row r="3883" spans="1:4" ht="13.5" customHeight="1" x14ac:dyDescent="0.3">
      <c r="A3883" s="46">
        <v>3879</v>
      </c>
      <c r="B3883" s="47">
        <f t="shared" ca="1" si="60"/>
        <v>0.82948061771850146</v>
      </c>
      <c r="C3883" s="48">
        <f t="array" aca="1" ref="C3883" ca="1">MAX(0,ROUND(Inputs!$B$10*Inputs!$B$11+NORMSINV(B3883)*SQRT(Inputs!$B$10*Inputs!$B$11),0))</f>
        <v>521</v>
      </c>
      <c r="D3883" s="49">
        <f ca="1">C3883*Inputs!$B$12</f>
        <v>62520000</v>
      </c>
    </row>
    <row r="3884" spans="1:4" ht="13.5" customHeight="1" x14ac:dyDescent="0.3">
      <c r="A3884" s="50">
        <v>3880</v>
      </c>
      <c r="B3884" s="51">
        <f t="shared" ca="1" si="60"/>
        <v>0.25809419983460802</v>
      </c>
      <c r="C3884" s="48">
        <f t="array" aca="1" ref="C3884" ca="1">MAX(0,ROUND(Inputs!$B$10*Inputs!$B$11+NORMSINV(B3884)*SQRT(Inputs!$B$10*Inputs!$B$11),0))</f>
        <v>485</v>
      </c>
      <c r="D3884" s="52">
        <f ca="1">C3884*Inputs!$B$12</f>
        <v>58200000</v>
      </c>
    </row>
    <row r="3885" spans="1:4" ht="13.5" customHeight="1" x14ac:dyDescent="0.3">
      <c r="A3885" s="46">
        <v>3881</v>
      </c>
      <c r="B3885" s="47">
        <f t="shared" ca="1" si="60"/>
        <v>0.31335495597354257</v>
      </c>
      <c r="C3885" s="48">
        <f t="array" aca="1" ref="C3885" ca="1">MAX(0,ROUND(Inputs!$B$10*Inputs!$B$11+NORMSINV(B3885)*SQRT(Inputs!$B$10*Inputs!$B$11),0))</f>
        <v>489</v>
      </c>
      <c r="D3885" s="49">
        <f ca="1">C3885*Inputs!$B$12</f>
        <v>58680000</v>
      </c>
    </row>
    <row r="3886" spans="1:4" ht="13.5" customHeight="1" x14ac:dyDescent="0.3">
      <c r="A3886" s="50">
        <v>3882</v>
      </c>
      <c r="B3886" s="51">
        <f t="shared" ca="1" si="60"/>
        <v>0.91181412370668902</v>
      </c>
      <c r="C3886" s="48">
        <f t="array" aca="1" ref="C3886" ca="1">MAX(0,ROUND(Inputs!$B$10*Inputs!$B$11+NORMSINV(B3886)*SQRT(Inputs!$B$10*Inputs!$B$11),0))</f>
        <v>530</v>
      </c>
      <c r="D3886" s="52">
        <f ca="1">C3886*Inputs!$B$12</f>
        <v>63600000</v>
      </c>
    </row>
    <row r="3887" spans="1:4" ht="13.5" customHeight="1" x14ac:dyDescent="0.3">
      <c r="A3887" s="46">
        <v>3883</v>
      </c>
      <c r="B3887" s="47">
        <f t="shared" ca="1" si="60"/>
        <v>0.35364910222592905</v>
      </c>
      <c r="C3887" s="48">
        <f t="array" aca="1" ref="C3887" ca="1">MAX(0,ROUND(Inputs!$B$10*Inputs!$B$11+NORMSINV(B3887)*SQRT(Inputs!$B$10*Inputs!$B$11),0))</f>
        <v>492</v>
      </c>
      <c r="D3887" s="49">
        <f ca="1">C3887*Inputs!$B$12</f>
        <v>59040000</v>
      </c>
    </row>
    <row r="3888" spans="1:4" ht="13.5" customHeight="1" x14ac:dyDescent="0.3">
      <c r="A3888" s="50">
        <v>3884</v>
      </c>
      <c r="B3888" s="51">
        <f t="shared" ca="1" si="60"/>
        <v>0.31352266900531833</v>
      </c>
      <c r="C3888" s="48">
        <f t="array" aca="1" ref="C3888" ca="1">MAX(0,ROUND(Inputs!$B$10*Inputs!$B$11+NORMSINV(B3888)*SQRT(Inputs!$B$10*Inputs!$B$11),0))</f>
        <v>489</v>
      </c>
      <c r="D3888" s="52">
        <f ca="1">C3888*Inputs!$B$12</f>
        <v>58680000</v>
      </c>
    </row>
    <row r="3889" spans="1:4" ht="13.5" customHeight="1" x14ac:dyDescent="0.3">
      <c r="A3889" s="46">
        <v>3885</v>
      </c>
      <c r="B3889" s="47">
        <f t="shared" ca="1" si="60"/>
        <v>0.66736153328782455</v>
      </c>
      <c r="C3889" s="48">
        <f t="array" aca="1" ref="C3889" ca="1">MAX(0,ROUND(Inputs!$B$10*Inputs!$B$11+NORMSINV(B3889)*SQRT(Inputs!$B$10*Inputs!$B$11),0))</f>
        <v>510</v>
      </c>
      <c r="D3889" s="49">
        <f ca="1">C3889*Inputs!$B$12</f>
        <v>61200000</v>
      </c>
    </row>
    <row r="3890" spans="1:4" ht="13.5" customHeight="1" x14ac:dyDescent="0.3">
      <c r="A3890" s="50">
        <v>3886</v>
      </c>
      <c r="B3890" s="51">
        <f t="shared" ca="1" si="60"/>
        <v>0.8982029574290088</v>
      </c>
      <c r="C3890" s="48">
        <f t="array" aca="1" ref="C3890" ca="1">MAX(0,ROUND(Inputs!$B$10*Inputs!$B$11+NORMSINV(B3890)*SQRT(Inputs!$B$10*Inputs!$B$11),0))</f>
        <v>528</v>
      </c>
      <c r="D3890" s="52">
        <f ca="1">C3890*Inputs!$B$12</f>
        <v>63360000</v>
      </c>
    </row>
    <row r="3891" spans="1:4" ht="13.5" customHeight="1" x14ac:dyDescent="0.3">
      <c r="A3891" s="46">
        <v>3887</v>
      </c>
      <c r="B3891" s="47">
        <f t="shared" ca="1" si="60"/>
        <v>8.8157082116613328E-2</v>
      </c>
      <c r="C3891" s="48">
        <f t="array" aca="1" ref="C3891" ca="1">MAX(0,ROUND(Inputs!$B$10*Inputs!$B$11+NORMSINV(B3891)*SQRT(Inputs!$B$10*Inputs!$B$11),0))</f>
        <v>470</v>
      </c>
      <c r="D3891" s="49">
        <f ca="1">C3891*Inputs!$B$12</f>
        <v>56400000</v>
      </c>
    </row>
    <row r="3892" spans="1:4" ht="13.5" customHeight="1" x14ac:dyDescent="0.3">
      <c r="A3892" s="50">
        <v>3888</v>
      </c>
      <c r="B3892" s="51">
        <f t="shared" ca="1" si="60"/>
        <v>0.39718782852183687</v>
      </c>
      <c r="C3892" s="48">
        <f t="array" aca="1" ref="C3892" ca="1">MAX(0,ROUND(Inputs!$B$10*Inputs!$B$11+NORMSINV(B3892)*SQRT(Inputs!$B$10*Inputs!$B$11),0))</f>
        <v>494</v>
      </c>
      <c r="D3892" s="52">
        <f ca="1">C3892*Inputs!$B$12</f>
        <v>59280000</v>
      </c>
    </row>
    <row r="3893" spans="1:4" ht="13.5" customHeight="1" x14ac:dyDescent="0.3">
      <c r="A3893" s="46">
        <v>3889</v>
      </c>
      <c r="B3893" s="47">
        <f t="shared" ca="1" si="60"/>
        <v>8.0472429882599616E-2</v>
      </c>
      <c r="C3893" s="48">
        <f t="array" aca="1" ref="C3893" ca="1">MAX(0,ROUND(Inputs!$B$10*Inputs!$B$11+NORMSINV(B3893)*SQRT(Inputs!$B$10*Inputs!$B$11),0))</f>
        <v>469</v>
      </c>
      <c r="D3893" s="49">
        <f ca="1">C3893*Inputs!$B$12</f>
        <v>56280000</v>
      </c>
    </row>
    <row r="3894" spans="1:4" ht="13.5" customHeight="1" x14ac:dyDescent="0.3">
      <c r="A3894" s="50">
        <v>3890</v>
      </c>
      <c r="B3894" s="51">
        <f t="shared" ca="1" si="60"/>
        <v>0.44863502204317829</v>
      </c>
      <c r="C3894" s="48">
        <f t="array" aca="1" ref="C3894" ca="1">MAX(0,ROUND(Inputs!$B$10*Inputs!$B$11+NORMSINV(B3894)*SQRT(Inputs!$B$10*Inputs!$B$11),0))</f>
        <v>497</v>
      </c>
      <c r="D3894" s="52">
        <f ca="1">C3894*Inputs!$B$12</f>
        <v>59640000</v>
      </c>
    </row>
    <row r="3895" spans="1:4" ht="13.5" customHeight="1" x14ac:dyDescent="0.3">
      <c r="A3895" s="46">
        <v>3891</v>
      </c>
      <c r="B3895" s="47">
        <f t="shared" ca="1" si="60"/>
        <v>0.73601675608130879</v>
      </c>
      <c r="C3895" s="48">
        <f t="array" aca="1" ref="C3895" ca="1">MAX(0,ROUND(Inputs!$B$10*Inputs!$B$11+NORMSINV(B3895)*SQRT(Inputs!$B$10*Inputs!$B$11),0))</f>
        <v>514</v>
      </c>
      <c r="D3895" s="49">
        <f ca="1">C3895*Inputs!$B$12</f>
        <v>61680000</v>
      </c>
    </row>
    <row r="3896" spans="1:4" ht="13.5" customHeight="1" x14ac:dyDescent="0.3">
      <c r="A3896" s="50">
        <v>3892</v>
      </c>
      <c r="B3896" s="51">
        <f t="shared" ca="1" si="60"/>
        <v>0.99261220764981895</v>
      </c>
      <c r="C3896" s="48">
        <f t="array" aca="1" ref="C3896" ca="1">MAX(0,ROUND(Inputs!$B$10*Inputs!$B$11+NORMSINV(B3896)*SQRT(Inputs!$B$10*Inputs!$B$11),0))</f>
        <v>555</v>
      </c>
      <c r="D3896" s="52">
        <f ca="1">C3896*Inputs!$B$12</f>
        <v>66600000</v>
      </c>
    </row>
    <row r="3897" spans="1:4" ht="13.5" customHeight="1" x14ac:dyDescent="0.3">
      <c r="A3897" s="46">
        <v>3893</v>
      </c>
      <c r="B3897" s="47">
        <f t="shared" ca="1" si="60"/>
        <v>0.96895397879389999</v>
      </c>
      <c r="C3897" s="48">
        <f t="array" aca="1" ref="C3897" ca="1">MAX(0,ROUND(Inputs!$B$10*Inputs!$B$11+NORMSINV(B3897)*SQRT(Inputs!$B$10*Inputs!$B$11),0))</f>
        <v>542</v>
      </c>
      <c r="D3897" s="49">
        <f ca="1">C3897*Inputs!$B$12</f>
        <v>65040000</v>
      </c>
    </row>
    <row r="3898" spans="1:4" ht="13.5" customHeight="1" x14ac:dyDescent="0.3">
      <c r="A3898" s="50">
        <v>3894</v>
      </c>
      <c r="B3898" s="51">
        <f t="shared" ca="1" si="60"/>
        <v>0.47471754571740665</v>
      </c>
      <c r="C3898" s="48">
        <f t="array" aca="1" ref="C3898" ca="1">MAX(0,ROUND(Inputs!$B$10*Inputs!$B$11+NORMSINV(B3898)*SQRT(Inputs!$B$10*Inputs!$B$11),0))</f>
        <v>499</v>
      </c>
      <c r="D3898" s="52">
        <f ca="1">C3898*Inputs!$B$12</f>
        <v>59880000</v>
      </c>
    </row>
    <row r="3899" spans="1:4" ht="13.5" customHeight="1" x14ac:dyDescent="0.3">
      <c r="A3899" s="46">
        <v>3895</v>
      </c>
      <c r="B3899" s="47">
        <f t="shared" ca="1" si="60"/>
        <v>0.61027053921545182</v>
      </c>
      <c r="C3899" s="48">
        <f t="array" aca="1" ref="C3899" ca="1">MAX(0,ROUND(Inputs!$B$10*Inputs!$B$11+NORMSINV(B3899)*SQRT(Inputs!$B$10*Inputs!$B$11),0))</f>
        <v>506</v>
      </c>
      <c r="D3899" s="49">
        <f ca="1">C3899*Inputs!$B$12</f>
        <v>60720000</v>
      </c>
    </row>
    <row r="3900" spans="1:4" ht="13.5" customHeight="1" x14ac:dyDescent="0.3">
      <c r="A3900" s="50">
        <v>3896</v>
      </c>
      <c r="B3900" s="51">
        <f t="shared" ca="1" si="60"/>
        <v>0.25880413531698898</v>
      </c>
      <c r="C3900" s="48">
        <f t="array" aca="1" ref="C3900" ca="1">MAX(0,ROUND(Inputs!$B$10*Inputs!$B$11+NORMSINV(B3900)*SQRT(Inputs!$B$10*Inputs!$B$11),0))</f>
        <v>486</v>
      </c>
      <c r="D3900" s="52">
        <f ca="1">C3900*Inputs!$B$12</f>
        <v>58320000</v>
      </c>
    </row>
    <row r="3901" spans="1:4" ht="13.5" customHeight="1" x14ac:dyDescent="0.3">
      <c r="A3901" s="46">
        <v>3897</v>
      </c>
      <c r="B3901" s="47">
        <f t="shared" ca="1" si="60"/>
        <v>0.67286374630975876</v>
      </c>
      <c r="C3901" s="48">
        <f t="array" aca="1" ref="C3901" ca="1">MAX(0,ROUND(Inputs!$B$10*Inputs!$B$11+NORMSINV(B3901)*SQRT(Inputs!$B$10*Inputs!$B$11),0))</f>
        <v>510</v>
      </c>
      <c r="D3901" s="49">
        <f ca="1">C3901*Inputs!$B$12</f>
        <v>61200000</v>
      </c>
    </row>
    <row r="3902" spans="1:4" ht="13.5" customHeight="1" x14ac:dyDescent="0.3">
      <c r="A3902" s="50">
        <v>3898</v>
      </c>
      <c r="B3902" s="51">
        <f t="shared" ca="1" si="60"/>
        <v>0.34430316716987053</v>
      </c>
      <c r="C3902" s="48">
        <f t="array" aca="1" ref="C3902" ca="1">MAX(0,ROUND(Inputs!$B$10*Inputs!$B$11+NORMSINV(B3902)*SQRT(Inputs!$B$10*Inputs!$B$11),0))</f>
        <v>491</v>
      </c>
      <c r="D3902" s="52">
        <f ca="1">C3902*Inputs!$B$12</f>
        <v>58920000</v>
      </c>
    </row>
    <row r="3903" spans="1:4" ht="13.5" customHeight="1" x14ac:dyDescent="0.3">
      <c r="A3903" s="46">
        <v>3899</v>
      </c>
      <c r="B3903" s="47">
        <f t="shared" ca="1" si="60"/>
        <v>0.39052822788580754</v>
      </c>
      <c r="C3903" s="48">
        <f t="array" aca="1" ref="C3903" ca="1">MAX(0,ROUND(Inputs!$B$10*Inputs!$B$11+NORMSINV(B3903)*SQRT(Inputs!$B$10*Inputs!$B$11),0))</f>
        <v>494</v>
      </c>
      <c r="D3903" s="49">
        <f ca="1">C3903*Inputs!$B$12</f>
        <v>59280000</v>
      </c>
    </row>
    <row r="3904" spans="1:4" ht="13.5" customHeight="1" x14ac:dyDescent="0.3">
      <c r="A3904" s="50">
        <v>3900</v>
      </c>
      <c r="B3904" s="51">
        <f t="shared" ca="1" si="60"/>
        <v>0.17739464551016837</v>
      </c>
      <c r="C3904" s="48">
        <f t="array" aca="1" ref="C3904" ca="1">MAX(0,ROUND(Inputs!$B$10*Inputs!$B$11+NORMSINV(B3904)*SQRT(Inputs!$B$10*Inputs!$B$11),0))</f>
        <v>479</v>
      </c>
      <c r="D3904" s="52">
        <f ca="1">C3904*Inputs!$B$12</f>
        <v>57480000</v>
      </c>
    </row>
    <row r="3905" spans="1:4" ht="13.5" customHeight="1" x14ac:dyDescent="0.3">
      <c r="A3905" s="46">
        <v>3901</v>
      </c>
      <c r="B3905" s="47">
        <f t="shared" ca="1" si="60"/>
        <v>0.39823345561724155</v>
      </c>
      <c r="C3905" s="48">
        <f t="array" aca="1" ref="C3905" ca="1">MAX(0,ROUND(Inputs!$B$10*Inputs!$B$11+NORMSINV(B3905)*SQRT(Inputs!$B$10*Inputs!$B$11),0))</f>
        <v>494</v>
      </c>
      <c r="D3905" s="49">
        <f ca="1">C3905*Inputs!$B$12</f>
        <v>59280000</v>
      </c>
    </row>
    <row r="3906" spans="1:4" ht="13.5" customHeight="1" x14ac:dyDescent="0.3">
      <c r="A3906" s="50">
        <v>3902</v>
      </c>
      <c r="B3906" s="51">
        <f t="shared" ca="1" si="60"/>
        <v>9.1784852107016812E-2</v>
      </c>
      <c r="C3906" s="48">
        <f t="array" aca="1" ref="C3906" ca="1">MAX(0,ROUND(Inputs!$B$10*Inputs!$B$11+NORMSINV(B3906)*SQRT(Inputs!$B$10*Inputs!$B$11),0))</f>
        <v>470</v>
      </c>
      <c r="D3906" s="52">
        <f ca="1">C3906*Inputs!$B$12</f>
        <v>56400000</v>
      </c>
    </row>
    <row r="3907" spans="1:4" ht="13.5" customHeight="1" x14ac:dyDescent="0.3">
      <c r="A3907" s="46">
        <v>3903</v>
      </c>
      <c r="B3907" s="47">
        <f t="shared" ca="1" si="60"/>
        <v>0.6653701264182923</v>
      </c>
      <c r="C3907" s="48">
        <f t="array" aca="1" ref="C3907" ca="1">MAX(0,ROUND(Inputs!$B$10*Inputs!$B$11+NORMSINV(B3907)*SQRT(Inputs!$B$10*Inputs!$B$11),0))</f>
        <v>510</v>
      </c>
      <c r="D3907" s="49">
        <f ca="1">C3907*Inputs!$B$12</f>
        <v>61200000</v>
      </c>
    </row>
    <row r="3908" spans="1:4" ht="13.5" customHeight="1" x14ac:dyDescent="0.3">
      <c r="A3908" s="50">
        <v>3904</v>
      </c>
      <c r="B3908" s="51">
        <f t="shared" ca="1" si="60"/>
        <v>7.1125500606744274E-2</v>
      </c>
      <c r="C3908" s="48">
        <f t="array" aca="1" ref="C3908" ca="1">MAX(0,ROUND(Inputs!$B$10*Inputs!$B$11+NORMSINV(B3908)*SQRT(Inputs!$B$10*Inputs!$B$11),0))</f>
        <v>467</v>
      </c>
      <c r="D3908" s="52">
        <f ca="1">C3908*Inputs!$B$12</f>
        <v>56040000</v>
      </c>
    </row>
    <row r="3909" spans="1:4" ht="13.5" customHeight="1" x14ac:dyDescent="0.3">
      <c r="A3909" s="46">
        <v>3905</v>
      </c>
      <c r="B3909" s="47">
        <f t="shared" ref="B3909:B3972" ca="1" si="61">RAND()</f>
        <v>0.50184593763429064</v>
      </c>
      <c r="C3909" s="48">
        <f t="array" aca="1" ref="C3909" ca="1">MAX(0,ROUND(Inputs!$B$10*Inputs!$B$11+NORMSINV(B3909)*SQRT(Inputs!$B$10*Inputs!$B$11),0))</f>
        <v>500</v>
      </c>
      <c r="D3909" s="49">
        <f ca="1">C3909*Inputs!$B$12</f>
        <v>60000000</v>
      </c>
    </row>
    <row r="3910" spans="1:4" ht="13.5" customHeight="1" x14ac:dyDescent="0.3">
      <c r="A3910" s="50">
        <v>3906</v>
      </c>
      <c r="B3910" s="51">
        <f t="shared" ca="1" si="61"/>
        <v>0.77961446048026728</v>
      </c>
      <c r="C3910" s="48">
        <f t="array" aca="1" ref="C3910" ca="1">MAX(0,ROUND(Inputs!$B$10*Inputs!$B$11+NORMSINV(B3910)*SQRT(Inputs!$B$10*Inputs!$B$11),0))</f>
        <v>517</v>
      </c>
      <c r="D3910" s="52">
        <f ca="1">C3910*Inputs!$B$12</f>
        <v>62040000</v>
      </c>
    </row>
    <row r="3911" spans="1:4" ht="13.5" customHeight="1" x14ac:dyDescent="0.3">
      <c r="A3911" s="46">
        <v>3907</v>
      </c>
      <c r="B3911" s="47">
        <f t="shared" ca="1" si="61"/>
        <v>0.72532997403102406</v>
      </c>
      <c r="C3911" s="48">
        <f t="array" aca="1" ref="C3911" ca="1">MAX(0,ROUND(Inputs!$B$10*Inputs!$B$11+NORMSINV(B3911)*SQRT(Inputs!$B$10*Inputs!$B$11),0))</f>
        <v>513</v>
      </c>
      <c r="D3911" s="49">
        <f ca="1">C3911*Inputs!$B$12</f>
        <v>61560000</v>
      </c>
    </row>
    <row r="3912" spans="1:4" ht="13.5" customHeight="1" x14ac:dyDescent="0.3">
      <c r="A3912" s="50">
        <v>3908</v>
      </c>
      <c r="B3912" s="51">
        <f t="shared" ca="1" si="61"/>
        <v>0.29375837184039166</v>
      </c>
      <c r="C3912" s="48">
        <f t="array" aca="1" ref="C3912" ca="1">MAX(0,ROUND(Inputs!$B$10*Inputs!$B$11+NORMSINV(B3912)*SQRT(Inputs!$B$10*Inputs!$B$11),0))</f>
        <v>488</v>
      </c>
      <c r="D3912" s="52">
        <f ca="1">C3912*Inputs!$B$12</f>
        <v>58560000</v>
      </c>
    </row>
    <row r="3913" spans="1:4" ht="13.5" customHeight="1" x14ac:dyDescent="0.3">
      <c r="A3913" s="46">
        <v>3909</v>
      </c>
      <c r="B3913" s="47">
        <f t="shared" ca="1" si="61"/>
        <v>0.14038275688572921</v>
      </c>
      <c r="C3913" s="48">
        <f t="array" aca="1" ref="C3913" ca="1">MAX(0,ROUND(Inputs!$B$10*Inputs!$B$11+NORMSINV(B3913)*SQRT(Inputs!$B$10*Inputs!$B$11),0))</f>
        <v>476</v>
      </c>
      <c r="D3913" s="49">
        <f ca="1">C3913*Inputs!$B$12</f>
        <v>57120000</v>
      </c>
    </row>
    <row r="3914" spans="1:4" ht="13.5" customHeight="1" x14ac:dyDescent="0.3">
      <c r="A3914" s="50">
        <v>3910</v>
      </c>
      <c r="B3914" s="51">
        <f t="shared" ca="1" si="61"/>
        <v>0.91295304250133302</v>
      </c>
      <c r="C3914" s="48">
        <f t="array" aca="1" ref="C3914" ca="1">MAX(0,ROUND(Inputs!$B$10*Inputs!$B$11+NORMSINV(B3914)*SQRT(Inputs!$B$10*Inputs!$B$11),0))</f>
        <v>530</v>
      </c>
      <c r="D3914" s="52">
        <f ca="1">C3914*Inputs!$B$12</f>
        <v>63600000</v>
      </c>
    </row>
    <row r="3915" spans="1:4" ht="13.5" customHeight="1" x14ac:dyDescent="0.3">
      <c r="A3915" s="46">
        <v>3911</v>
      </c>
      <c r="B3915" s="47">
        <f t="shared" ca="1" si="61"/>
        <v>0.69506756000927383</v>
      </c>
      <c r="C3915" s="48">
        <f t="array" aca="1" ref="C3915" ca="1">MAX(0,ROUND(Inputs!$B$10*Inputs!$B$11+NORMSINV(B3915)*SQRT(Inputs!$B$10*Inputs!$B$11),0))</f>
        <v>511</v>
      </c>
      <c r="D3915" s="49">
        <f ca="1">C3915*Inputs!$B$12</f>
        <v>61320000</v>
      </c>
    </row>
    <row r="3916" spans="1:4" ht="13.5" customHeight="1" x14ac:dyDescent="0.3">
      <c r="A3916" s="50">
        <v>3912</v>
      </c>
      <c r="B3916" s="51">
        <f t="shared" ca="1" si="61"/>
        <v>0.90986063630964975</v>
      </c>
      <c r="C3916" s="48">
        <f t="array" aca="1" ref="C3916" ca="1">MAX(0,ROUND(Inputs!$B$10*Inputs!$B$11+NORMSINV(B3916)*SQRT(Inputs!$B$10*Inputs!$B$11),0))</f>
        <v>530</v>
      </c>
      <c r="D3916" s="52">
        <f ca="1">C3916*Inputs!$B$12</f>
        <v>63600000</v>
      </c>
    </row>
    <row r="3917" spans="1:4" ht="13.5" customHeight="1" x14ac:dyDescent="0.3">
      <c r="A3917" s="46">
        <v>3913</v>
      </c>
      <c r="B3917" s="47">
        <f t="shared" ca="1" si="61"/>
        <v>0.14213992944952658</v>
      </c>
      <c r="C3917" s="48">
        <f t="array" aca="1" ref="C3917" ca="1">MAX(0,ROUND(Inputs!$B$10*Inputs!$B$11+NORMSINV(B3917)*SQRT(Inputs!$B$10*Inputs!$B$11),0))</f>
        <v>476</v>
      </c>
      <c r="D3917" s="49">
        <f ca="1">C3917*Inputs!$B$12</f>
        <v>57120000</v>
      </c>
    </row>
    <row r="3918" spans="1:4" ht="13.5" customHeight="1" x14ac:dyDescent="0.3">
      <c r="A3918" s="50">
        <v>3914</v>
      </c>
      <c r="B3918" s="51">
        <f t="shared" ca="1" si="61"/>
        <v>0.58425328880913097</v>
      </c>
      <c r="C3918" s="48">
        <f t="array" aca="1" ref="C3918" ca="1">MAX(0,ROUND(Inputs!$B$10*Inputs!$B$11+NORMSINV(B3918)*SQRT(Inputs!$B$10*Inputs!$B$11),0))</f>
        <v>505</v>
      </c>
      <c r="D3918" s="52">
        <f ca="1">C3918*Inputs!$B$12</f>
        <v>60600000</v>
      </c>
    </row>
    <row r="3919" spans="1:4" ht="13.5" customHeight="1" x14ac:dyDescent="0.3">
      <c r="A3919" s="46">
        <v>3915</v>
      </c>
      <c r="B3919" s="47">
        <f t="shared" ca="1" si="61"/>
        <v>0.46290415759908143</v>
      </c>
      <c r="C3919" s="48">
        <f t="array" aca="1" ref="C3919" ca="1">MAX(0,ROUND(Inputs!$B$10*Inputs!$B$11+NORMSINV(B3919)*SQRT(Inputs!$B$10*Inputs!$B$11),0))</f>
        <v>498</v>
      </c>
      <c r="D3919" s="49">
        <f ca="1">C3919*Inputs!$B$12</f>
        <v>59760000</v>
      </c>
    </row>
    <row r="3920" spans="1:4" ht="13.5" customHeight="1" x14ac:dyDescent="0.3">
      <c r="A3920" s="50">
        <v>3916</v>
      </c>
      <c r="B3920" s="51">
        <f t="shared" ca="1" si="61"/>
        <v>0.8955571648528784</v>
      </c>
      <c r="C3920" s="48">
        <f t="array" aca="1" ref="C3920" ca="1">MAX(0,ROUND(Inputs!$B$10*Inputs!$B$11+NORMSINV(B3920)*SQRT(Inputs!$B$10*Inputs!$B$11),0))</f>
        <v>528</v>
      </c>
      <c r="D3920" s="52">
        <f ca="1">C3920*Inputs!$B$12</f>
        <v>63360000</v>
      </c>
    </row>
    <row r="3921" spans="1:4" ht="13.5" customHeight="1" x14ac:dyDescent="0.3">
      <c r="A3921" s="46">
        <v>3917</v>
      </c>
      <c r="B3921" s="47">
        <f t="shared" ca="1" si="61"/>
        <v>0.81960097234227403</v>
      </c>
      <c r="C3921" s="48">
        <f t="array" aca="1" ref="C3921" ca="1">MAX(0,ROUND(Inputs!$B$10*Inputs!$B$11+NORMSINV(B3921)*SQRT(Inputs!$B$10*Inputs!$B$11),0))</f>
        <v>520</v>
      </c>
      <c r="D3921" s="49">
        <f ca="1">C3921*Inputs!$B$12</f>
        <v>62400000</v>
      </c>
    </row>
    <row r="3922" spans="1:4" ht="13.5" customHeight="1" x14ac:dyDescent="0.3">
      <c r="A3922" s="50">
        <v>3918</v>
      </c>
      <c r="B3922" s="51">
        <f t="shared" ca="1" si="61"/>
        <v>0.46594379624084981</v>
      </c>
      <c r="C3922" s="48">
        <f t="array" aca="1" ref="C3922" ca="1">MAX(0,ROUND(Inputs!$B$10*Inputs!$B$11+NORMSINV(B3922)*SQRT(Inputs!$B$10*Inputs!$B$11),0))</f>
        <v>498</v>
      </c>
      <c r="D3922" s="52">
        <f ca="1">C3922*Inputs!$B$12</f>
        <v>59760000</v>
      </c>
    </row>
    <row r="3923" spans="1:4" ht="13.5" customHeight="1" x14ac:dyDescent="0.3">
      <c r="A3923" s="46">
        <v>3919</v>
      </c>
      <c r="B3923" s="47">
        <f t="shared" ca="1" si="61"/>
        <v>0.50504938495504736</v>
      </c>
      <c r="C3923" s="48">
        <f t="array" aca="1" ref="C3923" ca="1">MAX(0,ROUND(Inputs!$B$10*Inputs!$B$11+NORMSINV(B3923)*SQRT(Inputs!$B$10*Inputs!$B$11),0))</f>
        <v>500</v>
      </c>
      <c r="D3923" s="49">
        <f ca="1">C3923*Inputs!$B$12</f>
        <v>60000000</v>
      </c>
    </row>
    <row r="3924" spans="1:4" ht="13.5" customHeight="1" x14ac:dyDescent="0.3">
      <c r="A3924" s="50">
        <v>3920</v>
      </c>
      <c r="B3924" s="51">
        <f t="shared" ca="1" si="61"/>
        <v>0.93783483312812133</v>
      </c>
      <c r="C3924" s="48">
        <f t="array" aca="1" ref="C3924" ca="1">MAX(0,ROUND(Inputs!$B$10*Inputs!$B$11+NORMSINV(B3924)*SQRT(Inputs!$B$10*Inputs!$B$11),0))</f>
        <v>534</v>
      </c>
      <c r="D3924" s="52">
        <f ca="1">C3924*Inputs!$B$12</f>
        <v>64080000</v>
      </c>
    </row>
    <row r="3925" spans="1:4" ht="13.5" customHeight="1" x14ac:dyDescent="0.3">
      <c r="A3925" s="46">
        <v>3921</v>
      </c>
      <c r="B3925" s="47">
        <f t="shared" ca="1" si="61"/>
        <v>0.48867846939272819</v>
      </c>
      <c r="C3925" s="48">
        <f t="array" aca="1" ref="C3925" ca="1">MAX(0,ROUND(Inputs!$B$10*Inputs!$B$11+NORMSINV(B3925)*SQRT(Inputs!$B$10*Inputs!$B$11),0))</f>
        <v>499</v>
      </c>
      <c r="D3925" s="49">
        <f ca="1">C3925*Inputs!$B$12</f>
        <v>59880000</v>
      </c>
    </row>
    <row r="3926" spans="1:4" ht="13.5" customHeight="1" x14ac:dyDescent="0.3">
      <c r="A3926" s="50">
        <v>3922</v>
      </c>
      <c r="B3926" s="51">
        <f t="shared" ca="1" si="61"/>
        <v>0.89617326650185081</v>
      </c>
      <c r="C3926" s="48">
        <f t="array" aca="1" ref="C3926" ca="1">MAX(0,ROUND(Inputs!$B$10*Inputs!$B$11+NORMSINV(B3926)*SQRT(Inputs!$B$10*Inputs!$B$11),0))</f>
        <v>528</v>
      </c>
      <c r="D3926" s="52">
        <f ca="1">C3926*Inputs!$B$12</f>
        <v>63360000</v>
      </c>
    </row>
    <row r="3927" spans="1:4" ht="13.5" customHeight="1" x14ac:dyDescent="0.3">
      <c r="A3927" s="46">
        <v>3923</v>
      </c>
      <c r="B3927" s="47">
        <f t="shared" ca="1" si="61"/>
        <v>0.8609538386258303</v>
      </c>
      <c r="C3927" s="48">
        <f t="array" aca="1" ref="C3927" ca="1">MAX(0,ROUND(Inputs!$B$10*Inputs!$B$11+NORMSINV(B3927)*SQRT(Inputs!$B$10*Inputs!$B$11),0))</f>
        <v>524</v>
      </c>
      <c r="D3927" s="49">
        <f ca="1">C3927*Inputs!$B$12</f>
        <v>62880000</v>
      </c>
    </row>
    <row r="3928" spans="1:4" ht="13.5" customHeight="1" x14ac:dyDescent="0.3">
      <c r="A3928" s="50">
        <v>3924</v>
      </c>
      <c r="B3928" s="51">
        <f t="shared" ca="1" si="61"/>
        <v>5.2729252208639221E-2</v>
      </c>
      <c r="C3928" s="48">
        <f t="array" aca="1" ref="C3928" ca="1">MAX(0,ROUND(Inputs!$B$10*Inputs!$B$11+NORMSINV(B3928)*SQRT(Inputs!$B$10*Inputs!$B$11),0))</f>
        <v>464</v>
      </c>
      <c r="D3928" s="52">
        <f ca="1">C3928*Inputs!$B$12</f>
        <v>55680000</v>
      </c>
    </row>
    <row r="3929" spans="1:4" ht="13.5" customHeight="1" x14ac:dyDescent="0.3">
      <c r="A3929" s="46">
        <v>3925</v>
      </c>
      <c r="B3929" s="47">
        <f t="shared" ca="1" si="61"/>
        <v>0.88922403900636715</v>
      </c>
      <c r="C3929" s="48">
        <f t="array" aca="1" ref="C3929" ca="1">MAX(0,ROUND(Inputs!$B$10*Inputs!$B$11+NORMSINV(B3929)*SQRT(Inputs!$B$10*Inputs!$B$11),0))</f>
        <v>527</v>
      </c>
      <c r="D3929" s="49">
        <f ca="1">C3929*Inputs!$B$12</f>
        <v>63240000</v>
      </c>
    </row>
    <row r="3930" spans="1:4" ht="13.5" customHeight="1" x14ac:dyDescent="0.3">
      <c r="A3930" s="50">
        <v>3926</v>
      </c>
      <c r="B3930" s="51">
        <f t="shared" ca="1" si="61"/>
        <v>0.58524223292475774</v>
      </c>
      <c r="C3930" s="48">
        <f t="array" aca="1" ref="C3930" ca="1">MAX(0,ROUND(Inputs!$B$10*Inputs!$B$11+NORMSINV(B3930)*SQRT(Inputs!$B$10*Inputs!$B$11),0))</f>
        <v>505</v>
      </c>
      <c r="D3930" s="52">
        <f ca="1">C3930*Inputs!$B$12</f>
        <v>60600000</v>
      </c>
    </row>
    <row r="3931" spans="1:4" ht="13.5" customHeight="1" x14ac:dyDescent="0.3">
      <c r="A3931" s="46">
        <v>3927</v>
      </c>
      <c r="B3931" s="47">
        <f t="shared" ca="1" si="61"/>
        <v>0.51785995318941691</v>
      </c>
      <c r="C3931" s="48">
        <f t="array" aca="1" ref="C3931" ca="1">MAX(0,ROUND(Inputs!$B$10*Inputs!$B$11+NORMSINV(B3931)*SQRT(Inputs!$B$10*Inputs!$B$11),0))</f>
        <v>501</v>
      </c>
      <c r="D3931" s="49">
        <f ca="1">C3931*Inputs!$B$12</f>
        <v>60120000</v>
      </c>
    </row>
    <row r="3932" spans="1:4" ht="13.5" customHeight="1" x14ac:dyDescent="0.3">
      <c r="A3932" s="50">
        <v>3928</v>
      </c>
      <c r="B3932" s="51">
        <f t="shared" ca="1" si="61"/>
        <v>0.55287075104129924</v>
      </c>
      <c r="C3932" s="48">
        <f t="array" aca="1" ref="C3932" ca="1">MAX(0,ROUND(Inputs!$B$10*Inputs!$B$11+NORMSINV(B3932)*SQRT(Inputs!$B$10*Inputs!$B$11),0))</f>
        <v>503</v>
      </c>
      <c r="D3932" s="52">
        <f ca="1">C3932*Inputs!$B$12</f>
        <v>60360000</v>
      </c>
    </row>
    <row r="3933" spans="1:4" ht="13.5" customHeight="1" x14ac:dyDescent="0.3">
      <c r="A3933" s="46">
        <v>3929</v>
      </c>
      <c r="B3933" s="47">
        <f t="shared" ca="1" si="61"/>
        <v>0.79991723443684937</v>
      </c>
      <c r="C3933" s="48">
        <f t="array" aca="1" ref="C3933" ca="1">MAX(0,ROUND(Inputs!$B$10*Inputs!$B$11+NORMSINV(B3933)*SQRT(Inputs!$B$10*Inputs!$B$11),0))</f>
        <v>519</v>
      </c>
      <c r="D3933" s="49">
        <f ca="1">C3933*Inputs!$B$12</f>
        <v>62280000</v>
      </c>
    </row>
    <row r="3934" spans="1:4" ht="13.5" customHeight="1" x14ac:dyDescent="0.3">
      <c r="A3934" s="50">
        <v>3930</v>
      </c>
      <c r="B3934" s="51">
        <f t="shared" ca="1" si="61"/>
        <v>2.3576693617203714E-2</v>
      </c>
      <c r="C3934" s="48">
        <f t="array" aca="1" ref="C3934" ca="1">MAX(0,ROUND(Inputs!$B$10*Inputs!$B$11+NORMSINV(B3934)*SQRT(Inputs!$B$10*Inputs!$B$11),0))</f>
        <v>456</v>
      </c>
      <c r="D3934" s="52">
        <f ca="1">C3934*Inputs!$B$12</f>
        <v>54720000</v>
      </c>
    </row>
    <row r="3935" spans="1:4" ht="13.5" customHeight="1" x14ac:dyDescent="0.3">
      <c r="A3935" s="46">
        <v>3931</v>
      </c>
      <c r="B3935" s="47">
        <f t="shared" ca="1" si="61"/>
        <v>0.80663243785339522</v>
      </c>
      <c r="C3935" s="48">
        <f t="array" aca="1" ref="C3935" ca="1">MAX(0,ROUND(Inputs!$B$10*Inputs!$B$11+NORMSINV(B3935)*SQRT(Inputs!$B$10*Inputs!$B$11),0))</f>
        <v>519</v>
      </c>
      <c r="D3935" s="49">
        <f ca="1">C3935*Inputs!$B$12</f>
        <v>62280000</v>
      </c>
    </row>
    <row r="3936" spans="1:4" ht="13.5" customHeight="1" x14ac:dyDescent="0.3">
      <c r="A3936" s="50">
        <v>3932</v>
      </c>
      <c r="B3936" s="51">
        <f t="shared" ca="1" si="61"/>
        <v>0.59265096164044895</v>
      </c>
      <c r="C3936" s="48">
        <f t="array" aca="1" ref="C3936" ca="1">MAX(0,ROUND(Inputs!$B$10*Inputs!$B$11+NORMSINV(B3936)*SQRT(Inputs!$B$10*Inputs!$B$11),0))</f>
        <v>505</v>
      </c>
      <c r="D3936" s="52">
        <f ca="1">C3936*Inputs!$B$12</f>
        <v>60600000</v>
      </c>
    </row>
    <row r="3937" spans="1:4" ht="13.5" customHeight="1" x14ac:dyDescent="0.3">
      <c r="A3937" s="46">
        <v>3933</v>
      </c>
      <c r="B3937" s="47">
        <f t="shared" ca="1" si="61"/>
        <v>0.97210547193407881</v>
      </c>
      <c r="C3937" s="48">
        <f t="array" aca="1" ref="C3937" ca="1">MAX(0,ROUND(Inputs!$B$10*Inputs!$B$11+NORMSINV(B3937)*SQRT(Inputs!$B$10*Inputs!$B$11),0))</f>
        <v>543</v>
      </c>
      <c r="D3937" s="49">
        <f ca="1">C3937*Inputs!$B$12</f>
        <v>65160000</v>
      </c>
    </row>
    <row r="3938" spans="1:4" ht="13.5" customHeight="1" x14ac:dyDescent="0.3">
      <c r="A3938" s="50">
        <v>3934</v>
      </c>
      <c r="B3938" s="51">
        <f t="shared" ca="1" si="61"/>
        <v>0.37394441806799272</v>
      </c>
      <c r="C3938" s="48">
        <f t="array" aca="1" ref="C3938" ca="1">MAX(0,ROUND(Inputs!$B$10*Inputs!$B$11+NORMSINV(B3938)*SQRT(Inputs!$B$10*Inputs!$B$11),0))</f>
        <v>493</v>
      </c>
      <c r="D3938" s="52">
        <f ca="1">C3938*Inputs!$B$12</f>
        <v>59160000</v>
      </c>
    </row>
    <row r="3939" spans="1:4" ht="13.5" customHeight="1" x14ac:dyDescent="0.3">
      <c r="A3939" s="46">
        <v>3935</v>
      </c>
      <c r="B3939" s="47">
        <f t="shared" ca="1" si="61"/>
        <v>0.75399049738830026</v>
      </c>
      <c r="C3939" s="48">
        <f t="array" aca="1" ref="C3939" ca="1">MAX(0,ROUND(Inputs!$B$10*Inputs!$B$11+NORMSINV(B3939)*SQRT(Inputs!$B$10*Inputs!$B$11),0))</f>
        <v>515</v>
      </c>
      <c r="D3939" s="49">
        <f ca="1">C3939*Inputs!$B$12</f>
        <v>61800000</v>
      </c>
    </row>
    <row r="3940" spans="1:4" ht="13.5" customHeight="1" x14ac:dyDescent="0.3">
      <c r="A3940" s="50">
        <v>3936</v>
      </c>
      <c r="B3940" s="51">
        <f t="shared" ca="1" si="61"/>
        <v>0.765214575549645</v>
      </c>
      <c r="C3940" s="48">
        <f t="array" aca="1" ref="C3940" ca="1">MAX(0,ROUND(Inputs!$B$10*Inputs!$B$11+NORMSINV(B3940)*SQRT(Inputs!$B$10*Inputs!$B$11),0))</f>
        <v>516</v>
      </c>
      <c r="D3940" s="52">
        <f ca="1">C3940*Inputs!$B$12</f>
        <v>61920000</v>
      </c>
    </row>
    <row r="3941" spans="1:4" ht="13.5" customHeight="1" x14ac:dyDescent="0.3">
      <c r="A3941" s="46">
        <v>3937</v>
      </c>
      <c r="B3941" s="47">
        <f t="shared" ca="1" si="61"/>
        <v>0.72654154872004628</v>
      </c>
      <c r="C3941" s="48">
        <f t="array" aca="1" ref="C3941" ca="1">MAX(0,ROUND(Inputs!$B$10*Inputs!$B$11+NORMSINV(B3941)*SQRT(Inputs!$B$10*Inputs!$B$11),0))</f>
        <v>513</v>
      </c>
      <c r="D3941" s="49">
        <f ca="1">C3941*Inputs!$B$12</f>
        <v>61560000</v>
      </c>
    </row>
    <row r="3942" spans="1:4" ht="13.5" customHeight="1" x14ac:dyDescent="0.3">
      <c r="A3942" s="50">
        <v>3938</v>
      </c>
      <c r="B3942" s="51">
        <f t="shared" ca="1" si="61"/>
        <v>0.30326131560409797</v>
      </c>
      <c r="C3942" s="48">
        <f t="array" aca="1" ref="C3942" ca="1">MAX(0,ROUND(Inputs!$B$10*Inputs!$B$11+NORMSINV(B3942)*SQRT(Inputs!$B$10*Inputs!$B$11),0))</f>
        <v>488</v>
      </c>
      <c r="D3942" s="52">
        <f ca="1">C3942*Inputs!$B$12</f>
        <v>58560000</v>
      </c>
    </row>
    <row r="3943" spans="1:4" ht="13.5" customHeight="1" x14ac:dyDescent="0.3">
      <c r="A3943" s="46">
        <v>3939</v>
      </c>
      <c r="B3943" s="47">
        <f t="shared" ca="1" si="61"/>
        <v>0.62451912292186651</v>
      </c>
      <c r="C3943" s="48">
        <f t="array" aca="1" ref="C3943" ca="1">MAX(0,ROUND(Inputs!$B$10*Inputs!$B$11+NORMSINV(B3943)*SQRT(Inputs!$B$10*Inputs!$B$11),0))</f>
        <v>507</v>
      </c>
      <c r="D3943" s="49">
        <f ca="1">C3943*Inputs!$B$12</f>
        <v>60840000</v>
      </c>
    </row>
    <row r="3944" spans="1:4" ht="13.5" customHeight="1" x14ac:dyDescent="0.3">
      <c r="A3944" s="50">
        <v>3940</v>
      </c>
      <c r="B3944" s="51">
        <f t="shared" ca="1" si="61"/>
        <v>0.82217608720610325</v>
      </c>
      <c r="C3944" s="48">
        <f t="array" aca="1" ref="C3944" ca="1">MAX(0,ROUND(Inputs!$B$10*Inputs!$B$11+NORMSINV(B3944)*SQRT(Inputs!$B$10*Inputs!$B$11),0))</f>
        <v>521</v>
      </c>
      <c r="D3944" s="52">
        <f ca="1">C3944*Inputs!$B$12</f>
        <v>62520000</v>
      </c>
    </row>
    <row r="3945" spans="1:4" ht="13.5" customHeight="1" x14ac:dyDescent="0.3">
      <c r="A3945" s="46">
        <v>3941</v>
      </c>
      <c r="B3945" s="47">
        <f t="shared" ca="1" si="61"/>
        <v>6.4042476172423868E-2</v>
      </c>
      <c r="C3945" s="48">
        <f t="array" aca="1" ref="C3945" ca="1">MAX(0,ROUND(Inputs!$B$10*Inputs!$B$11+NORMSINV(B3945)*SQRT(Inputs!$B$10*Inputs!$B$11),0))</f>
        <v>466</v>
      </c>
      <c r="D3945" s="49">
        <f ca="1">C3945*Inputs!$B$12</f>
        <v>55920000</v>
      </c>
    </row>
    <row r="3946" spans="1:4" ht="13.5" customHeight="1" x14ac:dyDescent="0.3">
      <c r="A3946" s="50">
        <v>3942</v>
      </c>
      <c r="B3946" s="51">
        <f t="shared" ca="1" si="61"/>
        <v>0.63399085749409034</v>
      </c>
      <c r="C3946" s="48">
        <f t="array" aca="1" ref="C3946" ca="1">MAX(0,ROUND(Inputs!$B$10*Inputs!$B$11+NORMSINV(B3946)*SQRT(Inputs!$B$10*Inputs!$B$11),0))</f>
        <v>508</v>
      </c>
      <c r="D3946" s="52">
        <f ca="1">C3946*Inputs!$B$12</f>
        <v>60960000</v>
      </c>
    </row>
    <row r="3947" spans="1:4" ht="13.5" customHeight="1" x14ac:dyDescent="0.3">
      <c r="A3947" s="46">
        <v>3943</v>
      </c>
      <c r="B3947" s="47">
        <f t="shared" ca="1" si="61"/>
        <v>0.33665397438226363</v>
      </c>
      <c r="C3947" s="48">
        <f t="array" aca="1" ref="C3947" ca="1">MAX(0,ROUND(Inputs!$B$10*Inputs!$B$11+NORMSINV(B3947)*SQRT(Inputs!$B$10*Inputs!$B$11),0))</f>
        <v>491</v>
      </c>
      <c r="D3947" s="49">
        <f ca="1">C3947*Inputs!$B$12</f>
        <v>58920000</v>
      </c>
    </row>
    <row r="3948" spans="1:4" ht="13.5" customHeight="1" x14ac:dyDescent="0.3">
      <c r="A3948" s="50">
        <v>3944</v>
      </c>
      <c r="B3948" s="51">
        <f t="shared" ca="1" si="61"/>
        <v>0.98854635784334477</v>
      </c>
      <c r="C3948" s="48">
        <f t="array" aca="1" ref="C3948" ca="1">MAX(0,ROUND(Inputs!$B$10*Inputs!$B$11+NORMSINV(B3948)*SQRT(Inputs!$B$10*Inputs!$B$11),0))</f>
        <v>551</v>
      </c>
      <c r="D3948" s="52">
        <f ca="1">C3948*Inputs!$B$12</f>
        <v>66120000</v>
      </c>
    </row>
    <row r="3949" spans="1:4" ht="13.5" customHeight="1" x14ac:dyDescent="0.3">
      <c r="A3949" s="46">
        <v>3945</v>
      </c>
      <c r="B3949" s="47">
        <f t="shared" ca="1" si="61"/>
        <v>0.20710655872509209</v>
      </c>
      <c r="C3949" s="48">
        <f t="array" aca="1" ref="C3949" ca="1">MAX(0,ROUND(Inputs!$B$10*Inputs!$B$11+NORMSINV(B3949)*SQRT(Inputs!$B$10*Inputs!$B$11),0))</f>
        <v>482</v>
      </c>
      <c r="D3949" s="49">
        <f ca="1">C3949*Inputs!$B$12</f>
        <v>57840000</v>
      </c>
    </row>
    <row r="3950" spans="1:4" ht="13.5" customHeight="1" x14ac:dyDescent="0.3">
      <c r="A3950" s="50">
        <v>3946</v>
      </c>
      <c r="B3950" s="51">
        <f t="shared" ca="1" si="61"/>
        <v>0.61664618299335383</v>
      </c>
      <c r="C3950" s="48">
        <f t="array" aca="1" ref="C3950" ca="1">MAX(0,ROUND(Inputs!$B$10*Inputs!$B$11+NORMSINV(B3950)*SQRT(Inputs!$B$10*Inputs!$B$11),0))</f>
        <v>507</v>
      </c>
      <c r="D3950" s="52">
        <f ca="1">C3950*Inputs!$B$12</f>
        <v>60840000</v>
      </c>
    </row>
    <row r="3951" spans="1:4" ht="13.5" customHeight="1" x14ac:dyDescent="0.3">
      <c r="A3951" s="46">
        <v>3947</v>
      </c>
      <c r="B3951" s="47">
        <f t="shared" ca="1" si="61"/>
        <v>0.92750054976296947</v>
      </c>
      <c r="C3951" s="48">
        <f t="array" aca="1" ref="C3951" ca="1">MAX(0,ROUND(Inputs!$B$10*Inputs!$B$11+NORMSINV(B3951)*SQRT(Inputs!$B$10*Inputs!$B$11),0))</f>
        <v>533</v>
      </c>
      <c r="D3951" s="49">
        <f ca="1">C3951*Inputs!$B$12</f>
        <v>63960000</v>
      </c>
    </row>
    <row r="3952" spans="1:4" ht="13.5" customHeight="1" x14ac:dyDescent="0.3">
      <c r="A3952" s="50">
        <v>3948</v>
      </c>
      <c r="B3952" s="51">
        <f t="shared" ca="1" si="61"/>
        <v>0.63401437807124572</v>
      </c>
      <c r="C3952" s="48">
        <f t="array" aca="1" ref="C3952" ca="1">MAX(0,ROUND(Inputs!$B$10*Inputs!$B$11+NORMSINV(B3952)*SQRT(Inputs!$B$10*Inputs!$B$11),0))</f>
        <v>508</v>
      </c>
      <c r="D3952" s="52">
        <f ca="1">C3952*Inputs!$B$12</f>
        <v>60960000</v>
      </c>
    </row>
    <row r="3953" spans="1:4" ht="13.5" customHeight="1" x14ac:dyDescent="0.3">
      <c r="A3953" s="46">
        <v>3949</v>
      </c>
      <c r="B3953" s="47">
        <f t="shared" ca="1" si="61"/>
        <v>0.17085947645332333</v>
      </c>
      <c r="C3953" s="48">
        <f t="array" aca="1" ref="C3953" ca="1">MAX(0,ROUND(Inputs!$B$10*Inputs!$B$11+NORMSINV(B3953)*SQRT(Inputs!$B$10*Inputs!$B$11),0))</f>
        <v>479</v>
      </c>
      <c r="D3953" s="49">
        <f ca="1">C3953*Inputs!$B$12</f>
        <v>57480000</v>
      </c>
    </row>
    <row r="3954" spans="1:4" ht="13.5" customHeight="1" x14ac:dyDescent="0.3">
      <c r="A3954" s="50">
        <v>3950</v>
      </c>
      <c r="B3954" s="51">
        <f t="shared" ca="1" si="61"/>
        <v>0.44151216189832676</v>
      </c>
      <c r="C3954" s="48">
        <f t="array" aca="1" ref="C3954" ca="1">MAX(0,ROUND(Inputs!$B$10*Inputs!$B$11+NORMSINV(B3954)*SQRT(Inputs!$B$10*Inputs!$B$11),0))</f>
        <v>497</v>
      </c>
      <c r="D3954" s="52">
        <f ca="1">C3954*Inputs!$B$12</f>
        <v>59640000</v>
      </c>
    </row>
    <row r="3955" spans="1:4" ht="13.5" customHeight="1" x14ac:dyDescent="0.3">
      <c r="A3955" s="46">
        <v>3951</v>
      </c>
      <c r="B3955" s="47">
        <f t="shared" ca="1" si="61"/>
        <v>0.42578160449596303</v>
      </c>
      <c r="C3955" s="48">
        <f t="array" aca="1" ref="C3955" ca="1">MAX(0,ROUND(Inputs!$B$10*Inputs!$B$11+NORMSINV(B3955)*SQRT(Inputs!$B$10*Inputs!$B$11),0))</f>
        <v>496</v>
      </c>
      <c r="D3955" s="49">
        <f ca="1">C3955*Inputs!$B$12</f>
        <v>59520000</v>
      </c>
    </row>
    <row r="3956" spans="1:4" ht="13.5" customHeight="1" x14ac:dyDescent="0.3">
      <c r="A3956" s="50">
        <v>3952</v>
      </c>
      <c r="B3956" s="51">
        <f t="shared" ca="1" si="61"/>
        <v>0.73180789135121471</v>
      </c>
      <c r="C3956" s="48">
        <f t="array" aca="1" ref="C3956" ca="1">MAX(0,ROUND(Inputs!$B$10*Inputs!$B$11+NORMSINV(B3956)*SQRT(Inputs!$B$10*Inputs!$B$11),0))</f>
        <v>514</v>
      </c>
      <c r="D3956" s="52">
        <f ca="1">C3956*Inputs!$B$12</f>
        <v>61680000</v>
      </c>
    </row>
    <row r="3957" spans="1:4" ht="13.5" customHeight="1" x14ac:dyDescent="0.3">
      <c r="A3957" s="46">
        <v>3953</v>
      </c>
      <c r="B3957" s="47">
        <f t="shared" ca="1" si="61"/>
        <v>0.32268495682689069</v>
      </c>
      <c r="C3957" s="48">
        <f t="array" aca="1" ref="C3957" ca="1">MAX(0,ROUND(Inputs!$B$10*Inputs!$B$11+NORMSINV(B3957)*SQRT(Inputs!$B$10*Inputs!$B$11),0))</f>
        <v>490</v>
      </c>
      <c r="D3957" s="49">
        <f ca="1">C3957*Inputs!$B$12</f>
        <v>58800000</v>
      </c>
    </row>
    <row r="3958" spans="1:4" ht="13.5" customHeight="1" x14ac:dyDescent="0.3">
      <c r="A3958" s="50">
        <v>3954</v>
      </c>
      <c r="B3958" s="51">
        <f t="shared" ca="1" si="61"/>
        <v>0.5240905869731719</v>
      </c>
      <c r="C3958" s="48">
        <f t="array" aca="1" ref="C3958" ca="1">MAX(0,ROUND(Inputs!$B$10*Inputs!$B$11+NORMSINV(B3958)*SQRT(Inputs!$B$10*Inputs!$B$11),0))</f>
        <v>501</v>
      </c>
      <c r="D3958" s="52">
        <f ca="1">C3958*Inputs!$B$12</f>
        <v>60120000</v>
      </c>
    </row>
    <row r="3959" spans="1:4" ht="13.5" customHeight="1" x14ac:dyDescent="0.3">
      <c r="A3959" s="46">
        <v>3955</v>
      </c>
      <c r="B3959" s="47">
        <f t="shared" ca="1" si="61"/>
        <v>0.5310475898607725</v>
      </c>
      <c r="C3959" s="48">
        <f t="array" aca="1" ref="C3959" ca="1">MAX(0,ROUND(Inputs!$B$10*Inputs!$B$11+NORMSINV(B3959)*SQRT(Inputs!$B$10*Inputs!$B$11),0))</f>
        <v>502</v>
      </c>
      <c r="D3959" s="49">
        <f ca="1">C3959*Inputs!$B$12</f>
        <v>60240000</v>
      </c>
    </row>
    <row r="3960" spans="1:4" ht="13.5" customHeight="1" x14ac:dyDescent="0.3">
      <c r="A3960" s="50">
        <v>3956</v>
      </c>
      <c r="B3960" s="51">
        <f t="shared" ca="1" si="61"/>
        <v>6.0037820098693961E-2</v>
      </c>
      <c r="C3960" s="48">
        <f t="array" aca="1" ref="C3960" ca="1">MAX(0,ROUND(Inputs!$B$10*Inputs!$B$11+NORMSINV(B3960)*SQRT(Inputs!$B$10*Inputs!$B$11),0))</f>
        <v>465</v>
      </c>
      <c r="D3960" s="52">
        <f ca="1">C3960*Inputs!$B$12</f>
        <v>55800000</v>
      </c>
    </row>
    <row r="3961" spans="1:4" ht="13.5" customHeight="1" x14ac:dyDescent="0.3">
      <c r="A3961" s="46">
        <v>3957</v>
      </c>
      <c r="B3961" s="47">
        <f t="shared" ca="1" si="61"/>
        <v>0.79316523035517816</v>
      </c>
      <c r="C3961" s="48">
        <f t="array" aca="1" ref="C3961" ca="1">MAX(0,ROUND(Inputs!$B$10*Inputs!$B$11+NORMSINV(B3961)*SQRT(Inputs!$B$10*Inputs!$B$11),0))</f>
        <v>518</v>
      </c>
      <c r="D3961" s="49">
        <f ca="1">C3961*Inputs!$B$12</f>
        <v>62160000</v>
      </c>
    </row>
    <row r="3962" spans="1:4" ht="13.5" customHeight="1" x14ac:dyDescent="0.3">
      <c r="A3962" s="50">
        <v>3958</v>
      </c>
      <c r="B3962" s="51">
        <f t="shared" ca="1" si="61"/>
        <v>0.92143004049159261</v>
      </c>
      <c r="C3962" s="48">
        <f t="array" aca="1" ref="C3962" ca="1">MAX(0,ROUND(Inputs!$B$10*Inputs!$B$11+NORMSINV(B3962)*SQRT(Inputs!$B$10*Inputs!$B$11),0))</f>
        <v>532</v>
      </c>
      <c r="D3962" s="52">
        <f ca="1">C3962*Inputs!$B$12</f>
        <v>63840000</v>
      </c>
    </row>
    <row r="3963" spans="1:4" ht="13.5" customHeight="1" x14ac:dyDescent="0.3">
      <c r="A3963" s="46">
        <v>3959</v>
      </c>
      <c r="B3963" s="47">
        <f t="shared" ca="1" si="61"/>
        <v>0.55950058411992643</v>
      </c>
      <c r="C3963" s="48">
        <f t="array" aca="1" ref="C3963" ca="1">MAX(0,ROUND(Inputs!$B$10*Inputs!$B$11+NORMSINV(B3963)*SQRT(Inputs!$B$10*Inputs!$B$11),0))</f>
        <v>503</v>
      </c>
      <c r="D3963" s="49">
        <f ca="1">C3963*Inputs!$B$12</f>
        <v>60360000</v>
      </c>
    </row>
    <row r="3964" spans="1:4" ht="13.5" customHeight="1" x14ac:dyDescent="0.3">
      <c r="A3964" s="50">
        <v>3960</v>
      </c>
      <c r="B3964" s="51">
        <f t="shared" ca="1" si="61"/>
        <v>0.67423454145387318</v>
      </c>
      <c r="C3964" s="48">
        <f t="array" aca="1" ref="C3964" ca="1">MAX(0,ROUND(Inputs!$B$10*Inputs!$B$11+NORMSINV(B3964)*SQRT(Inputs!$B$10*Inputs!$B$11),0))</f>
        <v>510</v>
      </c>
      <c r="D3964" s="52">
        <f ca="1">C3964*Inputs!$B$12</f>
        <v>61200000</v>
      </c>
    </row>
    <row r="3965" spans="1:4" ht="13.5" customHeight="1" x14ac:dyDescent="0.3">
      <c r="A3965" s="46">
        <v>3961</v>
      </c>
      <c r="B3965" s="47">
        <f t="shared" ca="1" si="61"/>
        <v>0.58941665979037394</v>
      </c>
      <c r="C3965" s="48">
        <f t="array" aca="1" ref="C3965" ca="1">MAX(0,ROUND(Inputs!$B$10*Inputs!$B$11+NORMSINV(B3965)*SQRT(Inputs!$B$10*Inputs!$B$11),0))</f>
        <v>505</v>
      </c>
      <c r="D3965" s="49">
        <f ca="1">C3965*Inputs!$B$12</f>
        <v>60600000</v>
      </c>
    </row>
    <row r="3966" spans="1:4" ht="13.5" customHeight="1" x14ac:dyDescent="0.3">
      <c r="A3966" s="50">
        <v>3962</v>
      </c>
      <c r="B3966" s="51">
        <f t="shared" ca="1" si="61"/>
        <v>0.16052760956028733</v>
      </c>
      <c r="C3966" s="48">
        <f t="array" aca="1" ref="C3966" ca="1">MAX(0,ROUND(Inputs!$B$10*Inputs!$B$11+NORMSINV(B3966)*SQRT(Inputs!$B$10*Inputs!$B$11),0))</f>
        <v>478</v>
      </c>
      <c r="D3966" s="52">
        <f ca="1">C3966*Inputs!$B$12</f>
        <v>57360000</v>
      </c>
    </row>
    <row r="3967" spans="1:4" ht="13.5" customHeight="1" x14ac:dyDescent="0.3">
      <c r="A3967" s="46">
        <v>3963</v>
      </c>
      <c r="B3967" s="47">
        <f t="shared" ca="1" si="61"/>
        <v>0.27112148558343652</v>
      </c>
      <c r="C3967" s="48">
        <f t="array" aca="1" ref="C3967" ca="1">MAX(0,ROUND(Inputs!$B$10*Inputs!$B$11+NORMSINV(B3967)*SQRT(Inputs!$B$10*Inputs!$B$11),0))</f>
        <v>486</v>
      </c>
      <c r="D3967" s="49">
        <f ca="1">C3967*Inputs!$B$12</f>
        <v>58320000</v>
      </c>
    </row>
    <row r="3968" spans="1:4" ht="13.5" customHeight="1" x14ac:dyDescent="0.3">
      <c r="A3968" s="50">
        <v>3964</v>
      </c>
      <c r="B3968" s="51">
        <f t="shared" ca="1" si="61"/>
        <v>8.2834190364845517E-3</v>
      </c>
      <c r="C3968" s="48">
        <f t="array" aca="1" ref="C3968" ca="1">MAX(0,ROUND(Inputs!$B$10*Inputs!$B$11+NORMSINV(B3968)*SQRT(Inputs!$B$10*Inputs!$B$11),0))</f>
        <v>446</v>
      </c>
      <c r="D3968" s="52">
        <f ca="1">C3968*Inputs!$B$12</f>
        <v>53520000</v>
      </c>
    </row>
    <row r="3969" spans="1:4" ht="13.5" customHeight="1" x14ac:dyDescent="0.3">
      <c r="A3969" s="46">
        <v>3965</v>
      </c>
      <c r="B3969" s="47">
        <f t="shared" ca="1" si="61"/>
        <v>0.32390236917729276</v>
      </c>
      <c r="C3969" s="48">
        <f t="array" aca="1" ref="C3969" ca="1">MAX(0,ROUND(Inputs!$B$10*Inputs!$B$11+NORMSINV(B3969)*SQRT(Inputs!$B$10*Inputs!$B$11),0))</f>
        <v>490</v>
      </c>
      <c r="D3969" s="49">
        <f ca="1">C3969*Inputs!$B$12</f>
        <v>58800000</v>
      </c>
    </row>
    <row r="3970" spans="1:4" ht="13.5" customHeight="1" x14ac:dyDescent="0.3">
      <c r="A3970" s="50">
        <v>3966</v>
      </c>
      <c r="B3970" s="51">
        <f t="shared" ca="1" si="61"/>
        <v>0.8140124796569681</v>
      </c>
      <c r="C3970" s="48">
        <f t="array" aca="1" ref="C3970" ca="1">MAX(0,ROUND(Inputs!$B$10*Inputs!$B$11+NORMSINV(B3970)*SQRT(Inputs!$B$10*Inputs!$B$11),0))</f>
        <v>520</v>
      </c>
      <c r="D3970" s="52">
        <f ca="1">C3970*Inputs!$B$12</f>
        <v>62400000</v>
      </c>
    </row>
    <row r="3971" spans="1:4" ht="13.5" customHeight="1" x14ac:dyDescent="0.3">
      <c r="A3971" s="46">
        <v>3967</v>
      </c>
      <c r="B3971" s="47">
        <f t="shared" ca="1" si="61"/>
        <v>0.43478851436807842</v>
      </c>
      <c r="C3971" s="48">
        <f t="array" aca="1" ref="C3971" ca="1">MAX(0,ROUND(Inputs!$B$10*Inputs!$B$11+NORMSINV(B3971)*SQRT(Inputs!$B$10*Inputs!$B$11),0))</f>
        <v>496</v>
      </c>
      <c r="D3971" s="49">
        <f ca="1">C3971*Inputs!$B$12</f>
        <v>59520000</v>
      </c>
    </row>
    <row r="3972" spans="1:4" ht="13.5" customHeight="1" x14ac:dyDescent="0.3">
      <c r="A3972" s="50">
        <v>3968</v>
      </c>
      <c r="B3972" s="51">
        <f t="shared" ca="1" si="61"/>
        <v>0.855751655878488</v>
      </c>
      <c r="C3972" s="48">
        <f t="array" aca="1" ref="C3972" ca="1">MAX(0,ROUND(Inputs!$B$10*Inputs!$B$11+NORMSINV(B3972)*SQRT(Inputs!$B$10*Inputs!$B$11),0))</f>
        <v>524</v>
      </c>
      <c r="D3972" s="52">
        <f ca="1">C3972*Inputs!$B$12</f>
        <v>62880000</v>
      </c>
    </row>
    <row r="3973" spans="1:4" ht="13.5" customHeight="1" x14ac:dyDescent="0.3">
      <c r="A3973" s="46">
        <v>3969</v>
      </c>
      <c r="B3973" s="47">
        <f t="shared" ref="B3973:B4036" ca="1" si="62">RAND()</f>
        <v>0.2143100351155508</v>
      </c>
      <c r="C3973" s="48">
        <f t="array" aca="1" ref="C3973" ca="1">MAX(0,ROUND(Inputs!$B$10*Inputs!$B$11+NORMSINV(B3973)*SQRT(Inputs!$B$10*Inputs!$B$11),0))</f>
        <v>482</v>
      </c>
      <c r="D3973" s="49">
        <f ca="1">C3973*Inputs!$B$12</f>
        <v>57840000</v>
      </c>
    </row>
    <row r="3974" spans="1:4" ht="13.5" customHeight="1" x14ac:dyDescent="0.3">
      <c r="A3974" s="50">
        <v>3970</v>
      </c>
      <c r="B3974" s="51">
        <f t="shared" ca="1" si="62"/>
        <v>0.71406612292591742</v>
      </c>
      <c r="C3974" s="48">
        <f t="array" aca="1" ref="C3974" ca="1">MAX(0,ROUND(Inputs!$B$10*Inputs!$B$11+NORMSINV(B3974)*SQRT(Inputs!$B$10*Inputs!$B$11),0))</f>
        <v>513</v>
      </c>
      <c r="D3974" s="52">
        <f ca="1">C3974*Inputs!$B$12</f>
        <v>61560000</v>
      </c>
    </row>
    <row r="3975" spans="1:4" ht="13.5" customHeight="1" x14ac:dyDescent="0.3">
      <c r="A3975" s="46">
        <v>3971</v>
      </c>
      <c r="B3975" s="47">
        <f t="shared" ca="1" si="62"/>
        <v>0.71874266535518283</v>
      </c>
      <c r="C3975" s="48">
        <f t="array" aca="1" ref="C3975" ca="1">MAX(0,ROUND(Inputs!$B$10*Inputs!$B$11+NORMSINV(B3975)*SQRT(Inputs!$B$10*Inputs!$B$11),0))</f>
        <v>513</v>
      </c>
      <c r="D3975" s="49">
        <f ca="1">C3975*Inputs!$B$12</f>
        <v>61560000</v>
      </c>
    </row>
    <row r="3976" spans="1:4" ht="13.5" customHeight="1" x14ac:dyDescent="0.3">
      <c r="A3976" s="50">
        <v>3972</v>
      </c>
      <c r="B3976" s="51">
        <f t="shared" ca="1" si="62"/>
        <v>0.47021373958084889</v>
      </c>
      <c r="C3976" s="48">
        <f t="array" aca="1" ref="C3976" ca="1">MAX(0,ROUND(Inputs!$B$10*Inputs!$B$11+NORMSINV(B3976)*SQRT(Inputs!$B$10*Inputs!$B$11),0))</f>
        <v>498</v>
      </c>
      <c r="D3976" s="52">
        <f ca="1">C3976*Inputs!$B$12</f>
        <v>59760000</v>
      </c>
    </row>
    <row r="3977" spans="1:4" ht="13.5" customHeight="1" x14ac:dyDescent="0.3">
      <c r="A3977" s="46">
        <v>3973</v>
      </c>
      <c r="B3977" s="47">
        <f t="shared" ca="1" si="62"/>
        <v>0.48497808281553634</v>
      </c>
      <c r="C3977" s="48">
        <f t="array" aca="1" ref="C3977" ca="1">MAX(0,ROUND(Inputs!$B$10*Inputs!$B$11+NORMSINV(B3977)*SQRT(Inputs!$B$10*Inputs!$B$11),0))</f>
        <v>499</v>
      </c>
      <c r="D3977" s="49">
        <f ca="1">C3977*Inputs!$B$12</f>
        <v>59880000</v>
      </c>
    </row>
    <row r="3978" spans="1:4" ht="13.5" customHeight="1" x14ac:dyDescent="0.3">
      <c r="A3978" s="50">
        <v>3974</v>
      </c>
      <c r="B3978" s="51">
        <f t="shared" ca="1" si="62"/>
        <v>0.3043431717553039</v>
      </c>
      <c r="C3978" s="48">
        <f t="array" aca="1" ref="C3978" ca="1">MAX(0,ROUND(Inputs!$B$10*Inputs!$B$11+NORMSINV(B3978)*SQRT(Inputs!$B$10*Inputs!$B$11),0))</f>
        <v>489</v>
      </c>
      <c r="D3978" s="52">
        <f ca="1">C3978*Inputs!$B$12</f>
        <v>58680000</v>
      </c>
    </row>
    <row r="3979" spans="1:4" ht="13.5" customHeight="1" x14ac:dyDescent="0.3">
      <c r="A3979" s="46">
        <v>3975</v>
      </c>
      <c r="B3979" s="47">
        <f t="shared" ca="1" si="62"/>
        <v>0.88853821370817776</v>
      </c>
      <c r="C3979" s="48">
        <f t="array" aca="1" ref="C3979" ca="1">MAX(0,ROUND(Inputs!$B$10*Inputs!$B$11+NORMSINV(B3979)*SQRT(Inputs!$B$10*Inputs!$B$11),0))</f>
        <v>527</v>
      </c>
      <c r="D3979" s="49">
        <f ca="1">C3979*Inputs!$B$12</f>
        <v>63240000</v>
      </c>
    </row>
    <row r="3980" spans="1:4" ht="13.5" customHeight="1" x14ac:dyDescent="0.3">
      <c r="A3980" s="50">
        <v>3976</v>
      </c>
      <c r="B3980" s="51">
        <f t="shared" ca="1" si="62"/>
        <v>0.30544286641273644</v>
      </c>
      <c r="C3980" s="48">
        <f t="array" aca="1" ref="C3980" ca="1">MAX(0,ROUND(Inputs!$B$10*Inputs!$B$11+NORMSINV(B3980)*SQRT(Inputs!$B$10*Inputs!$B$11),0))</f>
        <v>489</v>
      </c>
      <c r="D3980" s="52">
        <f ca="1">C3980*Inputs!$B$12</f>
        <v>58680000</v>
      </c>
    </row>
    <row r="3981" spans="1:4" ht="13.5" customHeight="1" x14ac:dyDescent="0.3">
      <c r="A3981" s="46">
        <v>3977</v>
      </c>
      <c r="B3981" s="47">
        <f t="shared" ca="1" si="62"/>
        <v>0.69517096209505247</v>
      </c>
      <c r="C3981" s="48">
        <f t="array" aca="1" ref="C3981" ca="1">MAX(0,ROUND(Inputs!$B$10*Inputs!$B$11+NORMSINV(B3981)*SQRT(Inputs!$B$10*Inputs!$B$11),0))</f>
        <v>511</v>
      </c>
      <c r="D3981" s="49">
        <f ca="1">C3981*Inputs!$B$12</f>
        <v>61320000</v>
      </c>
    </row>
    <row r="3982" spans="1:4" ht="13.5" customHeight="1" x14ac:dyDescent="0.3">
      <c r="A3982" s="50">
        <v>3978</v>
      </c>
      <c r="B3982" s="51">
        <f t="shared" ca="1" si="62"/>
        <v>0.31573675405834112</v>
      </c>
      <c r="C3982" s="48">
        <f t="array" aca="1" ref="C3982" ca="1">MAX(0,ROUND(Inputs!$B$10*Inputs!$B$11+NORMSINV(B3982)*SQRT(Inputs!$B$10*Inputs!$B$11),0))</f>
        <v>489</v>
      </c>
      <c r="D3982" s="52">
        <f ca="1">C3982*Inputs!$B$12</f>
        <v>58680000</v>
      </c>
    </row>
    <row r="3983" spans="1:4" ht="13.5" customHeight="1" x14ac:dyDescent="0.3">
      <c r="A3983" s="46">
        <v>3979</v>
      </c>
      <c r="B3983" s="47">
        <f t="shared" ca="1" si="62"/>
        <v>0.26874235583963757</v>
      </c>
      <c r="C3983" s="48">
        <f t="array" aca="1" ref="C3983" ca="1">MAX(0,ROUND(Inputs!$B$10*Inputs!$B$11+NORMSINV(B3983)*SQRT(Inputs!$B$10*Inputs!$B$11),0))</f>
        <v>486</v>
      </c>
      <c r="D3983" s="49">
        <f ca="1">C3983*Inputs!$B$12</f>
        <v>58320000</v>
      </c>
    </row>
    <row r="3984" spans="1:4" ht="13.5" customHeight="1" x14ac:dyDescent="0.3">
      <c r="A3984" s="50">
        <v>3980</v>
      </c>
      <c r="B3984" s="51">
        <f t="shared" ca="1" si="62"/>
        <v>5.3570451331318436E-2</v>
      </c>
      <c r="C3984" s="48">
        <f t="array" aca="1" ref="C3984" ca="1">MAX(0,ROUND(Inputs!$B$10*Inputs!$B$11+NORMSINV(B3984)*SQRT(Inputs!$B$10*Inputs!$B$11),0))</f>
        <v>464</v>
      </c>
      <c r="D3984" s="52">
        <f ca="1">C3984*Inputs!$B$12</f>
        <v>55680000</v>
      </c>
    </row>
    <row r="3985" spans="1:4" ht="13.5" customHeight="1" x14ac:dyDescent="0.3">
      <c r="A3985" s="46">
        <v>3981</v>
      </c>
      <c r="B3985" s="47">
        <f t="shared" ca="1" si="62"/>
        <v>0.28067913191910276</v>
      </c>
      <c r="C3985" s="48">
        <f t="array" aca="1" ref="C3985" ca="1">MAX(0,ROUND(Inputs!$B$10*Inputs!$B$11+NORMSINV(B3985)*SQRT(Inputs!$B$10*Inputs!$B$11),0))</f>
        <v>487</v>
      </c>
      <c r="D3985" s="49">
        <f ca="1">C3985*Inputs!$B$12</f>
        <v>58440000</v>
      </c>
    </row>
    <row r="3986" spans="1:4" ht="13.5" customHeight="1" x14ac:dyDescent="0.3">
      <c r="A3986" s="50">
        <v>3982</v>
      </c>
      <c r="B3986" s="51">
        <f t="shared" ca="1" si="62"/>
        <v>2.0196562697772924E-3</v>
      </c>
      <c r="C3986" s="48">
        <f t="array" aca="1" ref="C3986" ca="1">MAX(0,ROUND(Inputs!$B$10*Inputs!$B$11+NORMSINV(B3986)*SQRT(Inputs!$B$10*Inputs!$B$11),0))</f>
        <v>436</v>
      </c>
      <c r="D3986" s="52">
        <f ca="1">C3986*Inputs!$B$12</f>
        <v>52320000</v>
      </c>
    </row>
    <row r="3987" spans="1:4" ht="13.5" customHeight="1" x14ac:dyDescent="0.3">
      <c r="A3987" s="46">
        <v>3983</v>
      </c>
      <c r="B3987" s="47">
        <f t="shared" ca="1" si="62"/>
        <v>0.36677320340718211</v>
      </c>
      <c r="C3987" s="48">
        <f t="array" aca="1" ref="C3987" ca="1">MAX(0,ROUND(Inputs!$B$10*Inputs!$B$11+NORMSINV(B3987)*SQRT(Inputs!$B$10*Inputs!$B$11),0))</f>
        <v>492</v>
      </c>
      <c r="D3987" s="49">
        <f ca="1">C3987*Inputs!$B$12</f>
        <v>59040000</v>
      </c>
    </row>
    <row r="3988" spans="1:4" ht="13.5" customHeight="1" x14ac:dyDescent="0.3">
      <c r="A3988" s="50">
        <v>3984</v>
      </c>
      <c r="B3988" s="51">
        <f t="shared" ca="1" si="62"/>
        <v>0.36977359622630934</v>
      </c>
      <c r="C3988" s="48">
        <f t="array" aca="1" ref="C3988" ca="1">MAX(0,ROUND(Inputs!$B$10*Inputs!$B$11+NORMSINV(B3988)*SQRT(Inputs!$B$10*Inputs!$B$11),0))</f>
        <v>493</v>
      </c>
      <c r="D3988" s="52">
        <f ca="1">C3988*Inputs!$B$12</f>
        <v>59160000</v>
      </c>
    </row>
    <row r="3989" spans="1:4" ht="13.5" customHeight="1" x14ac:dyDescent="0.3">
      <c r="A3989" s="46">
        <v>3985</v>
      </c>
      <c r="B3989" s="47">
        <f t="shared" ca="1" si="62"/>
        <v>0.30153491320212344</v>
      </c>
      <c r="C3989" s="48">
        <f t="array" aca="1" ref="C3989" ca="1">MAX(0,ROUND(Inputs!$B$10*Inputs!$B$11+NORMSINV(B3989)*SQRT(Inputs!$B$10*Inputs!$B$11),0))</f>
        <v>488</v>
      </c>
      <c r="D3989" s="49">
        <f ca="1">C3989*Inputs!$B$12</f>
        <v>58560000</v>
      </c>
    </row>
    <row r="3990" spans="1:4" ht="13.5" customHeight="1" x14ac:dyDescent="0.3">
      <c r="A3990" s="50">
        <v>3986</v>
      </c>
      <c r="B3990" s="51">
        <f t="shared" ca="1" si="62"/>
        <v>0.82066459094929678</v>
      </c>
      <c r="C3990" s="48">
        <f t="array" aca="1" ref="C3990" ca="1">MAX(0,ROUND(Inputs!$B$10*Inputs!$B$11+NORMSINV(B3990)*SQRT(Inputs!$B$10*Inputs!$B$11),0))</f>
        <v>521</v>
      </c>
      <c r="D3990" s="52">
        <f ca="1">C3990*Inputs!$B$12</f>
        <v>62520000</v>
      </c>
    </row>
    <row r="3991" spans="1:4" ht="13.5" customHeight="1" x14ac:dyDescent="0.3">
      <c r="A3991" s="46">
        <v>3987</v>
      </c>
      <c r="B3991" s="47">
        <f t="shared" ca="1" si="62"/>
        <v>0.67694780902241014</v>
      </c>
      <c r="C3991" s="48">
        <f t="array" aca="1" ref="C3991" ca="1">MAX(0,ROUND(Inputs!$B$10*Inputs!$B$11+NORMSINV(B3991)*SQRT(Inputs!$B$10*Inputs!$B$11),0))</f>
        <v>510</v>
      </c>
      <c r="D3991" s="49">
        <f ca="1">C3991*Inputs!$B$12</f>
        <v>61200000</v>
      </c>
    </row>
    <row r="3992" spans="1:4" ht="13.5" customHeight="1" x14ac:dyDescent="0.3">
      <c r="A3992" s="50">
        <v>3988</v>
      </c>
      <c r="B3992" s="51">
        <f t="shared" ca="1" si="62"/>
        <v>0.72687814097805958</v>
      </c>
      <c r="C3992" s="48">
        <f t="array" aca="1" ref="C3992" ca="1">MAX(0,ROUND(Inputs!$B$10*Inputs!$B$11+NORMSINV(B3992)*SQRT(Inputs!$B$10*Inputs!$B$11),0))</f>
        <v>513</v>
      </c>
      <c r="D3992" s="52">
        <f ca="1">C3992*Inputs!$B$12</f>
        <v>61560000</v>
      </c>
    </row>
    <row r="3993" spans="1:4" ht="13.5" customHeight="1" x14ac:dyDescent="0.3">
      <c r="A3993" s="46">
        <v>3989</v>
      </c>
      <c r="B3993" s="47">
        <f t="shared" ca="1" si="62"/>
        <v>0.41204866726990419</v>
      </c>
      <c r="C3993" s="48">
        <f t="array" aca="1" ref="C3993" ca="1">MAX(0,ROUND(Inputs!$B$10*Inputs!$B$11+NORMSINV(B3993)*SQRT(Inputs!$B$10*Inputs!$B$11),0))</f>
        <v>495</v>
      </c>
      <c r="D3993" s="49">
        <f ca="1">C3993*Inputs!$B$12</f>
        <v>59400000</v>
      </c>
    </row>
    <row r="3994" spans="1:4" ht="13.5" customHeight="1" x14ac:dyDescent="0.3">
      <c r="A3994" s="50">
        <v>3990</v>
      </c>
      <c r="B3994" s="51">
        <f t="shared" ca="1" si="62"/>
        <v>0.56772491638048317</v>
      </c>
      <c r="C3994" s="48">
        <f t="array" aca="1" ref="C3994" ca="1">MAX(0,ROUND(Inputs!$B$10*Inputs!$B$11+NORMSINV(B3994)*SQRT(Inputs!$B$10*Inputs!$B$11),0))</f>
        <v>504</v>
      </c>
      <c r="D3994" s="52">
        <f ca="1">C3994*Inputs!$B$12</f>
        <v>60480000</v>
      </c>
    </row>
    <row r="3995" spans="1:4" ht="13.5" customHeight="1" x14ac:dyDescent="0.3">
      <c r="A3995" s="46">
        <v>3991</v>
      </c>
      <c r="B3995" s="47">
        <f t="shared" ca="1" si="62"/>
        <v>0.32406536239312056</v>
      </c>
      <c r="C3995" s="48">
        <f t="array" aca="1" ref="C3995" ca="1">MAX(0,ROUND(Inputs!$B$10*Inputs!$B$11+NORMSINV(B3995)*SQRT(Inputs!$B$10*Inputs!$B$11),0))</f>
        <v>490</v>
      </c>
      <c r="D3995" s="49">
        <f ca="1">C3995*Inputs!$B$12</f>
        <v>58800000</v>
      </c>
    </row>
    <row r="3996" spans="1:4" ht="13.5" customHeight="1" x14ac:dyDescent="0.3">
      <c r="A3996" s="50">
        <v>3992</v>
      </c>
      <c r="B3996" s="51">
        <f t="shared" ca="1" si="62"/>
        <v>0.23924144565571148</v>
      </c>
      <c r="C3996" s="48">
        <f t="array" aca="1" ref="C3996" ca="1">MAX(0,ROUND(Inputs!$B$10*Inputs!$B$11+NORMSINV(B3996)*SQRT(Inputs!$B$10*Inputs!$B$11),0))</f>
        <v>484</v>
      </c>
      <c r="D3996" s="52">
        <f ca="1">C3996*Inputs!$B$12</f>
        <v>58080000</v>
      </c>
    </row>
    <row r="3997" spans="1:4" ht="13.5" customHeight="1" x14ac:dyDescent="0.3">
      <c r="A3997" s="46">
        <v>3993</v>
      </c>
      <c r="B3997" s="47">
        <f t="shared" ca="1" si="62"/>
        <v>0.34520777370731459</v>
      </c>
      <c r="C3997" s="48">
        <f t="array" aca="1" ref="C3997" ca="1">MAX(0,ROUND(Inputs!$B$10*Inputs!$B$11+NORMSINV(B3997)*SQRT(Inputs!$B$10*Inputs!$B$11),0))</f>
        <v>491</v>
      </c>
      <c r="D3997" s="49">
        <f ca="1">C3997*Inputs!$B$12</f>
        <v>58920000</v>
      </c>
    </row>
    <row r="3998" spans="1:4" ht="13.5" customHeight="1" x14ac:dyDescent="0.3">
      <c r="A3998" s="50">
        <v>3994</v>
      </c>
      <c r="B3998" s="51">
        <f t="shared" ca="1" si="62"/>
        <v>0.60516629700949398</v>
      </c>
      <c r="C3998" s="48">
        <f t="array" aca="1" ref="C3998" ca="1">MAX(0,ROUND(Inputs!$B$10*Inputs!$B$11+NORMSINV(B3998)*SQRT(Inputs!$B$10*Inputs!$B$11),0))</f>
        <v>506</v>
      </c>
      <c r="D3998" s="52">
        <f ca="1">C3998*Inputs!$B$12</f>
        <v>60720000</v>
      </c>
    </row>
    <row r="3999" spans="1:4" ht="13.5" customHeight="1" x14ac:dyDescent="0.3">
      <c r="A3999" s="46">
        <v>3995</v>
      </c>
      <c r="B3999" s="47">
        <f t="shared" ca="1" si="62"/>
        <v>0.89435855393938068</v>
      </c>
      <c r="C3999" s="48">
        <f t="array" aca="1" ref="C3999" ca="1">MAX(0,ROUND(Inputs!$B$10*Inputs!$B$11+NORMSINV(B3999)*SQRT(Inputs!$B$10*Inputs!$B$11),0))</f>
        <v>528</v>
      </c>
      <c r="D3999" s="49">
        <f ca="1">C3999*Inputs!$B$12</f>
        <v>63360000</v>
      </c>
    </row>
    <row r="4000" spans="1:4" ht="13.5" customHeight="1" x14ac:dyDescent="0.3">
      <c r="A4000" s="50">
        <v>3996</v>
      </c>
      <c r="B4000" s="51">
        <f t="shared" ca="1" si="62"/>
        <v>0.41918406703962863</v>
      </c>
      <c r="C4000" s="48">
        <f t="array" aca="1" ref="C4000" ca="1">MAX(0,ROUND(Inputs!$B$10*Inputs!$B$11+NORMSINV(B4000)*SQRT(Inputs!$B$10*Inputs!$B$11),0))</f>
        <v>495</v>
      </c>
      <c r="D4000" s="52">
        <f ca="1">C4000*Inputs!$B$12</f>
        <v>59400000</v>
      </c>
    </row>
    <row r="4001" spans="1:4" ht="13.5" customHeight="1" x14ac:dyDescent="0.3">
      <c r="A4001" s="46">
        <v>3997</v>
      </c>
      <c r="B4001" s="47">
        <f t="shared" ca="1" si="62"/>
        <v>0.81357992006880453</v>
      </c>
      <c r="C4001" s="48">
        <f t="array" aca="1" ref="C4001" ca="1">MAX(0,ROUND(Inputs!$B$10*Inputs!$B$11+NORMSINV(B4001)*SQRT(Inputs!$B$10*Inputs!$B$11),0))</f>
        <v>520</v>
      </c>
      <c r="D4001" s="49">
        <f ca="1">C4001*Inputs!$B$12</f>
        <v>62400000</v>
      </c>
    </row>
    <row r="4002" spans="1:4" ht="13.5" customHeight="1" x14ac:dyDescent="0.3">
      <c r="A4002" s="50">
        <v>3998</v>
      </c>
      <c r="B4002" s="51">
        <f t="shared" ca="1" si="62"/>
        <v>0.61649381100647171</v>
      </c>
      <c r="C4002" s="48">
        <f t="array" aca="1" ref="C4002" ca="1">MAX(0,ROUND(Inputs!$B$10*Inputs!$B$11+NORMSINV(B4002)*SQRT(Inputs!$B$10*Inputs!$B$11),0))</f>
        <v>507</v>
      </c>
      <c r="D4002" s="52">
        <f ca="1">C4002*Inputs!$B$12</f>
        <v>60840000</v>
      </c>
    </row>
    <row r="4003" spans="1:4" ht="13.5" customHeight="1" x14ac:dyDescent="0.3">
      <c r="A4003" s="46">
        <v>3999</v>
      </c>
      <c r="B4003" s="47">
        <f t="shared" ca="1" si="62"/>
        <v>0.20269671887783614</v>
      </c>
      <c r="C4003" s="48">
        <f t="array" aca="1" ref="C4003" ca="1">MAX(0,ROUND(Inputs!$B$10*Inputs!$B$11+NORMSINV(B4003)*SQRT(Inputs!$B$10*Inputs!$B$11),0))</f>
        <v>481</v>
      </c>
      <c r="D4003" s="49">
        <f ca="1">C4003*Inputs!$B$12</f>
        <v>57720000</v>
      </c>
    </row>
    <row r="4004" spans="1:4" ht="13.5" customHeight="1" x14ac:dyDescent="0.3">
      <c r="A4004" s="50">
        <v>4000</v>
      </c>
      <c r="B4004" s="51">
        <f t="shared" ca="1" si="62"/>
        <v>0.77365735617108378</v>
      </c>
      <c r="C4004" s="48">
        <f t="array" aca="1" ref="C4004" ca="1">MAX(0,ROUND(Inputs!$B$10*Inputs!$B$11+NORMSINV(B4004)*SQRT(Inputs!$B$10*Inputs!$B$11),0))</f>
        <v>517</v>
      </c>
      <c r="D4004" s="52">
        <f ca="1">C4004*Inputs!$B$12</f>
        <v>62040000</v>
      </c>
    </row>
    <row r="4005" spans="1:4" ht="13.5" customHeight="1" x14ac:dyDescent="0.3">
      <c r="A4005" s="46">
        <v>4001</v>
      </c>
      <c r="B4005" s="47">
        <f t="shared" ca="1" si="62"/>
        <v>0.30866432655638409</v>
      </c>
      <c r="C4005" s="48">
        <f t="array" aca="1" ref="C4005" ca="1">MAX(0,ROUND(Inputs!$B$10*Inputs!$B$11+NORMSINV(B4005)*SQRT(Inputs!$B$10*Inputs!$B$11),0))</f>
        <v>489</v>
      </c>
      <c r="D4005" s="49">
        <f ca="1">C4005*Inputs!$B$12</f>
        <v>58680000</v>
      </c>
    </row>
    <row r="4006" spans="1:4" ht="13.5" customHeight="1" x14ac:dyDescent="0.3">
      <c r="A4006" s="50">
        <v>4002</v>
      </c>
      <c r="B4006" s="51">
        <f t="shared" ca="1" si="62"/>
        <v>0.83769171688085531</v>
      </c>
      <c r="C4006" s="48">
        <f t="array" aca="1" ref="C4006" ca="1">MAX(0,ROUND(Inputs!$B$10*Inputs!$B$11+NORMSINV(B4006)*SQRT(Inputs!$B$10*Inputs!$B$11),0))</f>
        <v>522</v>
      </c>
      <c r="D4006" s="52">
        <f ca="1">C4006*Inputs!$B$12</f>
        <v>62640000</v>
      </c>
    </row>
    <row r="4007" spans="1:4" ht="13.5" customHeight="1" x14ac:dyDescent="0.3">
      <c r="A4007" s="46">
        <v>4003</v>
      </c>
      <c r="B4007" s="47">
        <f t="shared" ca="1" si="62"/>
        <v>3.3295960981590156E-2</v>
      </c>
      <c r="C4007" s="48">
        <f t="array" aca="1" ref="C4007" ca="1">MAX(0,ROUND(Inputs!$B$10*Inputs!$B$11+NORMSINV(B4007)*SQRT(Inputs!$B$10*Inputs!$B$11),0))</f>
        <v>459</v>
      </c>
      <c r="D4007" s="49">
        <f ca="1">C4007*Inputs!$B$12</f>
        <v>55080000</v>
      </c>
    </row>
    <row r="4008" spans="1:4" ht="13.5" customHeight="1" x14ac:dyDescent="0.3">
      <c r="A4008" s="50">
        <v>4004</v>
      </c>
      <c r="B4008" s="51">
        <f t="shared" ca="1" si="62"/>
        <v>7.7563434383707497E-2</v>
      </c>
      <c r="C4008" s="48">
        <f t="array" aca="1" ref="C4008" ca="1">MAX(0,ROUND(Inputs!$B$10*Inputs!$B$11+NORMSINV(B4008)*SQRT(Inputs!$B$10*Inputs!$B$11),0))</f>
        <v>468</v>
      </c>
      <c r="D4008" s="52">
        <f ca="1">C4008*Inputs!$B$12</f>
        <v>56160000</v>
      </c>
    </row>
    <row r="4009" spans="1:4" ht="13.5" customHeight="1" x14ac:dyDescent="0.3">
      <c r="A4009" s="46">
        <v>4005</v>
      </c>
      <c r="B4009" s="47">
        <f t="shared" ca="1" si="62"/>
        <v>9.5869393020687088E-2</v>
      </c>
      <c r="C4009" s="48">
        <f t="array" aca="1" ref="C4009" ca="1">MAX(0,ROUND(Inputs!$B$10*Inputs!$B$11+NORMSINV(B4009)*SQRT(Inputs!$B$10*Inputs!$B$11),0))</f>
        <v>471</v>
      </c>
      <c r="D4009" s="49">
        <f ca="1">C4009*Inputs!$B$12</f>
        <v>56520000</v>
      </c>
    </row>
    <row r="4010" spans="1:4" ht="13.5" customHeight="1" x14ac:dyDescent="0.3">
      <c r="A4010" s="50">
        <v>4006</v>
      </c>
      <c r="B4010" s="51">
        <f t="shared" ca="1" si="62"/>
        <v>1.8061077764071509E-2</v>
      </c>
      <c r="C4010" s="48">
        <f t="array" aca="1" ref="C4010" ca="1">MAX(0,ROUND(Inputs!$B$10*Inputs!$B$11+NORMSINV(B4010)*SQRT(Inputs!$B$10*Inputs!$B$11),0))</f>
        <v>453</v>
      </c>
      <c r="D4010" s="52">
        <f ca="1">C4010*Inputs!$B$12</f>
        <v>54360000</v>
      </c>
    </row>
    <row r="4011" spans="1:4" ht="13.5" customHeight="1" x14ac:dyDescent="0.3">
      <c r="A4011" s="46">
        <v>4007</v>
      </c>
      <c r="B4011" s="47">
        <f t="shared" ca="1" si="62"/>
        <v>2.3367786240984234E-2</v>
      </c>
      <c r="C4011" s="48">
        <f t="array" aca="1" ref="C4011" ca="1">MAX(0,ROUND(Inputs!$B$10*Inputs!$B$11+NORMSINV(B4011)*SQRT(Inputs!$B$10*Inputs!$B$11),0))</f>
        <v>456</v>
      </c>
      <c r="D4011" s="49">
        <f ca="1">C4011*Inputs!$B$12</f>
        <v>54720000</v>
      </c>
    </row>
    <row r="4012" spans="1:4" ht="13.5" customHeight="1" x14ac:dyDescent="0.3">
      <c r="A4012" s="50">
        <v>4008</v>
      </c>
      <c r="B4012" s="51">
        <f t="shared" ca="1" si="62"/>
        <v>0.950799878316961</v>
      </c>
      <c r="C4012" s="48">
        <f t="array" aca="1" ref="C4012" ca="1">MAX(0,ROUND(Inputs!$B$10*Inputs!$B$11+NORMSINV(B4012)*SQRT(Inputs!$B$10*Inputs!$B$11),0))</f>
        <v>537</v>
      </c>
      <c r="D4012" s="52">
        <f ca="1">C4012*Inputs!$B$12</f>
        <v>64440000</v>
      </c>
    </row>
    <row r="4013" spans="1:4" ht="13.5" customHeight="1" x14ac:dyDescent="0.3">
      <c r="A4013" s="46">
        <v>4009</v>
      </c>
      <c r="B4013" s="47">
        <f t="shared" ca="1" si="62"/>
        <v>0.91764619889660026</v>
      </c>
      <c r="C4013" s="48">
        <f t="array" aca="1" ref="C4013" ca="1">MAX(0,ROUND(Inputs!$B$10*Inputs!$B$11+NORMSINV(B4013)*SQRT(Inputs!$B$10*Inputs!$B$11),0))</f>
        <v>531</v>
      </c>
      <c r="D4013" s="49">
        <f ca="1">C4013*Inputs!$B$12</f>
        <v>63720000</v>
      </c>
    </row>
    <row r="4014" spans="1:4" ht="13.5" customHeight="1" x14ac:dyDescent="0.3">
      <c r="A4014" s="50">
        <v>4010</v>
      </c>
      <c r="B4014" s="51">
        <f t="shared" ca="1" si="62"/>
        <v>0.25908154635240366</v>
      </c>
      <c r="C4014" s="48">
        <f t="array" aca="1" ref="C4014" ca="1">MAX(0,ROUND(Inputs!$B$10*Inputs!$B$11+NORMSINV(B4014)*SQRT(Inputs!$B$10*Inputs!$B$11),0))</f>
        <v>486</v>
      </c>
      <c r="D4014" s="52">
        <f ca="1">C4014*Inputs!$B$12</f>
        <v>58320000</v>
      </c>
    </row>
    <row r="4015" spans="1:4" ht="13.5" customHeight="1" x14ac:dyDescent="0.3">
      <c r="A4015" s="46">
        <v>4011</v>
      </c>
      <c r="B4015" s="47">
        <f t="shared" ca="1" si="62"/>
        <v>0.57289662349534465</v>
      </c>
      <c r="C4015" s="48">
        <f t="array" aca="1" ref="C4015" ca="1">MAX(0,ROUND(Inputs!$B$10*Inputs!$B$11+NORMSINV(B4015)*SQRT(Inputs!$B$10*Inputs!$B$11),0))</f>
        <v>504</v>
      </c>
      <c r="D4015" s="49">
        <f ca="1">C4015*Inputs!$B$12</f>
        <v>60480000</v>
      </c>
    </row>
    <row r="4016" spans="1:4" ht="13.5" customHeight="1" x14ac:dyDescent="0.3">
      <c r="A4016" s="50">
        <v>4012</v>
      </c>
      <c r="B4016" s="51">
        <f t="shared" ca="1" si="62"/>
        <v>0.71179457795291579</v>
      </c>
      <c r="C4016" s="48">
        <f t="array" aca="1" ref="C4016" ca="1">MAX(0,ROUND(Inputs!$B$10*Inputs!$B$11+NORMSINV(B4016)*SQRT(Inputs!$B$10*Inputs!$B$11),0))</f>
        <v>512</v>
      </c>
      <c r="D4016" s="52">
        <f ca="1">C4016*Inputs!$B$12</f>
        <v>61440000</v>
      </c>
    </row>
    <row r="4017" spans="1:4" ht="13.5" customHeight="1" x14ac:dyDescent="0.3">
      <c r="A4017" s="46">
        <v>4013</v>
      </c>
      <c r="B4017" s="47">
        <f t="shared" ca="1" si="62"/>
        <v>0.81815278966113114</v>
      </c>
      <c r="C4017" s="48">
        <f t="array" aca="1" ref="C4017" ca="1">MAX(0,ROUND(Inputs!$B$10*Inputs!$B$11+NORMSINV(B4017)*SQRT(Inputs!$B$10*Inputs!$B$11),0))</f>
        <v>520</v>
      </c>
      <c r="D4017" s="49">
        <f ca="1">C4017*Inputs!$B$12</f>
        <v>62400000</v>
      </c>
    </row>
    <row r="4018" spans="1:4" ht="13.5" customHeight="1" x14ac:dyDescent="0.3">
      <c r="A4018" s="50">
        <v>4014</v>
      </c>
      <c r="B4018" s="51">
        <f t="shared" ca="1" si="62"/>
        <v>0.68815951682440379</v>
      </c>
      <c r="C4018" s="48">
        <f t="array" aca="1" ref="C4018" ca="1">MAX(0,ROUND(Inputs!$B$10*Inputs!$B$11+NORMSINV(B4018)*SQRT(Inputs!$B$10*Inputs!$B$11),0))</f>
        <v>511</v>
      </c>
      <c r="D4018" s="52">
        <f ca="1">C4018*Inputs!$B$12</f>
        <v>61320000</v>
      </c>
    </row>
    <row r="4019" spans="1:4" ht="13.5" customHeight="1" x14ac:dyDescent="0.3">
      <c r="A4019" s="46">
        <v>4015</v>
      </c>
      <c r="B4019" s="47">
        <f t="shared" ca="1" si="62"/>
        <v>0.16809042451966039</v>
      </c>
      <c r="C4019" s="48">
        <f t="array" aca="1" ref="C4019" ca="1">MAX(0,ROUND(Inputs!$B$10*Inputs!$B$11+NORMSINV(B4019)*SQRT(Inputs!$B$10*Inputs!$B$11),0))</f>
        <v>478</v>
      </c>
      <c r="D4019" s="49">
        <f ca="1">C4019*Inputs!$B$12</f>
        <v>57360000</v>
      </c>
    </row>
    <row r="4020" spans="1:4" ht="13.5" customHeight="1" x14ac:dyDescent="0.3">
      <c r="A4020" s="50">
        <v>4016</v>
      </c>
      <c r="B4020" s="51">
        <f t="shared" ca="1" si="62"/>
        <v>0.16723046850492518</v>
      </c>
      <c r="C4020" s="48">
        <f t="array" aca="1" ref="C4020" ca="1">MAX(0,ROUND(Inputs!$B$10*Inputs!$B$11+NORMSINV(B4020)*SQRT(Inputs!$B$10*Inputs!$B$11),0))</f>
        <v>478</v>
      </c>
      <c r="D4020" s="52">
        <f ca="1">C4020*Inputs!$B$12</f>
        <v>57360000</v>
      </c>
    </row>
    <row r="4021" spans="1:4" ht="13.5" customHeight="1" x14ac:dyDescent="0.3">
      <c r="A4021" s="46">
        <v>4017</v>
      </c>
      <c r="B4021" s="47">
        <f t="shared" ca="1" si="62"/>
        <v>0.44314723262048028</v>
      </c>
      <c r="C4021" s="48">
        <f t="array" aca="1" ref="C4021" ca="1">MAX(0,ROUND(Inputs!$B$10*Inputs!$B$11+NORMSINV(B4021)*SQRT(Inputs!$B$10*Inputs!$B$11),0))</f>
        <v>497</v>
      </c>
      <c r="D4021" s="49">
        <f ca="1">C4021*Inputs!$B$12</f>
        <v>59640000</v>
      </c>
    </row>
    <row r="4022" spans="1:4" ht="13.5" customHeight="1" x14ac:dyDescent="0.3">
      <c r="A4022" s="50">
        <v>4018</v>
      </c>
      <c r="B4022" s="51">
        <f t="shared" ca="1" si="62"/>
        <v>6.8968689057134491E-2</v>
      </c>
      <c r="C4022" s="48">
        <f t="array" aca="1" ref="C4022" ca="1">MAX(0,ROUND(Inputs!$B$10*Inputs!$B$11+NORMSINV(B4022)*SQRT(Inputs!$B$10*Inputs!$B$11),0))</f>
        <v>467</v>
      </c>
      <c r="D4022" s="52">
        <f ca="1">C4022*Inputs!$B$12</f>
        <v>56040000</v>
      </c>
    </row>
    <row r="4023" spans="1:4" ht="13.5" customHeight="1" x14ac:dyDescent="0.3">
      <c r="A4023" s="46">
        <v>4019</v>
      </c>
      <c r="B4023" s="47">
        <f t="shared" ca="1" si="62"/>
        <v>0.2416032443065973</v>
      </c>
      <c r="C4023" s="48">
        <f t="array" aca="1" ref="C4023" ca="1">MAX(0,ROUND(Inputs!$B$10*Inputs!$B$11+NORMSINV(B4023)*SQRT(Inputs!$B$10*Inputs!$B$11),0))</f>
        <v>484</v>
      </c>
      <c r="D4023" s="49">
        <f ca="1">C4023*Inputs!$B$12</f>
        <v>58080000</v>
      </c>
    </row>
    <row r="4024" spans="1:4" ht="13.5" customHeight="1" x14ac:dyDescent="0.3">
      <c r="A4024" s="50">
        <v>4020</v>
      </c>
      <c r="B4024" s="51">
        <f t="shared" ca="1" si="62"/>
        <v>0.79193596268128474</v>
      </c>
      <c r="C4024" s="48">
        <f t="array" aca="1" ref="C4024" ca="1">MAX(0,ROUND(Inputs!$B$10*Inputs!$B$11+NORMSINV(B4024)*SQRT(Inputs!$B$10*Inputs!$B$11),0))</f>
        <v>518</v>
      </c>
      <c r="D4024" s="52">
        <f ca="1">C4024*Inputs!$B$12</f>
        <v>62160000</v>
      </c>
    </row>
    <row r="4025" spans="1:4" ht="13.5" customHeight="1" x14ac:dyDescent="0.3">
      <c r="A4025" s="46">
        <v>4021</v>
      </c>
      <c r="B4025" s="47">
        <f t="shared" ca="1" si="62"/>
        <v>0.99279334505738048</v>
      </c>
      <c r="C4025" s="48">
        <f t="array" aca="1" ref="C4025" ca="1">MAX(0,ROUND(Inputs!$B$10*Inputs!$B$11+NORMSINV(B4025)*SQRT(Inputs!$B$10*Inputs!$B$11),0))</f>
        <v>555</v>
      </c>
      <c r="D4025" s="49">
        <f ca="1">C4025*Inputs!$B$12</f>
        <v>66600000</v>
      </c>
    </row>
    <row r="4026" spans="1:4" ht="13.5" customHeight="1" x14ac:dyDescent="0.3">
      <c r="A4026" s="50">
        <v>4022</v>
      </c>
      <c r="B4026" s="51">
        <f t="shared" ca="1" si="62"/>
        <v>0.10736216517520536</v>
      </c>
      <c r="C4026" s="48">
        <f t="array" aca="1" ref="C4026" ca="1">MAX(0,ROUND(Inputs!$B$10*Inputs!$B$11+NORMSINV(B4026)*SQRT(Inputs!$B$10*Inputs!$B$11),0))</f>
        <v>472</v>
      </c>
      <c r="D4026" s="52">
        <f ca="1">C4026*Inputs!$B$12</f>
        <v>56640000</v>
      </c>
    </row>
    <row r="4027" spans="1:4" ht="13.5" customHeight="1" x14ac:dyDescent="0.3">
      <c r="A4027" s="46">
        <v>4023</v>
      </c>
      <c r="B4027" s="47">
        <f t="shared" ca="1" si="62"/>
        <v>0.97899124050427488</v>
      </c>
      <c r="C4027" s="48">
        <f t="array" aca="1" ref="C4027" ca="1">MAX(0,ROUND(Inputs!$B$10*Inputs!$B$11+NORMSINV(B4027)*SQRT(Inputs!$B$10*Inputs!$B$11),0))</f>
        <v>545</v>
      </c>
      <c r="D4027" s="49">
        <f ca="1">C4027*Inputs!$B$12</f>
        <v>65400000</v>
      </c>
    </row>
    <row r="4028" spans="1:4" ht="13.5" customHeight="1" x14ac:dyDescent="0.3">
      <c r="A4028" s="50">
        <v>4024</v>
      </c>
      <c r="B4028" s="51">
        <f t="shared" ca="1" si="62"/>
        <v>0.13539809433373984</v>
      </c>
      <c r="C4028" s="48">
        <f t="array" aca="1" ref="C4028" ca="1">MAX(0,ROUND(Inputs!$B$10*Inputs!$B$11+NORMSINV(B4028)*SQRT(Inputs!$B$10*Inputs!$B$11),0))</f>
        <v>475</v>
      </c>
      <c r="D4028" s="52">
        <f ca="1">C4028*Inputs!$B$12</f>
        <v>57000000</v>
      </c>
    </row>
    <row r="4029" spans="1:4" ht="13.5" customHeight="1" x14ac:dyDescent="0.3">
      <c r="A4029" s="46">
        <v>4025</v>
      </c>
      <c r="B4029" s="47">
        <f t="shared" ca="1" si="62"/>
        <v>5.7038525508801285E-3</v>
      </c>
      <c r="C4029" s="48">
        <f t="array" aca="1" ref="C4029" ca="1">MAX(0,ROUND(Inputs!$B$10*Inputs!$B$11+NORMSINV(B4029)*SQRT(Inputs!$B$10*Inputs!$B$11),0))</f>
        <v>443</v>
      </c>
      <c r="D4029" s="49">
        <f ca="1">C4029*Inputs!$B$12</f>
        <v>53160000</v>
      </c>
    </row>
    <row r="4030" spans="1:4" ht="13.5" customHeight="1" x14ac:dyDescent="0.3">
      <c r="A4030" s="50">
        <v>4026</v>
      </c>
      <c r="B4030" s="51">
        <f t="shared" ca="1" si="62"/>
        <v>0.75140229837866102</v>
      </c>
      <c r="C4030" s="48">
        <f t="array" aca="1" ref="C4030" ca="1">MAX(0,ROUND(Inputs!$B$10*Inputs!$B$11+NORMSINV(B4030)*SQRT(Inputs!$B$10*Inputs!$B$11),0))</f>
        <v>515</v>
      </c>
      <c r="D4030" s="52">
        <f ca="1">C4030*Inputs!$B$12</f>
        <v>61800000</v>
      </c>
    </row>
    <row r="4031" spans="1:4" ht="13.5" customHeight="1" x14ac:dyDescent="0.3">
      <c r="A4031" s="46">
        <v>4027</v>
      </c>
      <c r="B4031" s="47">
        <f t="shared" ca="1" si="62"/>
        <v>0.71484012060399138</v>
      </c>
      <c r="C4031" s="48">
        <f t="array" aca="1" ref="C4031" ca="1">MAX(0,ROUND(Inputs!$B$10*Inputs!$B$11+NORMSINV(B4031)*SQRT(Inputs!$B$10*Inputs!$B$11),0))</f>
        <v>513</v>
      </c>
      <c r="D4031" s="49">
        <f ca="1">C4031*Inputs!$B$12</f>
        <v>61560000</v>
      </c>
    </row>
    <row r="4032" spans="1:4" ht="13.5" customHeight="1" x14ac:dyDescent="0.3">
      <c r="A4032" s="50">
        <v>4028</v>
      </c>
      <c r="B4032" s="51">
        <f t="shared" ca="1" si="62"/>
        <v>0.52707568652631953</v>
      </c>
      <c r="C4032" s="48">
        <f t="array" aca="1" ref="C4032" ca="1">MAX(0,ROUND(Inputs!$B$10*Inputs!$B$11+NORMSINV(B4032)*SQRT(Inputs!$B$10*Inputs!$B$11),0))</f>
        <v>502</v>
      </c>
      <c r="D4032" s="52">
        <f ca="1">C4032*Inputs!$B$12</f>
        <v>60240000</v>
      </c>
    </row>
    <row r="4033" spans="1:4" ht="13.5" customHeight="1" x14ac:dyDescent="0.3">
      <c r="A4033" s="46">
        <v>4029</v>
      </c>
      <c r="B4033" s="47">
        <f t="shared" ca="1" si="62"/>
        <v>0.15925369107851128</v>
      </c>
      <c r="C4033" s="48">
        <f t="array" aca="1" ref="C4033" ca="1">MAX(0,ROUND(Inputs!$B$10*Inputs!$B$11+NORMSINV(B4033)*SQRT(Inputs!$B$10*Inputs!$B$11),0))</f>
        <v>478</v>
      </c>
      <c r="D4033" s="49">
        <f ca="1">C4033*Inputs!$B$12</f>
        <v>57360000</v>
      </c>
    </row>
    <row r="4034" spans="1:4" ht="13.5" customHeight="1" x14ac:dyDescent="0.3">
      <c r="A4034" s="50">
        <v>4030</v>
      </c>
      <c r="B4034" s="51">
        <f t="shared" ca="1" si="62"/>
        <v>0.31904965323486278</v>
      </c>
      <c r="C4034" s="48">
        <f t="array" aca="1" ref="C4034" ca="1">MAX(0,ROUND(Inputs!$B$10*Inputs!$B$11+NORMSINV(B4034)*SQRT(Inputs!$B$10*Inputs!$B$11),0))</f>
        <v>489</v>
      </c>
      <c r="D4034" s="52">
        <f ca="1">C4034*Inputs!$B$12</f>
        <v>58680000</v>
      </c>
    </row>
    <row r="4035" spans="1:4" ht="13.5" customHeight="1" x14ac:dyDescent="0.3">
      <c r="A4035" s="46">
        <v>4031</v>
      </c>
      <c r="B4035" s="47">
        <f t="shared" ca="1" si="62"/>
        <v>0.68058960182910322</v>
      </c>
      <c r="C4035" s="48">
        <f t="array" aca="1" ref="C4035" ca="1">MAX(0,ROUND(Inputs!$B$10*Inputs!$B$11+NORMSINV(B4035)*SQRT(Inputs!$B$10*Inputs!$B$11),0))</f>
        <v>510</v>
      </c>
      <c r="D4035" s="49">
        <f ca="1">C4035*Inputs!$B$12</f>
        <v>61200000</v>
      </c>
    </row>
    <row r="4036" spans="1:4" ht="13.5" customHeight="1" x14ac:dyDescent="0.3">
      <c r="A4036" s="50">
        <v>4032</v>
      </c>
      <c r="B4036" s="51">
        <f t="shared" ca="1" si="62"/>
        <v>0.63302587498496099</v>
      </c>
      <c r="C4036" s="48">
        <f t="array" aca="1" ref="C4036" ca="1">MAX(0,ROUND(Inputs!$B$10*Inputs!$B$11+NORMSINV(B4036)*SQRT(Inputs!$B$10*Inputs!$B$11),0))</f>
        <v>508</v>
      </c>
      <c r="D4036" s="52">
        <f ca="1">C4036*Inputs!$B$12</f>
        <v>60960000</v>
      </c>
    </row>
    <row r="4037" spans="1:4" ht="13.5" customHeight="1" x14ac:dyDescent="0.3">
      <c r="A4037" s="46">
        <v>4033</v>
      </c>
      <c r="B4037" s="47">
        <f t="shared" ref="B4037:B4100" ca="1" si="63">RAND()</f>
        <v>0.37300830146550223</v>
      </c>
      <c r="C4037" s="48">
        <f t="array" aca="1" ref="C4037" ca="1">MAX(0,ROUND(Inputs!$B$10*Inputs!$B$11+NORMSINV(B4037)*SQRT(Inputs!$B$10*Inputs!$B$11),0))</f>
        <v>493</v>
      </c>
      <c r="D4037" s="49">
        <f ca="1">C4037*Inputs!$B$12</f>
        <v>59160000</v>
      </c>
    </row>
    <row r="4038" spans="1:4" ht="13.5" customHeight="1" x14ac:dyDescent="0.3">
      <c r="A4038" s="50">
        <v>4034</v>
      </c>
      <c r="B4038" s="51">
        <f t="shared" ca="1" si="63"/>
        <v>0.50976746435618814</v>
      </c>
      <c r="C4038" s="48">
        <f t="array" aca="1" ref="C4038" ca="1">MAX(0,ROUND(Inputs!$B$10*Inputs!$B$11+NORMSINV(B4038)*SQRT(Inputs!$B$10*Inputs!$B$11),0))</f>
        <v>501</v>
      </c>
      <c r="D4038" s="52">
        <f ca="1">C4038*Inputs!$B$12</f>
        <v>60120000</v>
      </c>
    </row>
    <row r="4039" spans="1:4" ht="13.5" customHeight="1" x14ac:dyDescent="0.3">
      <c r="A4039" s="46">
        <v>4035</v>
      </c>
      <c r="B4039" s="47">
        <f t="shared" ca="1" si="63"/>
        <v>0.29018706673198424</v>
      </c>
      <c r="C4039" s="48">
        <f t="array" aca="1" ref="C4039" ca="1">MAX(0,ROUND(Inputs!$B$10*Inputs!$B$11+NORMSINV(B4039)*SQRT(Inputs!$B$10*Inputs!$B$11),0))</f>
        <v>488</v>
      </c>
      <c r="D4039" s="49">
        <f ca="1">C4039*Inputs!$B$12</f>
        <v>58560000</v>
      </c>
    </row>
    <row r="4040" spans="1:4" ht="13.5" customHeight="1" x14ac:dyDescent="0.3">
      <c r="A4040" s="50">
        <v>4036</v>
      </c>
      <c r="B4040" s="51">
        <f t="shared" ca="1" si="63"/>
        <v>5.9793208573855727E-2</v>
      </c>
      <c r="C4040" s="48">
        <f t="array" aca="1" ref="C4040" ca="1">MAX(0,ROUND(Inputs!$B$10*Inputs!$B$11+NORMSINV(B4040)*SQRT(Inputs!$B$10*Inputs!$B$11),0))</f>
        <v>465</v>
      </c>
      <c r="D4040" s="52">
        <f ca="1">C4040*Inputs!$B$12</f>
        <v>55800000</v>
      </c>
    </row>
    <row r="4041" spans="1:4" ht="13.5" customHeight="1" x14ac:dyDescent="0.3">
      <c r="A4041" s="46">
        <v>4037</v>
      </c>
      <c r="B4041" s="47">
        <f t="shared" ca="1" si="63"/>
        <v>0.94533318270889399</v>
      </c>
      <c r="C4041" s="48">
        <f t="array" aca="1" ref="C4041" ca="1">MAX(0,ROUND(Inputs!$B$10*Inputs!$B$11+NORMSINV(B4041)*SQRT(Inputs!$B$10*Inputs!$B$11),0))</f>
        <v>536</v>
      </c>
      <c r="D4041" s="49">
        <f ca="1">C4041*Inputs!$B$12</f>
        <v>64320000</v>
      </c>
    </row>
    <row r="4042" spans="1:4" ht="13.5" customHeight="1" x14ac:dyDescent="0.3">
      <c r="A4042" s="50">
        <v>4038</v>
      </c>
      <c r="B4042" s="51">
        <f t="shared" ca="1" si="63"/>
        <v>2.6626232777540504E-2</v>
      </c>
      <c r="C4042" s="48">
        <f t="array" aca="1" ref="C4042" ca="1">MAX(0,ROUND(Inputs!$B$10*Inputs!$B$11+NORMSINV(B4042)*SQRT(Inputs!$B$10*Inputs!$B$11),0))</f>
        <v>457</v>
      </c>
      <c r="D4042" s="52">
        <f ca="1">C4042*Inputs!$B$12</f>
        <v>54840000</v>
      </c>
    </row>
    <row r="4043" spans="1:4" ht="13.5" customHeight="1" x14ac:dyDescent="0.3">
      <c r="A4043" s="46">
        <v>4039</v>
      </c>
      <c r="B4043" s="47">
        <f t="shared" ca="1" si="63"/>
        <v>0.69754278277135451</v>
      </c>
      <c r="C4043" s="48">
        <f t="array" aca="1" ref="C4043" ca="1">MAX(0,ROUND(Inputs!$B$10*Inputs!$B$11+NORMSINV(B4043)*SQRT(Inputs!$B$10*Inputs!$B$11),0))</f>
        <v>512</v>
      </c>
      <c r="D4043" s="49">
        <f ca="1">C4043*Inputs!$B$12</f>
        <v>61440000</v>
      </c>
    </row>
    <row r="4044" spans="1:4" ht="13.5" customHeight="1" x14ac:dyDescent="0.3">
      <c r="A4044" s="50">
        <v>4040</v>
      </c>
      <c r="B4044" s="51">
        <f t="shared" ca="1" si="63"/>
        <v>0.40085742983748496</v>
      </c>
      <c r="C4044" s="48">
        <f t="array" aca="1" ref="C4044" ca="1">MAX(0,ROUND(Inputs!$B$10*Inputs!$B$11+NORMSINV(B4044)*SQRT(Inputs!$B$10*Inputs!$B$11),0))</f>
        <v>494</v>
      </c>
      <c r="D4044" s="52">
        <f ca="1">C4044*Inputs!$B$12</f>
        <v>59280000</v>
      </c>
    </row>
    <row r="4045" spans="1:4" ht="13.5" customHeight="1" x14ac:dyDescent="0.3">
      <c r="A4045" s="46">
        <v>4041</v>
      </c>
      <c r="B4045" s="47">
        <f t="shared" ca="1" si="63"/>
        <v>0.36313770803507439</v>
      </c>
      <c r="C4045" s="48">
        <f t="array" aca="1" ref="C4045" ca="1">MAX(0,ROUND(Inputs!$B$10*Inputs!$B$11+NORMSINV(B4045)*SQRT(Inputs!$B$10*Inputs!$B$11),0))</f>
        <v>492</v>
      </c>
      <c r="D4045" s="49">
        <f ca="1">C4045*Inputs!$B$12</f>
        <v>59040000</v>
      </c>
    </row>
    <row r="4046" spans="1:4" ht="13.5" customHeight="1" x14ac:dyDescent="0.3">
      <c r="A4046" s="50">
        <v>4042</v>
      </c>
      <c r="B4046" s="51">
        <f t="shared" ca="1" si="63"/>
        <v>0.69690972335989143</v>
      </c>
      <c r="C4046" s="48">
        <f t="array" aca="1" ref="C4046" ca="1">MAX(0,ROUND(Inputs!$B$10*Inputs!$B$11+NORMSINV(B4046)*SQRT(Inputs!$B$10*Inputs!$B$11),0))</f>
        <v>512</v>
      </c>
      <c r="D4046" s="52">
        <f ca="1">C4046*Inputs!$B$12</f>
        <v>61440000</v>
      </c>
    </row>
    <row r="4047" spans="1:4" ht="13.5" customHeight="1" x14ac:dyDescent="0.3">
      <c r="A4047" s="46">
        <v>4043</v>
      </c>
      <c r="B4047" s="47">
        <f t="shared" ca="1" si="63"/>
        <v>0.23054258597078137</v>
      </c>
      <c r="C4047" s="48">
        <f t="array" aca="1" ref="C4047" ca="1">MAX(0,ROUND(Inputs!$B$10*Inputs!$B$11+NORMSINV(B4047)*SQRT(Inputs!$B$10*Inputs!$B$11),0))</f>
        <v>484</v>
      </c>
      <c r="D4047" s="49">
        <f ca="1">C4047*Inputs!$B$12</f>
        <v>58080000</v>
      </c>
    </row>
    <row r="4048" spans="1:4" ht="13.5" customHeight="1" x14ac:dyDescent="0.3">
      <c r="A4048" s="50">
        <v>4044</v>
      </c>
      <c r="B4048" s="51">
        <f t="shared" ca="1" si="63"/>
        <v>0.36385301612012733</v>
      </c>
      <c r="C4048" s="48">
        <f t="array" aca="1" ref="C4048" ca="1">MAX(0,ROUND(Inputs!$B$10*Inputs!$B$11+NORMSINV(B4048)*SQRT(Inputs!$B$10*Inputs!$B$11),0))</f>
        <v>492</v>
      </c>
      <c r="D4048" s="52">
        <f ca="1">C4048*Inputs!$B$12</f>
        <v>59040000</v>
      </c>
    </row>
    <row r="4049" spans="1:4" ht="13.5" customHeight="1" x14ac:dyDescent="0.3">
      <c r="A4049" s="46">
        <v>4045</v>
      </c>
      <c r="B4049" s="47">
        <f t="shared" ca="1" si="63"/>
        <v>0.62727320163030909</v>
      </c>
      <c r="C4049" s="48">
        <f t="array" aca="1" ref="C4049" ca="1">MAX(0,ROUND(Inputs!$B$10*Inputs!$B$11+NORMSINV(B4049)*SQRT(Inputs!$B$10*Inputs!$B$11),0))</f>
        <v>507</v>
      </c>
      <c r="D4049" s="49">
        <f ca="1">C4049*Inputs!$B$12</f>
        <v>60840000</v>
      </c>
    </row>
    <row r="4050" spans="1:4" ht="13.5" customHeight="1" x14ac:dyDescent="0.3">
      <c r="A4050" s="50">
        <v>4046</v>
      </c>
      <c r="B4050" s="51">
        <f t="shared" ca="1" si="63"/>
        <v>0.84155414656608041</v>
      </c>
      <c r="C4050" s="48">
        <f t="array" aca="1" ref="C4050" ca="1">MAX(0,ROUND(Inputs!$B$10*Inputs!$B$11+NORMSINV(B4050)*SQRT(Inputs!$B$10*Inputs!$B$11),0))</f>
        <v>522</v>
      </c>
      <c r="D4050" s="52">
        <f ca="1">C4050*Inputs!$B$12</f>
        <v>62640000</v>
      </c>
    </row>
    <row r="4051" spans="1:4" ht="13.5" customHeight="1" x14ac:dyDescent="0.3">
      <c r="A4051" s="46">
        <v>4047</v>
      </c>
      <c r="B4051" s="47">
        <f t="shared" ca="1" si="63"/>
        <v>0.81515158027369639</v>
      </c>
      <c r="C4051" s="48">
        <f t="array" aca="1" ref="C4051" ca="1">MAX(0,ROUND(Inputs!$B$10*Inputs!$B$11+NORMSINV(B4051)*SQRT(Inputs!$B$10*Inputs!$B$11),0))</f>
        <v>520</v>
      </c>
      <c r="D4051" s="49">
        <f ca="1">C4051*Inputs!$B$12</f>
        <v>62400000</v>
      </c>
    </row>
    <row r="4052" spans="1:4" ht="13.5" customHeight="1" x14ac:dyDescent="0.3">
      <c r="A4052" s="50">
        <v>4048</v>
      </c>
      <c r="B4052" s="51">
        <f t="shared" ca="1" si="63"/>
        <v>0.14140666335353502</v>
      </c>
      <c r="C4052" s="48">
        <f t="array" aca="1" ref="C4052" ca="1">MAX(0,ROUND(Inputs!$B$10*Inputs!$B$11+NORMSINV(B4052)*SQRT(Inputs!$B$10*Inputs!$B$11),0))</f>
        <v>476</v>
      </c>
      <c r="D4052" s="52">
        <f ca="1">C4052*Inputs!$B$12</f>
        <v>57120000</v>
      </c>
    </row>
    <row r="4053" spans="1:4" ht="13.5" customHeight="1" x14ac:dyDescent="0.3">
      <c r="A4053" s="46">
        <v>4049</v>
      </c>
      <c r="B4053" s="47">
        <f t="shared" ca="1" si="63"/>
        <v>0.67426147258903513</v>
      </c>
      <c r="C4053" s="48">
        <f t="array" aca="1" ref="C4053" ca="1">MAX(0,ROUND(Inputs!$B$10*Inputs!$B$11+NORMSINV(B4053)*SQRT(Inputs!$B$10*Inputs!$B$11),0))</f>
        <v>510</v>
      </c>
      <c r="D4053" s="49">
        <f ca="1">C4053*Inputs!$B$12</f>
        <v>61200000</v>
      </c>
    </row>
    <row r="4054" spans="1:4" ht="13.5" customHeight="1" x14ac:dyDescent="0.3">
      <c r="A4054" s="50">
        <v>4050</v>
      </c>
      <c r="B4054" s="51">
        <f t="shared" ca="1" si="63"/>
        <v>0.62222496226269919</v>
      </c>
      <c r="C4054" s="48">
        <f t="array" aca="1" ref="C4054" ca="1">MAX(0,ROUND(Inputs!$B$10*Inputs!$B$11+NORMSINV(B4054)*SQRT(Inputs!$B$10*Inputs!$B$11),0))</f>
        <v>507</v>
      </c>
      <c r="D4054" s="52">
        <f ca="1">C4054*Inputs!$B$12</f>
        <v>60840000</v>
      </c>
    </row>
    <row r="4055" spans="1:4" ht="13.5" customHeight="1" x14ac:dyDescent="0.3">
      <c r="A4055" s="46">
        <v>4051</v>
      </c>
      <c r="B4055" s="47">
        <f t="shared" ca="1" si="63"/>
        <v>0.24610218333113043</v>
      </c>
      <c r="C4055" s="48">
        <f t="array" aca="1" ref="C4055" ca="1">MAX(0,ROUND(Inputs!$B$10*Inputs!$B$11+NORMSINV(B4055)*SQRT(Inputs!$B$10*Inputs!$B$11),0))</f>
        <v>485</v>
      </c>
      <c r="D4055" s="49">
        <f ca="1">C4055*Inputs!$B$12</f>
        <v>58200000</v>
      </c>
    </row>
    <row r="4056" spans="1:4" ht="13.5" customHeight="1" x14ac:dyDescent="0.3">
      <c r="A4056" s="50">
        <v>4052</v>
      </c>
      <c r="B4056" s="51">
        <f t="shared" ca="1" si="63"/>
        <v>0.12063572179601922</v>
      </c>
      <c r="C4056" s="48">
        <f t="array" aca="1" ref="C4056" ca="1">MAX(0,ROUND(Inputs!$B$10*Inputs!$B$11+NORMSINV(B4056)*SQRT(Inputs!$B$10*Inputs!$B$11),0))</f>
        <v>474</v>
      </c>
      <c r="D4056" s="52">
        <f ca="1">C4056*Inputs!$B$12</f>
        <v>56880000</v>
      </c>
    </row>
    <row r="4057" spans="1:4" ht="13.5" customHeight="1" x14ac:dyDescent="0.3">
      <c r="A4057" s="46">
        <v>4053</v>
      </c>
      <c r="B4057" s="47">
        <f t="shared" ca="1" si="63"/>
        <v>0.93460904125560473</v>
      </c>
      <c r="C4057" s="48">
        <f t="array" aca="1" ref="C4057" ca="1">MAX(0,ROUND(Inputs!$B$10*Inputs!$B$11+NORMSINV(B4057)*SQRT(Inputs!$B$10*Inputs!$B$11),0))</f>
        <v>534</v>
      </c>
      <c r="D4057" s="49">
        <f ca="1">C4057*Inputs!$B$12</f>
        <v>64080000</v>
      </c>
    </row>
    <row r="4058" spans="1:4" ht="13.5" customHeight="1" x14ac:dyDescent="0.3">
      <c r="A4058" s="50">
        <v>4054</v>
      </c>
      <c r="B4058" s="51">
        <f t="shared" ca="1" si="63"/>
        <v>0.70490331671102369</v>
      </c>
      <c r="C4058" s="48">
        <f t="array" aca="1" ref="C4058" ca="1">MAX(0,ROUND(Inputs!$B$10*Inputs!$B$11+NORMSINV(B4058)*SQRT(Inputs!$B$10*Inputs!$B$11),0))</f>
        <v>512</v>
      </c>
      <c r="D4058" s="52">
        <f ca="1">C4058*Inputs!$B$12</f>
        <v>61440000</v>
      </c>
    </row>
    <row r="4059" spans="1:4" ht="13.5" customHeight="1" x14ac:dyDescent="0.3">
      <c r="A4059" s="46">
        <v>4055</v>
      </c>
      <c r="B4059" s="47">
        <f t="shared" ca="1" si="63"/>
        <v>0.60155927412037269</v>
      </c>
      <c r="C4059" s="48">
        <f t="array" aca="1" ref="C4059" ca="1">MAX(0,ROUND(Inputs!$B$10*Inputs!$B$11+NORMSINV(B4059)*SQRT(Inputs!$B$10*Inputs!$B$11),0))</f>
        <v>506</v>
      </c>
      <c r="D4059" s="49">
        <f ca="1">C4059*Inputs!$B$12</f>
        <v>60720000</v>
      </c>
    </row>
    <row r="4060" spans="1:4" ht="13.5" customHeight="1" x14ac:dyDescent="0.3">
      <c r="A4060" s="50">
        <v>4056</v>
      </c>
      <c r="B4060" s="51">
        <f t="shared" ca="1" si="63"/>
        <v>0.74905326954753271</v>
      </c>
      <c r="C4060" s="48">
        <f t="array" aca="1" ref="C4060" ca="1">MAX(0,ROUND(Inputs!$B$10*Inputs!$B$11+NORMSINV(B4060)*SQRT(Inputs!$B$10*Inputs!$B$11),0))</f>
        <v>515</v>
      </c>
      <c r="D4060" s="52">
        <f ca="1">C4060*Inputs!$B$12</f>
        <v>61800000</v>
      </c>
    </row>
    <row r="4061" spans="1:4" ht="13.5" customHeight="1" x14ac:dyDescent="0.3">
      <c r="A4061" s="46">
        <v>4057</v>
      </c>
      <c r="B4061" s="47">
        <f t="shared" ca="1" si="63"/>
        <v>0.63548020826344231</v>
      </c>
      <c r="C4061" s="48">
        <f t="array" aca="1" ref="C4061" ca="1">MAX(0,ROUND(Inputs!$B$10*Inputs!$B$11+NORMSINV(B4061)*SQRT(Inputs!$B$10*Inputs!$B$11),0))</f>
        <v>508</v>
      </c>
      <c r="D4061" s="49">
        <f ca="1">C4061*Inputs!$B$12</f>
        <v>60960000</v>
      </c>
    </row>
    <row r="4062" spans="1:4" ht="13.5" customHeight="1" x14ac:dyDescent="0.3">
      <c r="A4062" s="50">
        <v>4058</v>
      </c>
      <c r="B4062" s="51">
        <f t="shared" ca="1" si="63"/>
        <v>0.53490692893230418</v>
      </c>
      <c r="C4062" s="48">
        <f t="array" aca="1" ref="C4062" ca="1">MAX(0,ROUND(Inputs!$B$10*Inputs!$B$11+NORMSINV(B4062)*SQRT(Inputs!$B$10*Inputs!$B$11),0))</f>
        <v>502</v>
      </c>
      <c r="D4062" s="52">
        <f ca="1">C4062*Inputs!$B$12</f>
        <v>60240000</v>
      </c>
    </row>
    <row r="4063" spans="1:4" ht="13.5" customHeight="1" x14ac:dyDescent="0.3">
      <c r="A4063" s="46">
        <v>4059</v>
      </c>
      <c r="B4063" s="47">
        <f t="shared" ca="1" si="63"/>
        <v>0.95103016930975248</v>
      </c>
      <c r="C4063" s="48">
        <f t="array" aca="1" ref="C4063" ca="1">MAX(0,ROUND(Inputs!$B$10*Inputs!$B$11+NORMSINV(B4063)*SQRT(Inputs!$B$10*Inputs!$B$11),0))</f>
        <v>537</v>
      </c>
      <c r="D4063" s="49">
        <f ca="1">C4063*Inputs!$B$12</f>
        <v>64440000</v>
      </c>
    </row>
    <row r="4064" spans="1:4" ht="13.5" customHeight="1" x14ac:dyDescent="0.3">
      <c r="A4064" s="50">
        <v>4060</v>
      </c>
      <c r="B4064" s="51">
        <f t="shared" ca="1" si="63"/>
        <v>0.99340733171533491</v>
      </c>
      <c r="C4064" s="48">
        <f t="array" aca="1" ref="C4064" ca="1">MAX(0,ROUND(Inputs!$B$10*Inputs!$B$11+NORMSINV(B4064)*SQRT(Inputs!$B$10*Inputs!$B$11),0))</f>
        <v>555</v>
      </c>
      <c r="D4064" s="52">
        <f ca="1">C4064*Inputs!$B$12</f>
        <v>66600000</v>
      </c>
    </row>
    <row r="4065" spans="1:4" ht="13.5" customHeight="1" x14ac:dyDescent="0.3">
      <c r="A4065" s="46">
        <v>4061</v>
      </c>
      <c r="B4065" s="47">
        <f t="shared" ca="1" si="63"/>
        <v>0.25054334628399477</v>
      </c>
      <c r="C4065" s="48">
        <f t="array" aca="1" ref="C4065" ca="1">MAX(0,ROUND(Inputs!$B$10*Inputs!$B$11+NORMSINV(B4065)*SQRT(Inputs!$B$10*Inputs!$B$11),0))</f>
        <v>485</v>
      </c>
      <c r="D4065" s="49">
        <f ca="1">C4065*Inputs!$B$12</f>
        <v>58200000</v>
      </c>
    </row>
    <row r="4066" spans="1:4" ht="13.5" customHeight="1" x14ac:dyDescent="0.3">
      <c r="A4066" s="50">
        <v>4062</v>
      </c>
      <c r="B4066" s="51">
        <f t="shared" ca="1" si="63"/>
        <v>0.66505691303164727</v>
      </c>
      <c r="C4066" s="48">
        <f t="array" aca="1" ref="C4066" ca="1">MAX(0,ROUND(Inputs!$B$10*Inputs!$B$11+NORMSINV(B4066)*SQRT(Inputs!$B$10*Inputs!$B$11),0))</f>
        <v>510</v>
      </c>
      <c r="D4066" s="52">
        <f ca="1">C4066*Inputs!$B$12</f>
        <v>61200000</v>
      </c>
    </row>
    <row r="4067" spans="1:4" ht="13.5" customHeight="1" x14ac:dyDescent="0.3">
      <c r="A4067" s="46">
        <v>4063</v>
      </c>
      <c r="B4067" s="47">
        <f t="shared" ca="1" si="63"/>
        <v>0.38193018706856574</v>
      </c>
      <c r="C4067" s="48">
        <f t="array" aca="1" ref="C4067" ca="1">MAX(0,ROUND(Inputs!$B$10*Inputs!$B$11+NORMSINV(B4067)*SQRT(Inputs!$B$10*Inputs!$B$11),0))</f>
        <v>493</v>
      </c>
      <c r="D4067" s="49">
        <f ca="1">C4067*Inputs!$B$12</f>
        <v>59160000</v>
      </c>
    </row>
    <row r="4068" spans="1:4" ht="13.5" customHeight="1" x14ac:dyDescent="0.3">
      <c r="A4068" s="50">
        <v>4064</v>
      </c>
      <c r="B4068" s="51">
        <f t="shared" ca="1" si="63"/>
        <v>5.4909509901780451E-2</v>
      </c>
      <c r="C4068" s="48">
        <f t="array" aca="1" ref="C4068" ca="1">MAX(0,ROUND(Inputs!$B$10*Inputs!$B$11+NORMSINV(B4068)*SQRT(Inputs!$B$10*Inputs!$B$11),0))</f>
        <v>464</v>
      </c>
      <c r="D4068" s="52">
        <f ca="1">C4068*Inputs!$B$12</f>
        <v>55680000</v>
      </c>
    </row>
    <row r="4069" spans="1:4" ht="13.5" customHeight="1" x14ac:dyDescent="0.3">
      <c r="A4069" s="46">
        <v>4065</v>
      </c>
      <c r="B4069" s="47">
        <f t="shared" ca="1" si="63"/>
        <v>0.61475526053065754</v>
      </c>
      <c r="C4069" s="48">
        <f t="array" aca="1" ref="C4069" ca="1">MAX(0,ROUND(Inputs!$B$10*Inputs!$B$11+NORMSINV(B4069)*SQRT(Inputs!$B$10*Inputs!$B$11),0))</f>
        <v>507</v>
      </c>
      <c r="D4069" s="49">
        <f ca="1">C4069*Inputs!$B$12</f>
        <v>60840000</v>
      </c>
    </row>
    <row r="4070" spans="1:4" ht="13.5" customHeight="1" x14ac:dyDescent="0.3">
      <c r="A4070" s="50">
        <v>4066</v>
      </c>
      <c r="B4070" s="51">
        <f t="shared" ca="1" si="63"/>
        <v>0.72390536424039054</v>
      </c>
      <c r="C4070" s="48">
        <f t="array" aca="1" ref="C4070" ca="1">MAX(0,ROUND(Inputs!$B$10*Inputs!$B$11+NORMSINV(B4070)*SQRT(Inputs!$B$10*Inputs!$B$11),0))</f>
        <v>513</v>
      </c>
      <c r="D4070" s="52">
        <f ca="1">C4070*Inputs!$B$12</f>
        <v>61560000</v>
      </c>
    </row>
    <row r="4071" spans="1:4" ht="13.5" customHeight="1" x14ac:dyDescent="0.3">
      <c r="A4071" s="46">
        <v>4067</v>
      </c>
      <c r="B4071" s="47">
        <f t="shared" ca="1" si="63"/>
        <v>0.51384289810726347</v>
      </c>
      <c r="C4071" s="48">
        <f t="array" aca="1" ref="C4071" ca="1">MAX(0,ROUND(Inputs!$B$10*Inputs!$B$11+NORMSINV(B4071)*SQRT(Inputs!$B$10*Inputs!$B$11),0))</f>
        <v>501</v>
      </c>
      <c r="D4071" s="49">
        <f ca="1">C4071*Inputs!$B$12</f>
        <v>60120000</v>
      </c>
    </row>
    <row r="4072" spans="1:4" ht="13.5" customHeight="1" x14ac:dyDescent="0.3">
      <c r="A4072" s="50">
        <v>4068</v>
      </c>
      <c r="B4072" s="51">
        <f t="shared" ca="1" si="63"/>
        <v>0.84501715213649031</v>
      </c>
      <c r="C4072" s="48">
        <f t="array" aca="1" ref="C4072" ca="1">MAX(0,ROUND(Inputs!$B$10*Inputs!$B$11+NORMSINV(B4072)*SQRT(Inputs!$B$10*Inputs!$B$11),0))</f>
        <v>523</v>
      </c>
      <c r="D4072" s="52">
        <f ca="1">C4072*Inputs!$B$12</f>
        <v>62760000</v>
      </c>
    </row>
    <row r="4073" spans="1:4" ht="13.5" customHeight="1" x14ac:dyDescent="0.3">
      <c r="A4073" s="46">
        <v>4069</v>
      </c>
      <c r="B4073" s="47">
        <f t="shared" ca="1" si="63"/>
        <v>0.15130940958105343</v>
      </c>
      <c r="C4073" s="48">
        <f t="array" aca="1" ref="C4073" ca="1">MAX(0,ROUND(Inputs!$B$10*Inputs!$B$11+NORMSINV(B4073)*SQRT(Inputs!$B$10*Inputs!$B$11),0))</f>
        <v>477</v>
      </c>
      <c r="D4073" s="49">
        <f ca="1">C4073*Inputs!$B$12</f>
        <v>57240000</v>
      </c>
    </row>
    <row r="4074" spans="1:4" ht="13.5" customHeight="1" x14ac:dyDescent="0.3">
      <c r="A4074" s="50">
        <v>4070</v>
      </c>
      <c r="B4074" s="51">
        <f t="shared" ca="1" si="63"/>
        <v>7.7072597248658448E-2</v>
      </c>
      <c r="C4074" s="48">
        <f t="array" aca="1" ref="C4074" ca="1">MAX(0,ROUND(Inputs!$B$10*Inputs!$B$11+NORMSINV(B4074)*SQRT(Inputs!$B$10*Inputs!$B$11),0))</f>
        <v>468</v>
      </c>
      <c r="D4074" s="52">
        <f ca="1">C4074*Inputs!$B$12</f>
        <v>56160000</v>
      </c>
    </row>
    <row r="4075" spans="1:4" ht="13.5" customHeight="1" x14ac:dyDescent="0.3">
      <c r="A4075" s="46">
        <v>4071</v>
      </c>
      <c r="B4075" s="47">
        <f t="shared" ca="1" si="63"/>
        <v>0.8977270618369021</v>
      </c>
      <c r="C4075" s="48">
        <f t="array" aca="1" ref="C4075" ca="1">MAX(0,ROUND(Inputs!$B$10*Inputs!$B$11+NORMSINV(B4075)*SQRT(Inputs!$B$10*Inputs!$B$11),0))</f>
        <v>528</v>
      </c>
      <c r="D4075" s="49">
        <f ca="1">C4075*Inputs!$B$12</f>
        <v>63360000</v>
      </c>
    </row>
    <row r="4076" spans="1:4" ht="13.5" customHeight="1" x14ac:dyDescent="0.3">
      <c r="A4076" s="50">
        <v>4072</v>
      </c>
      <c r="B4076" s="51">
        <f t="shared" ca="1" si="63"/>
        <v>0.28144998142636957</v>
      </c>
      <c r="C4076" s="48">
        <f t="array" aca="1" ref="C4076" ca="1">MAX(0,ROUND(Inputs!$B$10*Inputs!$B$11+NORMSINV(B4076)*SQRT(Inputs!$B$10*Inputs!$B$11),0))</f>
        <v>487</v>
      </c>
      <c r="D4076" s="52">
        <f ca="1">C4076*Inputs!$B$12</f>
        <v>58440000</v>
      </c>
    </row>
    <row r="4077" spans="1:4" ht="13.5" customHeight="1" x14ac:dyDescent="0.3">
      <c r="A4077" s="46">
        <v>4073</v>
      </c>
      <c r="B4077" s="47">
        <f t="shared" ca="1" si="63"/>
        <v>0.30094661594784</v>
      </c>
      <c r="C4077" s="48">
        <f t="array" aca="1" ref="C4077" ca="1">MAX(0,ROUND(Inputs!$B$10*Inputs!$B$11+NORMSINV(B4077)*SQRT(Inputs!$B$10*Inputs!$B$11),0))</f>
        <v>488</v>
      </c>
      <c r="D4077" s="49">
        <f ca="1">C4077*Inputs!$B$12</f>
        <v>58560000</v>
      </c>
    </row>
    <row r="4078" spans="1:4" ht="13.5" customHeight="1" x14ac:dyDescent="0.3">
      <c r="A4078" s="50">
        <v>4074</v>
      </c>
      <c r="B4078" s="51">
        <f t="shared" ca="1" si="63"/>
        <v>0.715000648396655</v>
      </c>
      <c r="C4078" s="48">
        <f t="array" aca="1" ref="C4078" ca="1">MAX(0,ROUND(Inputs!$B$10*Inputs!$B$11+NORMSINV(B4078)*SQRT(Inputs!$B$10*Inputs!$B$11),0))</f>
        <v>513</v>
      </c>
      <c r="D4078" s="52">
        <f ca="1">C4078*Inputs!$B$12</f>
        <v>61560000</v>
      </c>
    </row>
    <row r="4079" spans="1:4" ht="13.5" customHeight="1" x14ac:dyDescent="0.3">
      <c r="A4079" s="46">
        <v>4075</v>
      </c>
      <c r="B4079" s="47">
        <f t="shared" ca="1" si="63"/>
        <v>0.83393567477260933</v>
      </c>
      <c r="C4079" s="48">
        <f t="array" aca="1" ref="C4079" ca="1">MAX(0,ROUND(Inputs!$B$10*Inputs!$B$11+NORMSINV(B4079)*SQRT(Inputs!$B$10*Inputs!$B$11),0))</f>
        <v>522</v>
      </c>
      <c r="D4079" s="49">
        <f ca="1">C4079*Inputs!$B$12</f>
        <v>62640000</v>
      </c>
    </row>
    <row r="4080" spans="1:4" ht="13.5" customHeight="1" x14ac:dyDescent="0.3">
      <c r="A4080" s="50">
        <v>4076</v>
      </c>
      <c r="B4080" s="51">
        <f t="shared" ca="1" si="63"/>
        <v>8.6176193743762175E-3</v>
      </c>
      <c r="C4080" s="48">
        <f t="array" aca="1" ref="C4080" ca="1">MAX(0,ROUND(Inputs!$B$10*Inputs!$B$11+NORMSINV(B4080)*SQRT(Inputs!$B$10*Inputs!$B$11),0))</f>
        <v>447</v>
      </c>
      <c r="D4080" s="52">
        <f ca="1">C4080*Inputs!$B$12</f>
        <v>53640000</v>
      </c>
    </row>
    <row r="4081" spans="1:4" ht="13.5" customHeight="1" x14ac:dyDescent="0.3">
      <c r="A4081" s="46">
        <v>4077</v>
      </c>
      <c r="B4081" s="47">
        <f t="shared" ca="1" si="63"/>
        <v>0.67947311431021706</v>
      </c>
      <c r="C4081" s="48">
        <f t="array" aca="1" ref="C4081" ca="1">MAX(0,ROUND(Inputs!$B$10*Inputs!$B$11+NORMSINV(B4081)*SQRT(Inputs!$B$10*Inputs!$B$11),0))</f>
        <v>510</v>
      </c>
      <c r="D4081" s="49">
        <f ca="1">C4081*Inputs!$B$12</f>
        <v>61200000</v>
      </c>
    </row>
    <row r="4082" spans="1:4" ht="13.5" customHeight="1" x14ac:dyDescent="0.3">
      <c r="A4082" s="50">
        <v>4078</v>
      </c>
      <c r="B4082" s="51">
        <f t="shared" ca="1" si="63"/>
        <v>0.42896921000915245</v>
      </c>
      <c r="C4082" s="48">
        <f t="array" aca="1" ref="C4082" ca="1">MAX(0,ROUND(Inputs!$B$10*Inputs!$B$11+NORMSINV(B4082)*SQRT(Inputs!$B$10*Inputs!$B$11),0))</f>
        <v>496</v>
      </c>
      <c r="D4082" s="52">
        <f ca="1">C4082*Inputs!$B$12</f>
        <v>59520000</v>
      </c>
    </row>
    <row r="4083" spans="1:4" ht="13.5" customHeight="1" x14ac:dyDescent="0.3">
      <c r="A4083" s="46">
        <v>4079</v>
      </c>
      <c r="B4083" s="47">
        <f t="shared" ca="1" si="63"/>
        <v>0.9157107114654176</v>
      </c>
      <c r="C4083" s="48">
        <f t="array" aca="1" ref="C4083" ca="1">MAX(0,ROUND(Inputs!$B$10*Inputs!$B$11+NORMSINV(B4083)*SQRT(Inputs!$B$10*Inputs!$B$11),0))</f>
        <v>531</v>
      </c>
      <c r="D4083" s="49">
        <f ca="1">C4083*Inputs!$B$12</f>
        <v>63720000</v>
      </c>
    </row>
    <row r="4084" spans="1:4" ht="13.5" customHeight="1" x14ac:dyDescent="0.3">
      <c r="A4084" s="50">
        <v>4080</v>
      </c>
      <c r="B4084" s="51">
        <f t="shared" ca="1" si="63"/>
        <v>0.85612534780150273</v>
      </c>
      <c r="C4084" s="48">
        <f t="array" aca="1" ref="C4084" ca="1">MAX(0,ROUND(Inputs!$B$10*Inputs!$B$11+NORMSINV(B4084)*SQRT(Inputs!$B$10*Inputs!$B$11),0))</f>
        <v>524</v>
      </c>
      <c r="D4084" s="52">
        <f ca="1">C4084*Inputs!$B$12</f>
        <v>62880000</v>
      </c>
    </row>
    <row r="4085" spans="1:4" ht="13.5" customHeight="1" x14ac:dyDescent="0.3">
      <c r="A4085" s="46">
        <v>4081</v>
      </c>
      <c r="B4085" s="47">
        <f t="shared" ca="1" si="63"/>
        <v>0.70537979320963062</v>
      </c>
      <c r="C4085" s="48">
        <f t="array" aca="1" ref="C4085" ca="1">MAX(0,ROUND(Inputs!$B$10*Inputs!$B$11+NORMSINV(B4085)*SQRT(Inputs!$B$10*Inputs!$B$11),0))</f>
        <v>512</v>
      </c>
      <c r="D4085" s="49">
        <f ca="1">C4085*Inputs!$B$12</f>
        <v>61440000</v>
      </c>
    </row>
    <row r="4086" spans="1:4" ht="13.5" customHeight="1" x14ac:dyDescent="0.3">
      <c r="A4086" s="50">
        <v>4082</v>
      </c>
      <c r="B4086" s="51">
        <f t="shared" ca="1" si="63"/>
        <v>0.98422763841459093</v>
      </c>
      <c r="C4086" s="48">
        <f t="array" aca="1" ref="C4086" ca="1">MAX(0,ROUND(Inputs!$B$10*Inputs!$B$11+NORMSINV(B4086)*SQRT(Inputs!$B$10*Inputs!$B$11),0))</f>
        <v>548</v>
      </c>
      <c r="D4086" s="52">
        <f ca="1">C4086*Inputs!$B$12</f>
        <v>65760000</v>
      </c>
    </row>
    <row r="4087" spans="1:4" ht="13.5" customHeight="1" x14ac:dyDescent="0.3">
      <c r="A4087" s="46">
        <v>4083</v>
      </c>
      <c r="B4087" s="47">
        <f t="shared" ca="1" si="63"/>
        <v>0.19478751662045657</v>
      </c>
      <c r="C4087" s="48">
        <f t="array" aca="1" ref="C4087" ca="1">MAX(0,ROUND(Inputs!$B$10*Inputs!$B$11+NORMSINV(B4087)*SQRT(Inputs!$B$10*Inputs!$B$11),0))</f>
        <v>481</v>
      </c>
      <c r="D4087" s="49">
        <f ca="1">C4087*Inputs!$B$12</f>
        <v>57720000</v>
      </c>
    </row>
    <row r="4088" spans="1:4" ht="13.5" customHeight="1" x14ac:dyDescent="0.3">
      <c r="A4088" s="50">
        <v>4084</v>
      </c>
      <c r="B4088" s="51">
        <f t="shared" ca="1" si="63"/>
        <v>0.27239693203926563</v>
      </c>
      <c r="C4088" s="48">
        <f t="array" aca="1" ref="C4088" ca="1">MAX(0,ROUND(Inputs!$B$10*Inputs!$B$11+NORMSINV(B4088)*SQRT(Inputs!$B$10*Inputs!$B$11),0))</f>
        <v>486</v>
      </c>
      <c r="D4088" s="52">
        <f ca="1">C4088*Inputs!$B$12</f>
        <v>58320000</v>
      </c>
    </row>
    <row r="4089" spans="1:4" ht="13.5" customHeight="1" x14ac:dyDescent="0.3">
      <c r="A4089" s="46">
        <v>4085</v>
      </c>
      <c r="B4089" s="47">
        <f t="shared" ca="1" si="63"/>
        <v>0.23227898823404114</v>
      </c>
      <c r="C4089" s="48">
        <f t="array" aca="1" ref="C4089" ca="1">MAX(0,ROUND(Inputs!$B$10*Inputs!$B$11+NORMSINV(B4089)*SQRT(Inputs!$B$10*Inputs!$B$11),0))</f>
        <v>484</v>
      </c>
      <c r="D4089" s="49">
        <f ca="1">C4089*Inputs!$B$12</f>
        <v>58080000</v>
      </c>
    </row>
    <row r="4090" spans="1:4" ht="13.5" customHeight="1" x14ac:dyDescent="0.3">
      <c r="A4090" s="50">
        <v>4086</v>
      </c>
      <c r="B4090" s="51">
        <f t="shared" ca="1" si="63"/>
        <v>0.15251855126761815</v>
      </c>
      <c r="C4090" s="48">
        <f t="array" aca="1" ref="C4090" ca="1">MAX(0,ROUND(Inputs!$B$10*Inputs!$B$11+NORMSINV(B4090)*SQRT(Inputs!$B$10*Inputs!$B$11),0))</f>
        <v>477</v>
      </c>
      <c r="D4090" s="52">
        <f ca="1">C4090*Inputs!$B$12</f>
        <v>57240000</v>
      </c>
    </row>
    <row r="4091" spans="1:4" ht="13.5" customHeight="1" x14ac:dyDescent="0.3">
      <c r="A4091" s="46">
        <v>4087</v>
      </c>
      <c r="B4091" s="47">
        <f t="shared" ca="1" si="63"/>
        <v>0.83863243954851008</v>
      </c>
      <c r="C4091" s="48">
        <f t="array" aca="1" ref="C4091" ca="1">MAX(0,ROUND(Inputs!$B$10*Inputs!$B$11+NORMSINV(B4091)*SQRT(Inputs!$B$10*Inputs!$B$11),0))</f>
        <v>522</v>
      </c>
      <c r="D4091" s="49">
        <f ca="1">C4091*Inputs!$B$12</f>
        <v>62640000</v>
      </c>
    </row>
    <row r="4092" spans="1:4" ht="13.5" customHeight="1" x14ac:dyDescent="0.3">
      <c r="A4092" s="50">
        <v>4088</v>
      </c>
      <c r="B4092" s="51">
        <f t="shared" ca="1" si="63"/>
        <v>0.78264378400050405</v>
      </c>
      <c r="C4092" s="48">
        <f t="array" aca="1" ref="C4092" ca="1">MAX(0,ROUND(Inputs!$B$10*Inputs!$B$11+NORMSINV(B4092)*SQRT(Inputs!$B$10*Inputs!$B$11),0))</f>
        <v>517</v>
      </c>
      <c r="D4092" s="52">
        <f ca="1">C4092*Inputs!$B$12</f>
        <v>62040000</v>
      </c>
    </row>
    <row r="4093" spans="1:4" ht="13.5" customHeight="1" x14ac:dyDescent="0.3">
      <c r="A4093" s="46">
        <v>4089</v>
      </c>
      <c r="B4093" s="47">
        <f t="shared" ca="1" si="63"/>
        <v>0.19622709883130207</v>
      </c>
      <c r="C4093" s="48">
        <f t="array" aca="1" ref="C4093" ca="1">MAX(0,ROUND(Inputs!$B$10*Inputs!$B$11+NORMSINV(B4093)*SQRT(Inputs!$B$10*Inputs!$B$11),0))</f>
        <v>481</v>
      </c>
      <c r="D4093" s="49">
        <f ca="1">C4093*Inputs!$B$12</f>
        <v>57720000</v>
      </c>
    </row>
    <row r="4094" spans="1:4" ht="13.5" customHeight="1" x14ac:dyDescent="0.3">
      <c r="A4094" s="50">
        <v>4090</v>
      </c>
      <c r="B4094" s="51">
        <f t="shared" ca="1" si="63"/>
        <v>0.34808917198611078</v>
      </c>
      <c r="C4094" s="48">
        <f t="array" aca="1" ref="C4094" ca="1">MAX(0,ROUND(Inputs!$B$10*Inputs!$B$11+NORMSINV(B4094)*SQRT(Inputs!$B$10*Inputs!$B$11),0))</f>
        <v>491</v>
      </c>
      <c r="D4094" s="52">
        <f ca="1">C4094*Inputs!$B$12</f>
        <v>58920000</v>
      </c>
    </row>
    <row r="4095" spans="1:4" ht="13.5" customHeight="1" x14ac:dyDescent="0.3">
      <c r="A4095" s="46">
        <v>4091</v>
      </c>
      <c r="B4095" s="47">
        <f t="shared" ca="1" si="63"/>
        <v>0.49664674047018098</v>
      </c>
      <c r="C4095" s="48">
        <f t="array" aca="1" ref="C4095" ca="1">MAX(0,ROUND(Inputs!$B$10*Inputs!$B$11+NORMSINV(B4095)*SQRT(Inputs!$B$10*Inputs!$B$11),0))</f>
        <v>500</v>
      </c>
      <c r="D4095" s="49">
        <f ca="1">C4095*Inputs!$B$12</f>
        <v>60000000</v>
      </c>
    </row>
    <row r="4096" spans="1:4" ht="13.5" customHeight="1" x14ac:dyDescent="0.3">
      <c r="A4096" s="50">
        <v>4092</v>
      </c>
      <c r="B4096" s="51">
        <f t="shared" ca="1" si="63"/>
        <v>0.89266106461703709</v>
      </c>
      <c r="C4096" s="48">
        <f t="array" aca="1" ref="C4096" ca="1">MAX(0,ROUND(Inputs!$B$10*Inputs!$B$11+NORMSINV(B4096)*SQRT(Inputs!$B$10*Inputs!$B$11),0))</f>
        <v>528</v>
      </c>
      <c r="D4096" s="52">
        <f ca="1">C4096*Inputs!$B$12</f>
        <v>63360000</v>
      </c>
    </row>
    <row r="4097" spans="1:4" ht="13.5" customHeight="1" x14ac:dyDescent="0.3">
      <c r="A4097" s="46">
        <v>4093</v>
      </c>
      <c r="B4097" s="47">
        <f t="shared" ca="1" si="63"/>
        <v>0.11397788580818602</v>
      </c>
      <c r="C4097" s="48">
        <f t="array" aca="1" ref="C4097" ca="1">MAX(0,ROUND(Inputs!$B$10*Inputs!$B$11+NORMSINV(B4097)*SQRT(Inputs!$B$10*Inputs!$B$11),0))</f>
        <v>473</v>
      </c>
      <c r="D4097" s="49">
        <f ca="1">C4097*Inputs!$B$12</f>
        <v>56760000</v>
      </c>
    </row>
    <row r="4098" spans="1:4" ht="13.5" customHeight="1" x14ac:dyDescent="0.3">
      <c r="A4098" s="50">
        <v>4094</v>
      </c>
      <c r="B4098" s="51">
        <f t="shared" ca="1" si="63"/>
        <v>0.4728835240358954</v>
      </c>
      <c r="C4098" s="48">
        <f t="array" aca="1" ref="C4098" ca="1">MAX(0,ROUND(Inputs!$B$10*Inputs!$B$11+NORMSINV(B4098)*SQRT(Inputs!$B$10*Inputs!$B$11),0))</f>
        <v>498</v>
      </c>
      <c r="D4098" s="52">
        <f ca="1">C4098*Inputs!$B$12</f>
        <v>59760000</v>
      </c>
    </row>
    <row r="4099" spans="1:4" ht="13.5" customHeight="1" x14ac:dyDescent="0.3">
      <c r="A4099" s="46">
        <v>4095</v>
      </c>
      <c r="B4099" s="47">
        <f t="shared" ca="1" si="63"/>
        <v>0.12284506601021394</v>
      </c>
      <c r="C4099" s="48">
        <f t="array" aca="1" ref="C4099" ca="1">MAX(0,ROUND(Inputs!$B$10*Inputs!$B$11+NORMSINV(B4099)*SQRT(Inputs!$B$10*Inputs!$B$11),0))</f>
        <v>474</v>
      </c>
      <c r="D4099" s="49">
        <f ca="1">C4099*Inputs!$B$12</f>
        <v>56880000</v>
      </c>
    </row>
    <row r="4100" spans="1:4" ht="13.5" customHeight="1" x14ac:dyDescent="0.3">
      <c r="A4100" s="50">
        <v>4096</v>
      </c>
      <c r="B4100" s="51">
        <f t="shared" ca="1" si="63"/>
        <v>0.85714282898614702</v>
      </c>
      <c r="C4100" s="48">
        <f t="array" aca="1" ref="C4100" ca="1">MAX(0,ROUND(Inputs!$B$10*Inputs!$B$11+NORMSINV(B4100)*SQRT(Inputs!$B$10*Inputs!$B$11),0))</f>
        <v>524</v>
      </c>
      <c r="D4100" s="52">
        <f ca="1">C4100*Inputs!$B$12</f>
        <v>62880000</v>
      </c>
    </row>
    <row r="4101" spans="1:4" ht="13.5" customHeight="1" x14ac:dyDescent="0.3">
      <c r="A4101" s="46">
        <v>4097</v>
      </c>
      <c r="B4101" s="47">
        <f t="shared" ref="B4101:B4164" ca="1" si="64">RAND()</f>
        <v>0.91930110329509018</v>
      </c>
      <c r="C4101" s="48">
        <f t="array" aca="1" ref="C4101" ca="1">MAX(0,ROUND(Inputs!$B$10*Inputs!$B$11+NORMSINV(B4101)*SQRT(Inputs!$B$10*Inputs!$B$11),0))</f>
        <v>531</v>
      </c>
      <c r="D4101" s="49">
        <f ca="1">C4101*Inputs!$B$12</f>
        <v>63720000</v>
      </c>
    </row>
    <row r="4102" spans="1:4" ht="13.5" customHeight="1" x14ac:dyDescent="0.3">
      <c r="A4102" s="50">
        <v>4098</v>
      </c>
      <c r="B4102" s="51">
        <f t="shared" ca="1" si="64"/>
        <v>0.71802399743866385</v>
      </c>
      <c r="C4102" s="48">
        <f t="array" aca="1" ref="C4102" ca="1">MAX(0,ROUND(Inputs!$B$10*Inputs!$B$11+NORMSINV(B4102)*SQRT(Inputs!$B$10*Inputs!$B$11),0))</f>
        <v>513</v>
      </c>
      <c r="D4102" s="52">
        <f ca="1">C4102*Inputs!$B$12</f>
        <v>61560000</v>
      </c>
    </row>
    <row r="4103" spans="1:4" ht="13.5" customHeight="1" x14ac:dyDescent="0.3">
      <c r="A4103" s="46">
        <v>4099</v>
      </c>
      <c r="B4103" s="47">
        <f t="shared" ca="1" si="64"/>
        <v>0.32130134197336901</v>
      </c>
      <c r="C4103" s="48">
        <f t="array" aca="1" ref="C4103" ca="1">MAX(0,ROUND(Inputs!$B$10*Inputs!$B$11+NORMSINV(B4103)*SQRT(Inputs!$B$10*Inputs!$B$11),0))</f>
        <v>490</v>
      </c>
      <c r="D4103" s="49">
        <f ca="1">C4103*Inputs!$B$12</f>
        <v>58800000</v>
      </c>
    </row>
    <row r="4104" spans="1:4" ht="13.5" customHeight="1" x14ac:dyDescent="0.3">
      <c r="A4104" s="50">
        <v>4100</v>
      </c>
      <c r="B4104" s="51">
        <f t="shared" ca="1" si="64"/>
        <v>0.27491664806770755</v>
      </c>
      <c r="C4104" s="48">
        <f t="array" aca="1" ref="C4104" ca="1">MAX(0,ROUND(Inputs!$B$10*Inputs!$B$11+NORMSINV(B4104)*SQRT(Inputs!$B$10*Inputs!$B$11),0))</f>
        <v>487</v>
      </c>
      <c r="D4104" s="52">
        <f ca="1">C4104*Inputs!$B$12</f>
        <v>58440000</v>
      </c>
    </row>
    <row r="4105" spans="1:4" ht="13.5" customHeight="1" x14ac:dyDescent="0.3">
      <c r="A4105" s="46">
        <v>4101</v>
      </c>
      <c r="B4105" s="47">
        <f t="shared" ca="1" si="64"/>
        <v>0.15016232693882492</v>
      </c>
      <c r="C4105" s="48">
        <f t="array" aca="1" ref="C4105" ca="1">MAX(0,ROUND(Inputs!$B$10*Inputs!$B$11+NORMSINV(B4105)*SQRT(Inputs!$B$10*Inputs!$B$11),0))</f>
        <v>477</v>
      </c>
      <c r="D4105" s="49">
        <f ca="1">C4105*Inputs!$B$12</f>
        <v>57240000</v>
      </c>
    </row>
    <row r="4106" spans="1:4" ht="13.5" customHeight="1" x14ac:dyDescent="0.3">
      <c r="A4106" s="50">
        <v>4102</v>
      </c>
      <c r="B4106" s="51">
        <f t="shared" ca="1" si="64"/>
        <v>0.46616506208187403</v>
      </c>
      <c r="C4106" s="48">
        <f t="array" aca="1" ref="C4106" ca="1">MAX(0,ROUND(Inputs!$B$10*Inputs!$B$11+NORMSINV(B4106)*SQRT(Inputs!$B$10*Inputs!$B$11),0))</f>
        <v>498</v>
      </c>
      <c r="D4106" s="52">
        <f ca="1">C4106*Inputs!$B$12</f>
        <v>59760000</v>
      </c>
    </row>
    <row r="4107" spans="1:4" ht="13.5" customHeight="1" x14ac:dyDescent="0.3">
      <c r="A4107" s="46">
        <v>4103</v>
      </c>
      <c r="B4107" s="47">
        <f t="shared" ca="1" si="64"/>
        <v>0.26789348457297912</v>
      </c>
      <c r="C4107" s="48">
        <f t="array" aca="1" ref="C4107" ca="1">MAX(0,ROUND(Inputs!$B$10*Inputs!$B$11+NORMSINV(B4107)*SQRT(Inputs!$B$10*Inputs!$B$11),0))</f>
        <v>486</v>
      </c>
      <c r="D4107" s="49">
        <f ca="1">C4107*Inputs!$B$12</f>
        <v>58320000</v>
      </c>
    </row>
    <row r="4108" spans="1:4" ht="13.5" customHeight="1" x14ac:dyDescent="0.3">
      <c r="A4108" s="50">
        <v>4104</v>
      </c>
      <c r="B4108" s="51">
        <f t="shared" ca="1" si="64"/>
        <v>0.83735225959680881</v>
      </c>
      <c r="C4108" s="48">
        <f t="array" aca="1" ref="C4108" ca="1">MAX(0,ROUND(Inputs!$B$10*Inputs!$B$11+NORMSINV(B4108)*SQRT(Inputs!$B$10*Inputs!$B$11),0))</f>
        <v>522</v>
      </c>
      <c r="D4108" s="52">
        <f ca="1">C4108*Inputs!$B$12</f>
        <v>62640000</v>
      </c>
    </row>
    <row r="4109" spans="1:4" ht="13.5" customHeight="1" x14ac:dyDescent="0.3">
      <c r="A4109" s="46">
        <v>4105</v>
      </c>
      <c r="B4109" s="47">
        <f t="shared" ca="1" si="64"/>
        <v>0.96473223643752926</v>
      </c>
      <c r="C4109" s="48">
        <f t="array" aca="1" ref="C4109" ca="1">MAX(0,ROUND(Inputs!$B$10*Inputs!$B$11+NORMSINV(B4109)*SQRT(Inputs!$B$10*Inputs!$B$11),0))</f>
        <v>540</v>
      </c>
      <c r="D4109" s="49">
        <f ca="1">C4109*Inputs!$B$12</f>
        <v>64800000</v>
      </c>
    </row>
    <row r="4110" spans="1:4" ht="13.5" customHeight="1" x14ac:dyDescent="0.3">
      <c r="A4110" s="50">
        <v>4106</v>
      </c>
      <c r="B4110" s="51">
        <f t="shared" ca="1" si="64"/>
        <v>0.33031306642619973</v>
      </c>
      <c r="C4110" s="48">
        <f t="array" aca="1" ref="C4110" ca="1">MAX(0,ROUND(Inputs!$B$10*Inputs!$B$11+NORMSINV(B4110)*SQRT(Inputs!$B$10*Inputs!$B$11),0))</f>
        <v>490</v>
      </c>
      <c r="D4110" s="52">
        <f ca="1">C4110*Inputs!$B$12</f>
        <v>58800000</v>
      </c>
    </row>
    <row r="4111" spans="1:4" ht="13.5" customHeight="1" x14ac:dyDescent="0.3">
      <c r="A4111" s="46">
        <v>4107</v>
      </c>
      <c r="B4111" s="47">
        <f t="shared" ca="1" si="64"/>
        <v>2.3489057903160582E-2</v>
      </c>
      <c r="C4111" s="48">
        <f t="array" aca="1" ref="C4111" ca="1">MAX(0,ROUND(Inputs!$B$10*Inputs!$B$11+NORMSINV(B4111)*SQRT(Inputs!$B$10*Inputs!$B$11),0))</f>
        <v>456</v>
      </c>
      <c r="D4111" s="49">
        <f ca="1">C4111*Inputs!$B$12</f>
        <v>54720000</v>
      </c>
    </row>
    <row r="4112" spans="1:4" ht="13.5" customHeight="1" x14ac:dyDescent="0.3">
      <c r="A4112" s="50">
        <v>4108</v>
      </c>
      <c r="B4112" s="51">
        <f t="shared" ca="1" si="64"/>
        <v>0.92712422641486425</v>
      </c>
      <c r="C4112" s="48">
        <f t="array" aca="1" ref="C4112" ca="1">MAX(0,ROUND(Inputs!$B$10*Inputs!$B$11+NORMSINV(B4112)*SQRT(Inputs!$B$10*Inputs!$B$11),0))</f>
        <v>533</v>
      </c>
      <c r="D4112" s="52">
        <f ca="1">C4112*Inputs!$B$12</f>
        <v>63960000</v>
      </c>
    </row>
    <row r="4113" spans="1:4" ht="13.5" customHeight="1" x14ac:dyDescent="0.3">
      <c r="A4113" s="46">
        <v>4109</v>
      </c>
      <c r="B4113" s="47">
        <f t="shared" ca="1" si="64"/>
        <v>0.78691974930183151</v>
      </c>
      <c r="C4113" s="48">
        <f t="array" aca="1" ref="C4113" ca="1">MAX(0,ROUND(Inputs!$B$10*Inputs!$B$11+NORMSINV(B4113)*SQRT(Inputs!$B$10*Inputs!$B$11),0))</f>
        <v>518</v>
      </c>
      <c r="D4113" s="49">
        <f ca="1">C4113*Inputs!$B$12</f>
        <v>62160000</v>
      </c>
    </row>
    <row r="4114" spans="1:4" ht="13.5" customHeight="1" x14ac:dyDescent="0.3">
      <c r="A4114" s="50">
        <v>4110</v>
      </c>
      <c r="B4114" s="51">
        <f t="shared" ca="1" si="64"/>
        <v>0.28972187243223235</v>
      </c>
      <c r="C4114" s="48">
        <f t="array" aca="1" ref="C4114" ca="1">MAX(0,ROUND(Inputs!$B$10*Inputs!$B$11+NORMSINV(B4114)*SQRT(Inputs!$B$10*Inputs!$B$11),0))</f>
        <v>488</v>
      </c>
      <c r="D4114" s="52">
        <f ca="1">C4114*Inputs!$B$12</f>
        <v>58560000</v>
      </c>
    </row>
    <row r="4115" spans="1:4" ht="13.5" customHeight="1" x14ac:dyDescent="0.3">
      <c r="A4115" s="46">
        <v>4111</v>
      </c>
      <c r="B4115" s="47">
        <f t="shared" ca="1" si="64"/>
        <v>0.42620061576770252</v>
      </c>
      <c r="C4115" s="48">
        <f t="array" aca="1" ref="C4115" ca="1">MAX(0,ROUND(Inputs!$B$10*Inputs!$B$11+NORMSINV(B4115)*SQRT(Inputs!$B$10*Inputs!$B$11),0))</f>
        <v>496</v>
      </c>
      <c r="D4115" s="49">
        <f ca="1">C4115*Inputs!$B$12</f>
        <v>59520000</v>
      </c>
    </row>
    <row r="4116" spans="1:4" ht="13.5" customHeight="1" x14ac:dyDescent="0.3">
      <c r="A4116" s="50">
        <v>4112</v>
      </c>
      <c r="B4116" s="51">
        <f t="shared" ca="1" si="64"/>
        <v>0.85069271661280932</v>
      </c>
      <c r="C4116" s="48">
        <f t="array" aca="1" ref="C4116" ca="1">MAX(0,ROUND(Inputs!$B$10*Inputs!$B$11+NORMSINV(B4116)*SQRT(Inputs!$B$10*Inputs!$B$11),0))</f>
        <v>523</v>
      </c>
      <c r="D4116" s="52">
        <f ca="1">C4116*Inputs!$B$12</f>
        <v>62760000</v>
      </c>
    </row>
    <row r="4117" spans="1:4" ht="13.5" customHeight="1" x14ac:dyDescent="0.3">
      <c r="A4117" s="46">
        <v>4113</v>
      </c>
      <c r="B4117" s="47">
        <f t="shared" ca="1" si="64"/>
        <v>0.68533092863027156</v>
      </c>
      <c r="C4117" s="48">
        <f t="array" aca="1" ref="C4117" ca="1">MAX(0,ROUND(Inputs!$B$10*Inputs!$B$11+NORMSINV(B4117)*SQRT(Inputs!$B$10*Inputs!$B$11),0))</f>
        <v>511</v>
      </c>
      <c r="D4117" s="49">
        <f ca="1">C4117*Inputs!$B$12</f>
        <v>61320000</v>
      </c>
    </row>
    <row r="4118" spans="1:4" ht="13.5" customHeight="1" x14ac:dyDescent="0.3">
      <c r="A4118" s="50">
        <v>4114</v>
      </c>
      <c r="B4118" s="51">
        <f t="shared" ca="1" si="64"/>
        <v>0.61192992686109737</v>
      </c>
      <c r="C4118" s="48">
        <f t="array" aca="1" ref="C4118" ca="1">MAX(0,ROUND(Inputs!$B$10*Inputs!$B$11+NORMSINV(B4118)*SQRT(Inputs!$B$10*Inputs!$B$11),0))</f>
        <v>506</v>
      </c>
      <c r="D4118" s="52">
        <f ca="1">C4118*Inputs!$B$12</f>
        <v>60720000</v>
      </c>
    </row>
    <row r="4119" spans="1:4" ht="13.5" customHeight="1" x14ac:dyDescent="0.3">
      <c r="A4119" s="46">
        <v>4115</v>
      </c>
      <c r="B4119" s="47">
        <f t="shared" ca="1" si="64"/>
        <v>0.59199483255315077</v>
      </c>
      <c r="C4119" s="48">
        <f t="array" aca="1" ref="C4119" ca="1">MAX(0,ROUND(Inputs!$B$10*Inputs!$B$11+NORMSINV(B4119)*SQRT(Inputs!$B$10*Inputs!$B$11),0))</f>
        <v>505</v>
      </c>
      <c r="D4119" s="49">
        <f ca="1">C4119*Inputs!$B$12</f>
        <v>60600000</v>
      </c>
    </row>
    <row r="4120" spans="1:4" ht="13.5" customHeight="1" x14ac:dyDescent="0.3">
      <c r="A4120" s="50">
        <v>4116</v>
      </c>
      <c r="B4120" s="51">
        <f t="shared" ca="1" si="64"/>
        <v>0.56106339112431014</v>
      </c>
      <c r="C4120" s="48">
        <f t="array" aca="1" ref="C4120" ca="1">MAX(0,ROUND(Inputs!$B$10*Inputs!$B$11+NORMSINV(B4120)*SQRT(Inputs!$B$10*Inputs!$B$11),0))</f>
        <v>503</v>
      </c>
      <c r="D4120" s="52">
        <f ca="1">C4120*Inputs!$B$12</f>
        <v>60360000</v>
      </c>
    </row>
    <row r="4121" spans="1:4" ht="13.5" customHeight="1" x14ac:dyDescent="0.3">
      <c r="A4121" s="46">
        <v>4117</v>
      </c>
      <c r="B4121" s="47">
        <f t="shared" ca="1" si="64"/>
        <v>0.62566750370043434</v>
      </c>
      <c r="C4121" s="48">
        <f t="array" aca="1" ref="C4121" ca="1">MAX(0,ROUND(Inputs!$B$10*Inputs!$B$11+NORMSINV(B4121)*SQRT(Inputs!$B$10*Inputs!$B$11),0))</f>
        <v>507</v>
      </c>
      <c r="D4121" s="49">
        <f ca="1">C4121*Inputs!$B$12</f>
        <v>60840000</v>
      </c>
    </row>
    <row r="4122" spans="1:4" ht="13.5" customHeight="1" x14ac:dyDescent="0.3">
      <c r="A4122" s="50">
        <v>4118</v>
      </c>
      <c r="B4122" s="51">
        <f t="shared" ca="1" si="64"/>
        <v>0.13791090820742591</v>
      </c>
      <c r="C4122" s="48">
        <f t="array" aca="1" ref="C4122" ca="1">MAX(0,ROUND(Inputs!$B$10*Inputs!$B$11+NORMSINV(B4122)*SQRT(Inputs!$B$10*Inputs!$B$11),0))</f>
        <v>476</v>
      </c>
      <c r="D4122" s="52">
        <f ca="1">C4122*Inputs!$B$12</f>
        <v>57120000</v>
      </c>
    </row>
    <row r="4123" spans="1:4" ht="13.5" customHeight="1" x14ac:dyDescent="0.3">
      <c r="A4123" s="46">
        <v>4119</v>
      </c>
      <c r="B4123" s="47">
        <f t="shared" ca="1" si="64"/>
        <v>0.5867955755621681</v>
      </c>
      <c r="C4123" s="48">
        <f t="array" aca="1" ref="C4123" ca="1">MAX(0,ROUND(Inputs!$B$10*Inputs!$B$11+NORMSINV(B4123)*SQRT(Inputs!$B$10*Inputs!$B$11),0))</f>
        <v>505</v>
      </c>
      <c r="D4123" s="49">
        <f ca="1">C4123*Inputs!$B$12</f>
        <v>60600000</v>
      </c>
    </row>
    <row r="4124" spans="1:4" ht="13.5" customHeight="1" x14ac:dyDescent="0.3">
      <c r="A4124" s="50">
        <v>4120</v>
      </c>
      <c r="B4124" s="51">
        <f t="shared" ca="1" si="64"/>
        <v>0.81768081575843576</v>
      </c>
      <c r="C4124" s="48">
        <f t="array" aca="1" ref="C4124" ca="1">MAX(0,ROUND(Inputs!$B$10*Inputs!$B$11+NORMSINV(B4124)*SQRT(Inputs!$B$10*Inputs!$B$11),0))</f>
        <v>520</v>
      </c>
      <c r="D4124" s="52">
        <f ca="1">C4124*Inputs!$B$12</f>
        <v>62400000</v>
      </c>
    </row>
    <row r="4125" spans="1:4" ht="13.5" customHeight="1" x14ac:dyDescent="0.3">
      <c r="A4125" s="46">
        <v>4121</v>
      </c>
      <c r="B4125" s="47">
        <f t="shared" ca="1" si="64"/>
        <v>0.25322844110640608</v>
      </c>
      <c r="C4125" s="48">
        <f t="array" aca="1" ref="C4125" ca="1">MAX(0,ROUND(Inputs!$B$10*Inputs!$B$11+NORMSINV(B4125)*SQRT(Inputs!$B$10*Inputs!$B$11),0))</f>
        <v>485</v>
      </c>
      <c r="D4125" s="49">
        <f ca="1">C4125*Inputs!$B$12</f>
        <v>58200000</v>
      </c>
    </row>
    <row r="4126" spans="1:4" ht="13.5" customHeight="1" x14ac:dyDescent="0.3">
      <c r="A4126" s="50">
        <v>4122</v>
      </c>
      <c r="B4126" s="51">
        <f t="shared" ca="1" si="64"/>
        <v>0.912288949097672</v>
      </c>
      <c r="C4126" s="48">
        <f t="array" aca="1" ref="C4126" ca="1">MAX(0,ROUND(Inputs!$B$10*Inputs!$B$11+NORMSINV(B4126)*SQRT(Inputs!$B$10*Inputs!$B$11),0))</f>
        <v>530</v>
      </c>
      <c r="D4126" s="52">
        <f ca="1">C4126*Inputs!$B$12</f>
        <v>63600000</v>
      </c>
    </row>
    <row r="4127" spans="1:4" ht="13.5" customHeight="1" x14ac:dyDescent="0.3">
      <c r="A4127" s="46">
        <v>4123</v>
      </c>
      <c r="B4127" s="47">
        <f t="shared" ca="1" si="64"/>
        <v>4.3348974612402724E-2</v>
      </c>
      <c r="C4127" s="48">
        <f t="array" aca="1" ref="C4127" ca="1">MAX(0,ROUND(Inputs!$B$10*Inputs!$B$11+NORMSINV(B4127)*SQRT(Inputs!$B$10*Inputs!$B$11),0))</f>
        <v>462</v>
      </c>
      <c r="D4127" s="49">
        <f ca="1">C4127*Inputs!$B$12</f>
        <v>55440000</v>
      </c>
    </row>
    <row r="4128" spans="1:4" ht="13.5" customHeight="1" x14ac:dyDescent="0.3">
      <c r="A4128" s="50">
        <v>4124</v>
      </c>
      <c r="B4128" s="51">
        <f t="shared" ca="1" si="64"/>
        <v>0.1132029418185424</v>
      </c>
      <c r="C4128" s="48">
        <f t="array" aca="1" ref="C4128" ca="1">MAX(0,ROUND(Inputs!$B$10*Inputs!$B$11+NORMSINV(B4128)*SQRT(Inputs!$B$10*Inputs!$B$11),0))</f>
        <v>473</v>
      </c>
      <c r="D4128" s="52">
        <f ca="1">C4128*Inputs!$B$12</f>
        <v>56760000</v>
      </c>
    </row>
    <row r="4129" spans="1:4" ht="13.5" customHeight="1" x14ac:dyDescent="0.3">
      <c r="A4129" s="46">
        <v>4125</v>
      </c>
      <c r="B4129" s="47">
        <f t="shared" ca="1" si="64"/>
        <v>0.83355177993921448</v>
      </c>
      <c r="C4129" s="48">
        <f t="array" aca="1" ref="C4129" ca="1">MAX(0,ROUND(Inputs!$B$10*Inputs!$B$11+NORMSINV(B4129)*SQRT(Inputs!$B$10*Inputs!$B$11),0))</f>
        <v>522</v>
      </c>
      <c r="D4129" s="49">
        <f ca="1">C4129*Inputs!$B$12</f>
        <v>62640000</v>
      </c>
    </row>
    <row r="4130" spans="1:4" ht="13.5" customHeight="1" x14ac:dyDescent="0.3">
      <c r="A4130" s="50">
        <v>4126</v>
      </c>
      <c r="B4130" s="51">
        <f t="shared" ca="1" si="64"/>
        <v>0.44818570797035018</v>
      </c>
      <c r="C4130" s="48">
        <f t="array" aca="1" ref="C4130" ca="1">MAX(0,ROUND(Inputs!$B$10*Inputs!$B$11+NORMSINV(B4130)*SQRT(Inputs!$B$10*Inputs!$B$11),0))</f>
        <v>497</v>
      </c>
      <c r="D4130" s="52">
        <f ca="1">C4130*Inputs!$B$12</f>
        <v>59640000</v>
      </c>
    </row>
    <row r="4131" spans="1:4" ht="13.5" customHeight="1" x14ac:dyDescent="0.3">
      <c r="A4131" s="46">
        <v>4127</v>
      </c>
      <c r="B4131" s="47">
        <f t="shared" ca="1" si="64"/>
        <v>0.67839239211980595</v>
      </c>
      <c r="C4131" s="48">
        <f t="array" aca="1" ref="C4131" ca="1">MAX(0,ROUND(Inputs!$B$10*Inputs!$B$11+NORMSINV(B4131)*SQRT(Inputs!$B$10*Inputs!$B$11),0))</f>
        <v>510</v>
      </c>
      <c r="D4131" s="49">
        <f ca="1">C4131*Inputs!$B$12</f>
        <v>61200000</v>
      </c>
    </row>
    <row r="4132" spans="1:4" ht="13.5" customHeight="1" x14ac:dyDescent="0.3">
      <c r="A4132" s="50">
        <v>4128</v>
      </c>
      <c r="B4132" s="51">
        <f t="shared" ca="1" si="64"/>
        <v>0.73059012465986151</v>
      </c>
      <c r="C4132" s="48">
        <f t="array" aca="1" ref="C4132" ca="1">MAX(0,ROUND(Inputs!$B$10*Inputs!$B$11+NORMSINV(B4132)*SQRT(Inputs!$B$10*Inputs!$B$11),0))</f>
        <v>514</v>
      </c>
      <c r="D4132" s="52">
        <f ca="1">C4132*Inputs!$B$12</f>
        <v>61680000</v>
      </c>
    </row>
    <row r="4133" spans="1:4" ht="13.5" customHeight="1" x14ac:dyDescent="0.3">
      <c r="A4133" s="46">
        <v>4129</v>
      </c>
      <c r="B4133" s="47">
        <f t="shared" ca="1" si="64"/>
        <v>0.88659511901882726</v>
      </c>
      <c r="C4133" s="48">
        <f t="array" aca="1" ref="C4133" ca="1">MAX(0,ROUND(Inputs!$B$10*Inputs!$B$11+NORMSINV(B4133)*SQRT(Inputs!$B$10*Inputs!$B$11),0))</f>
        <v>527</v>
      </c>
      <c r="D4133" s="49">
        <f ca="1">C4133*Inputs!$B$12</f>
        <v>63240000</v>
      </c>
    </row>
    <row r="4134" spans="1:4" ht="13.5" customHeight="1" x14ac:dyDescent="0.3">
      <c r="A4134" s="50">
        <v>4130</v>
      </c>
      <c r="B4134" s="51">
        <f t="shared" ca="1" si="64"/>
        <v>0.48498612362337212</v>
      </c>
      <c r="C4134" s="48">
        <f t="array" aca="1" ref="C4134" ca="1">MAX(0,ROUND(Inputs!$B$10*Inputs!$B$11+NORMSINV(B4134)*SQRT(Inputs!$B$10*Inputs!$B$11),0))</f>
        <v>499</v>
      </c>
      <c r="D4134" s="52">
        <f ca="1">C4134*Inputs!$B$12</f>
        <v>59880000</v>
      </c>
    </row>
    <row r="4135" spans="1:4" ht="13.5" customHeight="1" x14ac:dyDescent="0.3">
      <c r="A4135" s="46">
        <v>4131</v>
      </c>
      <c r="B4135" s="47">
        <f t="shared" ca="1" si="64"/>
        <v>0.11090408500092053</v>
      </c>
      <c r="C4135" s="48">
        <f t="array" aca="1" ref="C4135" ca="1">MAX(0,ROUND(Inputs!$B$10*Inputs!$B$11+NORMSINV(B4135)*SQRT(Inputs!$B$10*Inputs!$B$11),0))</f>
        <v>473</v>
      </c>
      <c r="D4135" s="49">
        <f ca="1">C4135*Inputs!$B$12</f>
        <v>56760000</v>
      </c>
    </row>
    <row r="4136" spans="1:4" ht="13.5" customHeight="1" x14ac:dyDescent="0.3">
      <c r="A4136" s="50">
        <v>4132</v>
      </c>
      <c r="B4136" s="51">
        <f t="shared" ca="1" si="64"/>
        <v>0.18106583318605263</v>
      </c>
      <c r="C4136" s="48">
        <f t="array" aca="1" ref="C4136" ca="1">MAX(0,ROUND(Inputs!$B$10*Inputs!$B$11+NORMSINV(B4136)*SQRT(Inputs!$B$10*Inputs!$B$11),0))</f>
        <v>480</v>
      </c>
      <c r="D4136" s="52">
        <f ca="1">C4136*Inputs!$B$12</f>
        <v>57600000</v>
      </c>
    </row>
    <row r="4137" spans="1:4" ht="13.5" customHeight="1" x14ac:dyDescent="0.3">
      <c r="A4137" s="46">
        <v>4133</v>
      </c>
      <c r="B4137" s="47">
        <f t="shared" ca="1" si="64"/>
        <v>0.83557083179252212</v>
      </c>
      <c r="C4137" s="48">
        <f t="array" aca="1" ref="C4137" ca="1">MAX(0,ROUND(Inputs!$B$10*Inputs!$B$11+NORMSINV(B4137)*SQRT(Inputs!$B$10*Inputs!$B$11),0))</f>
        <v>522</v>
      </c>
      <c r="D4137" s="49">
        <f ca="1">C4137*Inputs!$B$12</f>
        <v>62640000</v>
      </c>
    </row>
    <row r="4138" spans="1:4" ht="13.5" customHeight="1" x14ac:dyDescent="0.3">
      <c r="A4138" s="50">
        <v>4134</v>
      </c>
      <c r="B4138" s="51">
        <f t="shared" ca="1" si="64"/>
        <v>0.89519828661214729</v>
      </c>
      <c r="C4138" s="48">
        <f t="array" aca="1" ref="C4138" ca="1">MAX(0,ROUND(Inputs!$B$10*Inputs!$B$11+NORMSINV(B4138)*SQRT(Inputs!$B$10*Inputs!$B$11),0))</f>
        <v>528</v>
      </c>
      <c r="D4138" s="52">
        <f ca="1">C4138*Inputs!$B$12</f>
        <v>63360000</v>
      </c>
    </row>
    <row r="4139" spans="1:4" ht="13.5" customHeight="1" x14ac:dyDescent="0.3">
      <c r="A4139" s="46">
        <v>4135</v>
      </c>
      <c r="B4139" s="47">
        <f t="shared" ca="1" si="64"/>
        <v>0.91390541825897642</v>
      </c>
      <c r="C4139" s="48">
        <f t="array" aca="1" ref="C4139" ca="1">MAX(0,ROUND(Inputs!$B$10*Inputs!$B$11+NORMSINV(B4139)*SQRT(Inputs!$B$10*Inputs!$B$11),0))</f>
        <v>531</v>
      </c>
      <c r="D4139" s="49">
        <f ca="1">C4139*Inputs!$B$12</f>
        <v>63720000</v>
      </c>
    </row>
    <row r="4140" spans="1:4" ht="13.5" customHeight="1" x14ac:dyDescent="0.3">
      <c r="A4140" s="50">
        <v>4136</v>
      </c>
      <c r="B4140" s="51">
        <f t="shared" ca="1" si="64"/>
        <v>0.50050701287264243</v>
      </c>
      <c r="C4140" s="48">
        <f t="array" aca="1" ref="C4140" ca="1">MAX(0,ROUND(Inputs!$B$10*Inputs!$B$11+NORMSINV(B4140)*SQRT(Inputs!$B$10*Inputs!$B$11),0))</f>
        <v>500</v>
      </c>
      <c r="D4140" s="52">
        <f ca="1">C4140*Inputs!$B$12</f>
        <v>60000000</v>
      </c>
    </row>
    <row r="4141" spans="1:4" ht="13.5" customHeight="1" x14ac:dyDescent="0.3">
      <c r="A4141" s="46">
        <v>4137</v>
      </c>
      <c r="B4141" s="47">
        <f t="shared" ca="1" si="64"/>
        <v>0.5214913993462188</v>
      </c>
      <c r="C4141" s="48">
        <f t="array" aca="1" ref="C4141" ca="1">MAX(0,ROUND(Inputs!$B$10*Inputs!$B$11+NORMSINV(B4141)*SQRT(Inputs!$B$10*Inputs!$B$11),0))</f>
        <v>501</v>
      </c>
      <c r="D4141" s="49">
        <f ca="1">C4141*Inputs!$B$12</f>
        <v>60120000</v>
      </c>
    </row>
    <row r="4142" spans="1:4" ht="13.5" customHeight="1" x14ac:dyDescent="0.3">
      <c r="A4142" s="50">
        <v>4138</v>
      </c>
      <c r="B4142" s="51">
        <f t="shared" ca="1" si="64"/>
        <v>0.23623930181493735</v>
      </c>
      <c r="C4142" s="48">
        <f t="array" aca="1" ref="C4142" ca="1">MAX(0,ROUND(Inputs!$B$10*Inputs!$B$11+NORMSINV(B4142)*SQRT(Inputs!$B$10*Inputs!$B$11),0))</f>
        <v>484</v>
      </c>
      <c r="D4142" s="52">
        <f ca="1">C4142*Inputs!$B$12</f>
        <v>58080000</v>
      </c>
    </row>
    <row r="4143" spans="1:4" ht="13.5" customHeight="1" x14ac:dyDescent="0.3">
      <c r="A4143" s="46">
        <v>4139</v>
      </c>
      <c r="B4143" s="47">
        <f t="shared" ca="1" si="64"/>
        <v>0.42875402733714485</v>
      </c>
      <c r="C4143" s="48">
        <f t="array" aca="1" ref="C4143" ca="1">MAX(0,ROUND(Inputs!$B$10*Inputs!$B$11+NORMSINV(B4143)*SQRT(Inputs!$B$10*Inputs!$B$11),0))</f>
        <v>496</v>
      </c>
      <c r="D4143" s="49">
        <f ca="1">C4143*Inputs!$B$12</f>
        <v>59520000</v>
      </c>
    </row>
    <row r="4144" spans="1:4" ht="13.5" customHeight="1" x14ac:dyDescent="0.3">
      <c r="A4144" s="50">
        <v>4140</v>
      </c>
      <c r="B4144" s="51">
        <f t="shared" ca="1" si="64"/>
        <v>0.80172695636693414</v>
      </c>
      <c r="C4144" s="48">
        <f t="array" aca="1" ref="C4144" ca="1">MAX(0,ROUND(Inputs!$B$10*Inputs!$B$11+NORMSINV(B4144)*SQRT(Inputs!$B$10*Inputs!$B$11),0))</f>
        <v>519</v>
      </c>
      <c r="D4144" s="52">
        <f ca="1">C4144*Inputs!$B$12</f>
        <v>62280000</v>
      </c>
    </row>
    <row r="4145" spans="1:4" ht="13.5" customHeight="1" x14ac:dyDescent="0.3">
      <c r="A4145" s="46">
        <v>4141</v>
      </c>
      <c r="B4145" s="47">
        <f t="shared" ca="1" si="64"/>
        <v>5.7348503490641023E-2</v>
      </c>
      <c r="C4145" s="48">
        <f t="array" aca="1" ref="C4145" ca="1">MAX(0,ROUND(Inputs!$B$10*Inputs!$B$11+NORMSINV(B4145)*SQRT(Inputs!$B$10*Inputs!$B$11),0))</f>
        <v>465</v>
      </c>
      <c r="D4145" s="49">
        <f ca="1">C4145*Inputs!$B$12</f>
        <v>55800000</v>
      </c>
    </row>
    <row r="4146" spans="1:4" ht="13.5" customHeight="1" x14ac:dyDescent="0.3">
      <c r="A4146" s="50">
        <v>4142</v>
      </c>
      <c r="B4146" s="51">
        <f t="shared" ca="1" si="64"/>
        <v>0.89007244996788926</v>
      </c>
      <c r="C4146" s="48">
        <f t="array" aca="1" ref="C4146" ca="1">MAX(0,ROUND(Inputs!$B$10*Inputs!$B$11+NORMSINV(B4146)*SQRT(Inputs!$B$10*Inputs!$B$11),0))</f>
        <v>527</v>
      </c>
      <c r="D4146" s="52">
        <f ca="1">C4146*Inputs!$B$12</f>
        <v>63240000</v>
      </c>
    </row>
    <row r="4147" spans="1:4" ht="13.5" customHeight="1" x14ac:dyDescent="0.3">
      <c r="A4147" s="46">
        <v>4143</v>
      </c>
      <c r="B4147" s="47">
        <f t="shared" ca="1" si="64"/>
        <v>0.92100555142047535</v>
      </c>
      <c r="C4147" s="48">
        <f t="array" aca="1" ref="C4147" ca="1">MAX(0,ROUND(Inputs!$B$10*Inputs!$B$11+NORMSINV(B4147)*SQRT(Inputs!$B$10*Inputs!$B$11),0))</f>
        <v>532</v>
      </c>
      <c r="D4147" s="49">
        <f ca="1">C4147*Inputs!$B$12</f>
        <v>63840000</v>
      </c>
    </row>
    <row r="4148" spans="1:4" ht="13.5" customHeight="1" x14ac:dyDescent="0.3">
      <c r="A4148" s="50">
        <v>4144</v>
      </c>
      <c r="B4148" s="51">
        <f t="shared" ca="1" si="64"/>
        <v>0.60777490464773576</v>
      </c>
      <c r="C4148" s="48">
        <f t="array" aca="1" ref="C4148" ca="1">MAX(0,ROUND(Inputs!$B$10*Inputs!$B$11+NORMSINV(B4148)*SQRT(Inputs!$B$10*Inputs!$B$11),0))</f>
        <v>506</v>
      </c>
      <c r="D4148" s="52">
        <f ca="1">C4148*Inputs!$B$12</f>
        <v>60720000</v>
      </c>
    </row>
    <row r="4149" spans="1:4" ht="13.5" customHeight="1" x14ac:dyDescent="0.3">
      <c r="A4149" s="46">
        <v>4145</v>
      </c>
      <c r="B4149" s="47">
        <f t="shared" ca="1" si="64"/>
        <v>0.45666231496672616</v>
      </c>
      <c r="C4149" s="48">
        <f t="array" aca="1" ref="C4149" ca="1">MAX(0,ROUND(Inputs!$B$10*Inputs!$B$11+NORMSINV(B4149)*SQRT(Inputs!$B$10*Inputs!$B$11),0))</f>
        <v>498</v>
      </c>
      <c r="D4149" s="49">
        <f ca="1">C4149*Inputs!$B$12</f>
        <v>59760000</v>
      </c>
    </row>
    <row r="4150" spans="1:4" ht="13.5" customHeight="1" x14ac:dyDescent="0.3">
      <c r="A4150" s="50">
        <v>4146</v>
      </c>
      <c r="B4150" s="51">
        <f t="shared" ca="1" si="64"/>
        <v>0.87529061233897176</v>
      </c>
      <c r="C4150" s="48">
        <f t="array" aca="1" ref="C4150" ca="1">MAX(0,ROUND(Inputs!$B$10*Inputs!$B$11+NORMSINV(B4150)*SQRT(Inputs!$B$10*Inputs!$B$11),0))</f>
        <v>526</v>
      </c>
      <c r="D4150" s="52">
        <f ca="1">C4150*Inputs!$B$12</f>
        <v>63120000</v>
      </c>
    </row>
    <row r="4151" spans="1:4" ht="13.5" customHeight="1" x14ac:dyDescent="0.3">
      <c r="A4151" s="46">
        <v>4147</v>
      </c>
      <c r="B4151" s="47">
        <f t="shared" ca="1" si="64"/>
        <v>0.69461110312223084</v>
      </c>
      <c r="C4151" s="48">
        <f t="array" aca="1" ref="C4151" ca="1">MAX(0,ROUND(Inputs!$B$10*Inputs!$B$11+NORMSINV(B4151)*SQRT(Inputs!$B$10*Inputs!$B$11),0))</f>
        <v>511</v>
      </c>
      <c r="D4151" s="49">
        <f ca="1">C4151*Inputs!$B$12</f>
        <v>61320000</v>
      </c>
    </row>
    <row r="4152" spans="1:4" ht="13.5" customHeight="1" x14ac:dyDescent="0.3">
      <c r="A4152" s="50">
        <v>4148</v>
      </c>
      <c r="B4152" s="51">
        <f t="shared" ca="1" si="64"/>
        <v>0.82859153062185065</v>
      </c>
      <c r="C4152" s="48">
        <f t="array" aca="1" ref="C4152" ca="1">MAX(0,ROUND(Inputs!$B$10*Inputs!$B$11+NORMSINV(B4152)*SQRT(Inputs!$B$10*Inputs!$B$11),0))</f>
        <v>521</v>
      </c>
      <c r="D4152" s="52">
        <f ca="1">C4152*Inputs!$B$12</f>
        <v>62520000</v>
      </c>
    </row>
    <row r="4153" spans="1:4" ht="13.5" customHeight="1" x14ac:dyDescent="0.3">
      <c r="A4153" s="46">
        <v>4149</v>
      </c>
      <c r="B4153" s="47">
        <f t="shared" ca="1" si="64"/>
        <v>0.71432332955605848</v>
      </c>
      <c r="C4153" s="48">
        <f t="array" aca="1" ref="C4153" ca="1">MAX(0,ROUND(Inputs!$B$10*Inputs!$B$11+NORMSINV(B4153)*SQRT(Inputs!$B$10*Inputs!$B$11),0))</f>
        <v>513</v>
      </c>
      <c r="D4153" s="49">
        <f ca="1">C4153*Inputs!$B$12</f>
        <v>61560000</v>
      </c>
    </row>
    <row r="4154" spans="1:4" ht="13.5" customHeight="1" x14ac:dyDescent="0.3">
      <c r="A4154" s="50">
        <v>4150</v>
      </c>
      <c r="B4154" s="51">
        <f t="shared" ca="1" si="64"/>
        <v>0.71078158010849268</v>
      </c>
      <c r="C4154" s="48">
        <f t="array" aca="1" ref="C4154" ca="1">MAX(0,ROUND(Inputs!$B$10*Inputs!$B$11+NORMSINV(B4154)*SQRT(Inputs!$B$10*Inputs!$B$11),0))</f>
        <v>512</v>
      </c>
      <c r="D4154" s="52">
        <f ca="1">C4154*Inputs!$B$12</f>
        <v>61440000</v>
      </c>
    </row>
    <row r="4155" spans="1:4" ht="13.5" customHeight="1" x14ac:dyDescent="0.3">
      <c r="A4155" s="46">
        <v>4151</v>
      </c>
      <c r="B4155" s="47">
        <f t="shared" ca="1" si="64"/>
        <v>9.0334423382552931E-2</v>
      </c>
      <c r="C4155" s="48">
        <f t="array" aca="1" ref="C4155" ca="1">MAX(0,ROUND(Inputs!$B$10*Inputs!$B$11+NORMSINV(B4155)*SQRT(Inputs!$B$10*Inputs!$B$11),0))</f>
        <v>470</v>
      </c>
      <c r="D4155" s="49">
        <f ca="1">C4155*Inputs!$B$12</f>
        <v>56400000</v>
      </c>
    </row>
    <row r="4156" spans="1:4" ht="13.5" customHeight="1" x14ac:dyDescent="0.3">
      <c r="A4156" s="50">
        <v>4152</v>
      </c>
      <c r="B4156" s="51">
        <f t="shared" ca="1" si="64"/>
        <v>0.10694102280563667</v>
      </c>
      <c r="C4156" s="48">
        <f t="array" aca="1" ref="C4156" ca="1">MAX(0,ROUND(Inputs!$B$10*Inputs!$B$11+NORMSINV(B4156)*SQRT(Inputs!$B$10*Inputs!$B$11),0))</f>
        <v>472</v>
      </c>
      <c r="D4156" s="52">
        <f ca="1">C4156*Inputs!$B$12</f>
        <v>56640000</v>
      </c>
    </row>
    <row r="4157" spans="1:4" ht="13.5" customHeight="1" x14ac:dyDescent="0.3">
      <c r="A4157" s="46">
        <v>4153</v>
      </c>
      <c r="B4157" s="47">
        <f t="shared" ca="1" si="64"/>
        <v>0.3722612844632367</v>
      </c>
      <c r="C4157" s="48">
        <f t="array" aca="1" ref="C4157" ca="1">MAX(0,ROUND(Inputs!$B$10*Inputs!$B$11+NORMSINV(B4157)*SQRT(Inputs!$B$10*Inputs!$B$11),0))</f>
        <v>493</v>
      </c>
      <c r="D4157" s="49">
        <f ca="1">C4157*Inputs!$B$12</f>
        <v>59160000</v>
      </c>
    </row>
    <row r="4158" spans="1:4" ht="13.5" customHeight="1" x14ac:dyDescent="0.3">
      <c r="A4158" s="50">
        <v>4154</v>
      </c>
      <c r="B4158" s="51">
        <f t="shared" ca="1" si="64"/>
        <v>0.86269019312582507</v>
      </c>
      <c r="C4158" s="48">
        <f t="array" aca="1" ref="C4158" ca="1">MAX(0,ROUND(Inputs!$B$10*Inputs!$B$11+NORMSINV(B4158)*SQRT(Inputs!$B$10*Inputs!$B$11),0))</f>
        <v>524</v>
      </c>
      <c r="D4158" s="52">
        <f ca="1">C4158*Inputs!$B$12</f>
        <v>62880000</v>
      </c>
    </row>
    <row r="4159" spans="1:4" ht="13.5" customHeight="1" x14ac:dyDescent="0.3">
      <c r="A4159" s="46">
        <v>4155</v>
      </c>
      <c r="B4159" s="47">
        <f t="shared" ca="1" si="64"/>
        <v>8.9274118364423005E-2</v>
      </c>
      <c r="C4159" s="48">
        <f t="array" aca="1" ref="C4159" ca="1">MAX(0,ROUND(Inputs!$B$10*Inputs!$B$11+NORMSINV(B4159)*SQRT(Inputs!$B$10*Inputs!$B$11),0))</f>
        <v>470</v>
      </c>
      <c r="D4159" s="49">
        <f ca="1">C4159*Inputs!$B$12</f>
        <v>56400000</v>
      </c>
    </row>
    <row r="4160" spans="1:4" ht="13.5" customHeight="1" x14ac:dyDescent="0.3">
      <c r="A4160" s="50">
        <v>4156</v>
      </c>
      <c r="B4160" s="51">
        <f t="shared" ca="1" si="64"/>
        <v>0.5911968212712384</v>
      </c>
      <c r="C4160" s="48">
        <f t="array" aca="1" ref="C4160" ca="1">MAX(0,ROUND(Inputs!$B$10*Inputs!$B$11+NORMSINV(B4160)*SQRT(Inputs!$B$10*Inputs!$B$11),0))</f>
        <v>505</v>
      </c>
      <c r="D4160" s="52">
        <f ca="1">C4160*Inputs!$B$12</f>
        <v>60600000</v>
      </c>
    </row>
    <row r="4161" spans="1:4" ht="13.5" customHeight="1" x14ac:dyDescent="0.3">
      <c r="A4161" s="46">
        <v>4157</v>
      </c>
      <c r="B4161" s="47">
        <f t="shared" ca="1" si="64"/>
        <v>0.73630912926747838</v>
      </c>
      <c r="C4161" s="48">
        <f t="array" aca="1" ref="C4161" ca="1">MAX(0,ROUND(Inputs!$B$10*Inputs!$B$11+NORMSINV(B4161)*SQRT(Inputs!$B$10*Inputs!$B$11),0))</f>
        <v>514</v>
      </c>
      <c r="D4161" s="49">
        <f ca="1">C4161*Inputs!$B$12</f>
        <v>61680000</v>
      </c>
    </row>
    <row r="4162" spans="1:4" ht="13.5" customHeight="1" x14ac:dyDescent="0.3">
      <c r="A4162" s="50">
        <v>4158</v>
      </c>
      <c r="B4162" s="51">
        <f t="shared" ca="1" si="64"/>
        <v>0.94065781448369223</v>
      </c>
      <c r="C4162" s="48">
        <f t="array" aca="1" ref="C4162" ca="1">MAX(0,ROUND(Inputs!$B$10*Inputs!$B$11+NORMSINV(B4162)*SQRT(Inputs!$B$10*Inputs!$B$11),0))</f>
        <v>535</v>
      </c>
      <c r="D4162" s="52">
        <f ca="1">C4162*Inputs!$B$12</f>
        <v>64200000</v>
      </c>
    </row>
    <row r="4163" spans="1:4" ht="13.5" customHeight="1" x14ac:dyDescent="0.3">
      <c r="A4163" s="46">
        <v>4159</v>
      </c>
      <c r="B4163" s="47">
        <f t="shared" ca="1" si="64"/>
        <v>0.10826066130288026</v>
      </c>
      <c r="C4163" s="48">
        <f t="array" aca="1" ref="C4163" ca="1">MAX(0,ROUND(Inputs!$B$10*Inputs!$B$11+NORMSINV(B4163)*SQRT(Inputs!$B$10*Inputs!$B$11),0))</f>
        <v>472</v>
      </c>
      <c r="D4163" s="49">
        <f ca="1">C4163*Inputs!$B$12</f>
        <v>56640000</v>
      </c>
    </row>
    <row r="4164" spans="1:4" ht="13.5" customHeight="1" x14ac:dyDescent="0.3">
      <c r="A4164" s="50">
        <v>4160</v>
      </c>
      <c r="B4164" s="51">
        <f t="shared" ca="1" si="64"/>
        <v>0.86821776386185101</v>
      </c>
      <c r="C4164" s="48">
        <f t="array" aca="1" ref="C4164" ca="1">MAX(0,ROUND(Inputs!$B$10*Inputs!$B$11+NORMSINV(B4164)*SQRT(Inputs!$B$10*Inputs!$B$11),0))</f>
        <v>525</v>
      </c>
      <c r="D4164" s="52">
        <f ca="1">C4164*Inputs!$B$12</f>
        <v>63000000</v>
      </c>
    </row>
    <row r="4165" spans="1:4" ht="13.5" customHeight="1" x14ac:dyDescent="0.3">
      <c r="A4165" s="46">
        <v>4161</v>
      </c>
      <c r="B4165" s="47">
        <f t="shared" ref="B4165:B4228" ca="1" si="65">RAND()</f>
        <v>0.90994795885623947</v>
      </c>
      <c r="C4165" s="48">
        <f t="array" aca="1" ref="C4165" ca="1">MAX(0,ROUND(Inputs!$B$10*Inputs!$B$11+NORMSINV(B4165)*SQRT(Inputs!$B$10*Inputs!$B$11),0))</f>
        <v>530</v>
      </c>
      <c r="D4165" s="49">
        <f ca="1">C4165*Inputs!$B$12</f>
        <v>63600000</v>
      </c>
    </row>
    <row r="4166" spans="1:4" ht="13.5" customHeight="1" x14ac:dyDescent="0.3">
      <c r="A4166" s="50">
        <v>4162</v>
      </c>
      <c r="B4166" s="51">
        <f t="shared" ca="1" si="65"/>
        <v>0.375475082729537</v>
      </c>
      <c r="C4166" s="48">
        <f t="array" aca="1" ref="C4166" ca="1">MAX(0,ROUND(Inputs!$B$10*Inputs!$B$11+NORMSINV(B4166)*SQRT(Inputs!$B$10*Inputs!$B$11),0))</f>
        <v>493</v>
      </c>
      <c r="D4166" s="52">
        <f ca="1">C4166*Inputs!$B$12</f>
        <v>59160000</v>
      </c>
    </row>
    <row r="4167" spans="1:4" ht="13.5" customHeight="1" x14ac:dyDescent="0.3">
      <c r="A4167" s="46">
        <v>4163</v>
      </c>
      <c r="B4167" s="47">
        <f t="shared" ca="1" si="65"/>
        <v>0.49545504678219432</v>
      </c>
      <c r="C4167" s="48">
        <f t="array" aca="1" ref="C4167" ca="1">MAX(0,ROUND(Inputs!$B$10*Inputs!$B$11+NORMSINV(B4167)*SQRT(Inputs!$B$10*Inputs!$B$11),0))</f>
        <v>500</v>
      </c>
      <c r="D4167" s="49">
        <f ca="1">C4167*Inputs!$B$12</f>
        <v>60000000</v>
      </c>
    </row>
    <row r="4168" spans="1:4" ht="13.5" customHeight="1" x14ac:dyDescent="0.3">
      <c r="A4168" s="50">
        <v>4164</v>
      </c>
      <c r="B4168" s="51">
        <f t="shared" ca="1" si="65"/>
        <v>0.41432898639918359</v>
      </c>
      <c r="C4168" s="48">
        <f t="array" aca="1" ref="C4168" ca="1">MAX(0,ROUND(Inputs!$B$10*Inputs!$B$11+NORMSINV(B4168)*SQRT(Inputs!$B$10*Inputs!$B$11),0))</f>
        <v>495</v>
      </c>
      <c r="D4168" s="52">
        <f ca="1">C4168*Inputs!$B$12</f>
        <v>59400000</v>
      </c>
    </row>
    <row r="4169" spans="1:4" ht="13.5" customHeight="1" x14ac:dyDescent="0.3">
      <c r="A4169" s="46">
        <v>4165</v>
      </c>
      <c r="B4169" s="47">
        <f t="shared" ca="1" si="65"/>
        <v>0.39296452518042702</v>
      </c>
      <c r="C4169" s="48">
        <f t="array" aca="1" ref="C4169" ca="1">MAX(0,ROUND(Inputs!$B$10*Inputs!$B$11+NORMSINV(B4169)*SQRT(Inputs!$B$10*Inputs!$B$11),0))</f>
        <v>494</v>
      </c>
      <c r="D4169" s="49">
        <f ca="1">C4169*Inputs!$B$12</f>
        <v>59280000</v>
      </c>
    </row>
    <row r="4170" spans="1:4" ht="13.5" customHeight="1" x14ac:dyDescent="0.3">
      <c r="A4170" s="50">
        <v>4166</v>
      </c>
      <c r="B4170" s="51">
        <f t="shared" ca="1" si="65"/>
        <v>0.21355104126500568</v>
      </c>
      <c r="C4170" s="48">
        <f t="array" aca="1" ref="C4170" ca="1">MAX(0,ROUND(Inputs!$B$10*Inputs!$B$11+NORMSINV(B4170)*SQRT(Inputs!$B$10*Inputs!$B$11),0))</f>
        <v>482</v>
      </c>
      <c r="D4170" s="52">
        <f ca="1">C4170*Inputs!$B$12</f>
        <v>57840000</v>
      </c>
    </row>
    <row r="4171" spans="1:4" ht="13.5" customHeight="1" x14ac:dyDescent="0.3">
      <c r="A4171" s="46">
        <v>4167</v>
      </c>
      <c r="B4171" s="47">
        <f t="shared" ca="1" si="65"/>
        <v>0.64862295652794566</v>
      </c>
      <c r="C4171" s="48">
        <f t="array" aca="1" ref="C4171" ca="1">MAX(0,ROUND(Inputs!$B$10*Inputs!$B$11+NORMSINV(B4171)*SQRT(Inputs!$B$10*Inputs!$B$11),0))</f>
        <v>509</v>
      </c>
      <c r="D4171" s="49">
        <f ca="1">C4171*Inputs!$B$12</f>
        <v>61080000</v>
      </c>
    </row>
    <row r="4172" spans="1:4" ht="13.5" customHeight="1" x14ac:dyDescent="0.3">
      <c r="A4172" s="50">
        <v>4168</v>
      </c>
      <c r="B4172" s="51">
        <f t="shared" ca="1" si="65"/>
        <v>0.22019089019167082</v>
      </c>
      <c r="C4172" s="48">
        <f t="array" aca="1" ref="C4172" ca="1">MAX(0,ROUND(Inputs!$B$10*Inputs!$B$11+NORMSINV(B4172)*SQRT(Inputs!$B$10*Inputs!$B$11),0))</f>
        <v>483</v>
      </c>
      <c r="D4172" s="52">
        <f ca="1">C4172*Inputs!$B$12</f>
        <v>57960000</v>
      </c>
    </row>
    <row r="4173" spans="1:4" ht="13.5" customHeight="1" x14ac:dyDescent="0.3">
      <c r="A4173" s="46">
        <v>4169</v>
      </c>
      <c r="B4173" s="47">
        <f t="shared" ca="1" si="65"/>
        <v>0.22802702284339182</v>
      </c>
      <c r="C4173" s="48">
        <f t="array" aca="1" ref="C4173" ca="1">MAX(0,ROUND(Inputs!$B$10*Inputs!$B$11+NORMSINV(B4173)*SQRT(Inputs!$B$10*Inputs!$B$11),0))</f>
        <v>483</v>
      </c>
      <c r="D4173" s="49">
        <f ca="1">C4173*Inputs!$B$12</f>
        <v>57960000</v>
      </c>
    </row>
    <row r="4174" spans="1:4" ht="13.5" customHeight="1" x14ac:dyDescent="0.3">
      <c r="A4174" s="50">
        <v>4170</v>
      </c>
      <c r="B4174" s="51">
        <f t="shared" ca="1" si="65"/>
        <v>0.41790593202272519</v>
      </c>
      <c r="C4174" s="48">
        <f t="array" aca="1" ref="C4174" ca="1">MAX(0,ROUND(Inputs!$B$10*Inputs!$B$11+NORMSINV(B4174)*SQRT(Inputs!$B$10*Inputs!$B$11),0))</f>
        <v>495</v>
      </c>
      <c r="D4174" s="52">
        <f ca="1">C4174*Inputs!$B$12</f>
        <v>59400000</v>
      </c>
    </row>
    <row r="4175" spans="1:4" ht="13.5" customHeight="1" x14ac:dyDescent="0.3">
      <c r="A4175" s="46">
        <v>4171</v>
      </c>
      <c r="B4175" s="47">
        <f t="shared" ca="1" si="65"/>
        <v>0.31054593064543057</v>
      </c>
      <c r="C4175" s="48">
        <f t="array" aca="1" ref="C4175" ca="1">MAX(0,ROUND(Inputs!$B$10*Inputs!$B$11+NORMSINV(B4175)*SQRT(Inputs!$B$10*Inputs!$B$11),0))</f>
        <v>489</v>
      </c>
      <c r="D4175" s="49">
        <f ca="1">C4175*Inputs!$B$12</f>
        <v>58680000</v>
      </c>
    </row>
    <row r="4176" spans="1:4" ht="13.5" customHeight="1" x14ac:dyDescent="0.3">
      <c r="A4176" s="50">
        <v>4172</v>
      </c>
      <c r="B4176" s="51">
        <f t="shared" ca="1" si="65"/>
        <v>0.49401831140178631</v>
      </c>
      <c r="C4176" s="48">
        <f t="array" aca="1" ref="C4176" ca="1">MAX(0,ROUND(Inputs!$B$10*Inputs!$B$11+NORMSINV(B4176)*SQRT(Inputs!$B$10*Inputs!$B$11),0))</f>
        <v>500</v>
      </c>
      <c r="D4176" s="52">
        <f ca="1">C4176*Inputs!$B$12</f>
        <v>60000000</v>
      </c>
    </row>
    <row r="4177" spans="1:4" ht="13.5" customHeight="1" x14ac:dyDescent="0.3">
      <c r="A4177" s="46">
        <v>4173</v>
      </c>
      <c r="B4177" s="47">
        <f t="shared" ca="1" si="65"/>
        <v>0.93125215507520909</v>
      </c>
      <c r="C4177" s="48">
        <f t="array" aca="1" ref="C4177" ca="1">MAX(0,ROUND(Inputs!$B$10*Inputs!$B$11+NORMSINV(B4177)*SQRT(Inputs!$B$10*Inputs!$B$11),0))</f>
        <v>533</v>
      </c>
      <c r="D4177" s="49">
        <f ca="1">C4177*Inputs!$B$12</f>
        <v>63960000</v>
      </c>
    </row>
    <row r="4178" spans="1:4" ht="13.5" customHeight="1" x14ac:dyDescent="0.3">
      <c r="A4178" s="50">
        <v>4174</v>
      </c>
      <c r="B4178" s="51">
        <f t="shared" ca="1" si="65"/>
        <v>0.42911376645814314</v>
      </c>
      <c r="C4178" s="48">
        <f t="array" aca="1" ref="C4178" ca="1">MAX(0,ROUND(Inputs!$B$10*Inputs!$B$11+NORMSINV(B4178)*SQRT(Inputs!$B$10*Inputs!$B$11),0))</f>
        <v>496</v>
      </c>
      <c r="D4178" s="52">
        <f ca="1">C4178*Inputs!$B$12</f>
        <v>59520000</v>
      </c>
    </row>
    <row r="4179" spans="1:4" ht="13.5" customHeight="1" x14ac:dyDescent="0.3">
      <c r="A4179" s="46">
        <v>4175</v>
      </c>
      <c r="B4179" s="47">
        <f t="shared" ca="1" si="65"/>
        <v>0.41666588469813837</v>
      </c>
      <c r="C4179" s="48">
        <f t="array" aca="1" ref="C4179" ca="1">MAX(0,ROUND(Inputs!$B$10*Inputs!$B$11+NORMSINV(B4179)*SQRT(Inputs!$B$10*Inputs!$B$11),0))</f>
        <v>495</v>
      </c>
      <c r="D4179" s="49">
        <f ca="1">C4179*Inputs!$B$12</f>
        <v>59400000</v>
      </c>
    </row>
    <row r="4180" spans="1:4" ht="13.5" customHeight="1" x14ac:dyDescent="0.3">
      <c r="A4180" s="50">
        <v>4176</v>
      </c>
      <c r="B4180" s="51">
        <f t="shared" ca="1" si="65"/>
        <v>0.53214835249547676</v>
      </c>
      <c r="C4180" s="48">
        <f t="array" aca="1" ref="C4180" ca="1">MAX(0,ROUND(Inputs!$B$10*Inputs!$B$11+NORMSINV(B4180)*SQRT(Inputs!$B$10*Inputs!$B$11),0))</f>
        <v>502</v>
      </c>
      <c r="D4180" s="52">
        <f ca="1">C4180*Inputs!$B$12</f>
        <v>60240000</v>
      </c>
    </row>
    <row r="4181" spans="1:4" ht="13.5" customHeight="1" x14ac:dyDescent="0.3">
      <c r="A4181" s="46">
        <v>4177</v>
      </c>
      <c r="B4181" s="47">
        <f t="shared" ca="1" si="65"/>
        <v>0.77652454409367599</v>
      </c>
      <c r="C4181" s="48">
        <f t="array" aca="1" ref="C4181" ca="1">MAX(0,ROUND(Inputs!$B$10*Inputs!$B$11+NORMSINV(B4181)*SQRT(Inputs!$B$10*Inputs!$B$11),0))</f>
        <v>517</v>
      </c>
      <c r="D4181" s="49">
        <f ca="1">C4181*Inputs!$B$12</f>
        <v>62040000</v>
      </c>
    </row>
    <row r="4182" spans="1:4" ht="13.5" customHeight="1" x14ac:dyDescent="0.3">
      <c r="A4182" s="50">
        <v>4178</v>
      </c>
      <c r="B4182" s="51">
        <f t="shared" ca="1" si="65"/>
        <v>0.29473869505491845</v>
      </c>
      <c r="C4182" s="48">
        <f t="array" aca="1" ref="C4182" ca="1">MAX(0,ROUND(Inputs!$B$10*Inputs!$B$11+NORMSINV(B4182)*SQRT(Inputs!$B$10*Inputs!$B$11),0))</f>
        <v>488</v>
      </c>
      <c r="D4182" s="52">
        <f ca="1">C4182*Inputs!$B$12</f>
        <v>58560000</v>
      </c>
    </row>
    <row r="4183" spans="1:4" ht="13.5" customHeight="1" x14ac:dyDescent="0.3">
      <c r="A4183" s="46">
        <v>4179</v>
      </c>
      <c r="B4183" s="47">
        <f t="shared" ca="1" si="65"/>
        <v>0.99396756322655555</v>
      </c>
      <c r="C4183" s="48">
        <f t="array" aca="1" ref="C4183" ca="1">MAX(0,ROUND(Inputs!$B$10*Inputs!$B$11+NORMSINV(B4183)*SQRT(Inputs!$B$10*Inputs!$B$11),0))</f>
        <v>556</v>
      </c>
      <c r="D4183" s="49">
        <f ca="1">C4183*Inputs!$B$12</f>
        <v>66720000</v>
      </c>
    </row>
    <row r="4184" spans="1:4" ht="13.5" customHeight="1" x14ac:dyDescent="0.3">
      <c r="A4184" s="50">
        <v>4180</v>
      </c>
      <c r="B4184" s="51">
        <f t="shared" ca="1" si="65"/>
        <v>0.87089799185384831</v>
      </c>
      <c r="C4184" s="48">
        <f t="array" aca="1" ref="C4184" ca="1">MAX(0,ROUND(Inputs!$B$10*Inputs!$B$11+NORMSINV(B4184)*SQRT(Inputs!$B$10*Inputs!$B$11),0))</f>
        <v>525</v>
      </c>
      <c r="D4184" s="52">
        <f ca="1">C4184*Inputs!$B$12</f>
        <v>63000000</v>
      </c>
    </row>
    <row r="4185" spans="1:4" ht="13.5" customHeight="1" x14ac:dyDescent="0.3">
      <c r="A4185" s="46">
        <v>4181</v>
      </c>
      <c r="B4185" s="47">
        <f t="shared" ca="1" si="65"/>
        <v>0.24906154296067129</v>
      </c>
      <c r="C4185" s="48">
        <f t="array" aca="1" ref="C4185" ca="1">MAX(0,ROUND(Inputs!$B$10*Inputs!$B$11+NORMSINV(B4185)*SQRT(Inputs!$B$10*Inputs!$B$11),0))</f>
        <v>485</v>
      </c>
      <c r="D4185" s="49">
        <f ca="1">C4185*Inputs!$B$12</f>
        <v>58200000</v>
      </c>
    </row>
    <row r="4186" spans="1:4" ht="13.5" customHeight="1" x14ac:dyDescent="0.3">
      <c r="A4186" s="50">
        <v>4182</v>
      </c>
      <c r="B4186" s="51">
        <f t="shared" ca="1" si="65"/>
        <v>4.0439433020321158E-2</v>
      </c>
      <c r="C4186" s="48">
        <f t="array" aca="1" ref="C4186" ca="1">MAX(0,ROUND(Inputs!$B$10*Inputs!$B$11+NORMSINV(B4186)*SQRT(Inputs!$B$10*Inputs!$B$11),0))</f>
        <v>461</v>
      </c>
      <c r="D4186" s="52">
        <f ca="1">C4186*Inputs!$B$12</f>
        <v>55320000</v>
      </c>
    </row>
    <row r="4187" spans="1:4" ht="13.5" customHeight="1" x14ac:dyDescent="0.3">
      <c r="A4187" s="46">
        <v>4183</v>
      </c>
      <c r="B4187" s="47">
        <f t="shared" ca="1" si="65"/>
        <v>0.13918160752280229</v>
      </c>
      <c r="C4187" s="48">
        <f t="array" aca="1" ref="C4187" ca="1">MAX(0,ROUND(Inputs!$B$10*Inputs!$B$11+NORMSINV(B4187)*SQRT(Inputs!$B$10*Inputs!$B$11),0))</f>
        <v>476</v>
      </c>
      <c r="D4187" s="49">
        <f ca="1">C4187*Inputs!$B$12</f>
        <v>57120000</v>
      </c>
    </row>
    <row r="4188" spans="1:4" ht="13.5" customHeight="1" x14ac:dyDescent="0.3">
      <c r="A4188" s="50">
        <v>4184</v>
      </c>
      <c r="B4188" s="51">
        <f t="shared" ca="1" si="65"/>
        <v>0.2753748503668344</v>
      </c>
      <c r="C4188" s="48">
        <f t="array" aca="1" ref="C4188" ca="1">MAX(0,ROUND(Inputs!$B$10*Inputs!$B$11+NORMSINV(B4188)*SQRT(Inputs!$B$10*Inputs!$B$11),0))</f>
        <v>487</v>
      </c>
      <c r="D4188" s="52">
        <f ca="1">C4188*Inputs!$B$12</f>
        <v>58440000</v>
      </c>
    </row>
    <row r="4189" spans="1:4" ht="13.5" customHeight="1" x14ac:dyDescent="0.3">
      <c r="A4189" s="46">
        <v>4185</v>
      </c>
      <c r="B4189" s="47">
        <f t="shared" ca="1" si="65"/>
        <v>0.65153951252427311</v>
      </c>
      <c r="C4189" s="48">
        <f t="array" aca="1" ref="C4189" ca="1">MAX(0,ROUND(Inputs!$B$10*Inputs!$B$11+NORMSINV(B4189)*SQRT(Inputs!$B$10*Inputs!$B$11),0))</f>
        <v>509</v>
      </c>
      <c r="D4189" s="49">
        <f ca="1">C4189*Inputs!$B$12</f>
        <v>61080000</v>
      </c>
    </row>
    <row r="4190" spans="1:4" ht="13.5" customHeight="1" x14ac:dyDescent="0.3">
      <c r="A4190" s="50">
        <v>4186</v>
      </c>
      <c r="B4190" s="51">
        <f t="shared" ca="1" si="65"/>
        <v>0.91709370235336185</v>
      </c>
      <c r="C4190" s="48">
        <f t="array" aca="1" ref="C4190" ca="1">MAX(0,ROUND(Inputs!$B$10*Inputs!$B$11+NORMSINV(B4190)*SQRT(Inputs!$B$10*Inputs!$B$11),0))</f>
        <v>531</v>
      </c>
      <c r="D4190" s="52">
        <f ca="1">C4190*Inputs!$B$12</f>
        <v>63720000</v>
      </c>
    </row>
    <row r="4191" spans="1:4" ht="13.5" customHeight="1" x14ac:dyDescent="0.3">
      <c r="A4191" s="46">
        <v>4187</v>
      </c>
      <c r="B4191" s="47">
        <f t="shared" ca="1" si="65"/>
        <v>0.63274733398261751</v>
      </c>
      <c r="C4191" s="48">
        <f t="array" aca="1" ref="C4191" ca="1">MAX(0,ROUND(Inputs!$B$10*Inputs!$B$11+NORMSINV(B4191)*SQRT(Inputs!$B$10*Inputs!$B$11),0))</f>
        <v>508</v>
      </c>
      <c r="D4191" s="49">
        <f ca="1">C4191*Inputs!$B$12</f>
        <v>60960000</v>
      </c>
    </row>
    <row r="4192" spans="1:4" ht="13.5" customHeight="1" x14ac:dyDescent="0.3">
      <c r="A4192" s="50">
        <v>4188</v>
      </c>
      <c r="B4192" s="51">
        <f t="shared" ca="1" si="65"/>
        <v>0.7952971908607509</v>
      </c>
      <c r="C4192" s="48">
        <f t="array" aca="1" ref="C4192" ca="1">MAX(0,ROUND(Inputs!$B$10*Inputs!$B$11+NORMSINV(B4192)*SQRT(Inputs!$B$10*Inputs!$B$11),0))</f>
        <v>518</v>
      </c>
      <c r="D4192" s="52">
        <f ca="1">C4192*Inputs!$B$12</f>
        <v>62160000</v>
      </c>
    </row>
    <row r="4193" spans="1:4" ht="13.5" customHeight="1" x14ac:dyDescent="0.3">
      <c r="A4193" s="46">
        <v>4189</v>
      </c>
      <c r="B4193" s="47">
        <f t="shared" ca="1" si="65"/>
        <v>0.9882627949538858</v>
      </c>
      <c r="C4193" s="48">
        <f t="array" aca="1" ref="C4193" ca="1">MAX(0,ROUND(Inputs!$B$10*Inputs!$B$11+NORMSINV(B4193)*SQRT(Inputs!$B$10*Inputs!$B$11),0))</f>
        <v>551</v>
      </c>
      <c r="D4193" s="49">
        <f ca="1">C4193*Inputs!$B$12</f>
        <v>66120000</v>
      </c>
    </row>
    <row r="4194" spans="1:4" ht="13.5" customHeight="1" x14ac:dyDescent="0.3">
      <c r="A4194" s="50">
        <v>4190</v>
      </c>
      <c r="B4194" s="51">
        <f t="shared" ca="1" si="65"/>
        <v>0.27484531468692452</v>
      </c>
      <c r="C4194" s="48">
        <f t="array" aca="1" ref="C4194" ca="1">MAX(0,ROUND(Inputs!$B$10*Inputs!$B$11+NORMSINV(B4194)*SQRT(Inputs!$B$10*Inputs!$B$11),0))</f>
        <v>487</v>
      </c>
      <c r="D4194" s="52">
        <f ca="1">C4194*Inputs!$B$12</f>
        <v>58440000</v>
      </c>
    </row>
    <row r="4195" spans="1:4" ht="13.5" customHeight="1" x14ac:dyDescent="0.3">
      <c r="A4195" s="46">
        <v>4191</v>
      </c>
      <c r="B4195" s="47">
        <f t="shared" ca="1" si="65"/>
        <v>9.260312881235222E-2</v>
      </c>
      <c r="C4195" s="48">
        <f t="array" aca="1" ref="C4195" ca="1">MAX(0,ROUND(Inputs!$B$10*Inputs!$B$11+NORMSINV(B4195)*SQRT(Inputs!$B$10*Inputs!$B$11),0))</f>
        <v>470</v>
      </c>
      <c r="D4195" s="49">
        <f ca="1">C4195*Inputs!$B$12</f>
        <v>56400000</v>
      </c>
    </row>
    <row r="4196" spans="1:4" ht="13.5" customHeight="1" x14ac:dyDescent="0.3">
      <c r="A4196" s="50">
        <v>4192</v>
      </c>
      <c r="B4196" s="51">
        <f t="shared" ca="1" si="65"/>
        <v>0.8655749868487721</v>
      </c>
      <c r="C4196" s="48">
        <f t="array" aca="1" ref="C4196" ca="1">MAX(0,ROUND(Inputs!$B$10*Inputs!$B$11+NORMSINV(B4196)*SQRT(Inputs!$B$10*Inputs!$B$11),0))</f>
        <v>525</v>
      </c>
      <c r="D4196" s="52">
        <f ca="1">C4196*Inputs!$B$12</f>
        <v>63000000</v>
      </c>
    </row>
    <row r="4197" spans="1:4" ht="13.5" customHeight="1" x14ac:dyDescent="0.3">
      <c r="A4197" s="46">
        <v>4193</v>
      </c>
      <c r="B4197" s="47">
        <f t="shared" ca="1" si="65"/>
        <v>0.52679895789715525</v>
      </c>
      <c r="C4197" s="48">
        <f t="array" aca="1" ref="C4197" ca="1">MAX(0,ROUND(Inputs!$B$10*Inputs!$B$11+NORMSINV(B4197)*SQRT(Inputs!$B$10*Inputs!$B$11),0))</f>
        <v>502</v>
      </c>
      <c r="D4197" s="49">
        <f ca="1">C4197*Inputs!$B$12</f>
        <v>60240000</v>
      </c>
    </row>
    <row r="4198" spans="1:4" ht="13.5" customHeight="1" x14ac:dyDescent="0.3">
      <c r="A4198" s="50">
        <v>4194</v>
      </c>
      <c r="B4198" s="51">
        <f t="shared" ca="1" si="65"/>
        <v>0.95561085797104028</v>
      </c>
      <c r="C4198" s="48">
        <f t="array" aca="1" ref="C4198" ca="1">MAX(0,ROUND(Inputs!$B$10*Inputs!$B$11+NORMSINV(B4198)*SQRT(Inputs!$B$10*Inputs!$B$11),0))</f>
        <v>538</v>
      </c>
      <c r="D4198" s="52">
        <f ca="1">C4198*Inputs!$B$12</f>
        <v>64560000</v>
      </c>
    </row>
    <row r="4199" spans="1:4" ht="13.5" customHeight="1" x14ac:dyDescent="0.3">
      <c r="A4199" s="46">
        <v>4195</v>
      </c>
      <c r="B4199" s="47">
        <f t="shared" ca="1" si="65"/>
        <v>0.8909483685361802</v>
      </c>
      <c r="C4199" s="48">
        <f t="array" aca="1" ref="C4199" ca="1">MAX(0,ROUND(Inputs!$B$10*Inputs!$B$11+NORMSINV(B4199)*SQRT(Inputs!$B$10*Inputs!$B$11),0))</f>
        <v>528</v>
      </c>
      <c r="D4199" s="49">
        <f ca="1">C4199*Inputs!$B$12</f>
        <v>63360000</v>
      </c>
    </row>
    <row r="4200" spans="1:4" ht="13.5" customHeight="1" x14ac:dyDescent="0.3">
      <c r="A4200" s="50">
        <v>4196</v>
      </c>
      <c r="B4200" s="51">
        <f t="shared" ca="1" si="65"/>
        <v>0.62575398728364606</v>
      </c>
      <c r="C4200" s="48">
        <f t="array" aca="1" ref="C4200" ca="1">MAX(0,ROUND(Inputs!$B$10*Inputs!$B$11+NORMSINV(B4200)*SQRT(Inputs!$B$10*Inputs!$B$11),0))</f>
        <v>507</v>
      </c>
      <c r="D4200" s="52">
        <f ca="1">C4200*Inputs!$B$12</f>
        <v>60840000</v>
      </c>
    </row>
    <row r="4201" spans="1:4" ht="13.5" customHeight="1" x14ac:dyDescent="0.3">
      <c r="A4201" s="46">
        <v>4197</v>
      </c>
      <c r="B4201" s="47">
        <f t="shared" ca="1" si="65"/>
        <v>2.2522003861001783E-2</v>
      </c>
      <c r="C4201" s="48">
        <f t="array" aca="1" ref="C4201" ca="1">MAX(0,ROUND(Inputs!$B$10*Inputs!$B$11+NORMSINV(B4201)*SQRT(Inputs!$B$10*Inputs!$B$11),0))</f>
        <v>455</v>
      </c>
      <c r="D4201" s="49">
        <f ca="1">C4201*Inputs!$B$12</f>
        <v>54600000</v>
      </c>
    </row>
    <row r="4202" spans="1:4" ht="13.5" customHeight="1" x14ac:dyDescent="0.3">
      <c r="A4202" s="50">
        <v>4198</v>
      </c>
      <c r="B4202" s="51">
        <f t="shared" ca="1" si="65"/>
        <v>0.12127428519318573</v>
      </c>
      <c r="C4202" s="48">
        <f t="array" aca="1" ref="C4202" ca="1">MAX(0,ROUND(Inputs!$B$10*Inputs!$B$11+NORMSINV(B4202)*SQRT(Inputs!$B$10*Inputs!$B$11),0))</f>
        <v>474</v>
      </c>
      <c r="D4202" s="52">
        <f ca="1">C4202*Inputs!$B$12</f>
        <v>56880000</v>
      </c>
    </row>
    <row r="4203" spans="1:4" ht="13.5" customHeight="1" x14ac:dyDescent="0.3">
      <c r="A4203" s="46">
        <v>4199</v>
      </c>
      <c r="B4203" s="47">
        <f t="shared" ca="1" si="65"/>
        <v>0.45596087144638253</v>
      </c>
      <c r="C4203" s="48">
        <f t="array" aca="1" ref="C4203" ca="1">MAX(0,ROUND(Inputs!$B$10*Inputs!$B$11+NORMSINV(B4203)*SQRT(Inputs!$B$10*Inputs!$B$11),0))</f>
        <v>498</v>
      </c>
      <c r="D4203" s="49">
        <f ca="1">C4203*Inputs!$B$12</f>
        <v>59760000</v>
      </c>
    </row>
    <row r="4204" spans="1:4" ht="13.5" customHeight="1" x14ac:dyDescent="0.3">
      <c r="A4204" s="50">
        <v>4200</v>
      </c>
      <c r="B4204" s="51">
        <f t="shared" ca="1" si="65"/>
        <v>0.88928610937494412</v>
      </c>
      <c r="C4204" s="48">
        <f t="array" aca="1" ref="C4204" ca="1">MAX(0,ROUND(Inputs!$B$10*Inputs!$B$11+NORMSINV(B4204)*SQRT(Inputs!$B$10*Inputs!$B$11),0))</f>
        <v>527</v>
      </c>
      <c r="D4204" s="52">
        <f ca="1">C4204*Inputs!$B$12</f>
        <v>63240000</v>
      </c>
    </row>
    <row r="4205" spans="1:4" ht="13.5" customHeight="1" x14ac:dyDescent="0.3">
      <c r="A4205" s="46">
        <v>4201</v>
      </c>
      <c r="B4205" s="47">
        <f t="shared" ca="1" si="65"/>
        <v>0.87628123779001654</v>
      </c>
      <c r="C4205" s="48">
        <f t="array" aca="1" ref="C4205" ca="1">MAX(0,ROUND(Inputs!$B$10*Inputs!$B$11+NORMSINV(B4205)*SQRT(Inputs!$B$10*Inputs!$B$11),0))</f>
        <v>526</v>
      </c>
      <c r="D4205" s="49">
        <f ca="1">C4205*Inputs!$B$12</f>
        <v>63120000</v>
      </c>
    </row>
    <row r="4206" spans="1:4" ht="13.5" customHeight="1" x14ac:dyDescent="0.3">
      <c r="A4206" s="50">
        <v>4202</v>
      </c>
      <c r="B4206" s="51">
        <f t="shared" ca="1" si="65"/>
        <v>0.71784937677813687</v>
      </c>
      <c r="C4206" s="48">
        <f t="array" aca="1" ref="C4206" ca="1">MAX(0,ROUND(Inputs!$B$10*Inputs!$B$11+NORMSINV(B4206)*SQRT(Inputs!$B$10*Inputs!$B$11),0))</f>
        <v>513</v>
      </c>
      <c r="D4206" s="52">
        <f ca="1">C4206*Inputs!$B$12</f>
        <v>61560000</v>
      </c>
    </row>
    <row r="4207" spans="1:4" ht="13.5" customHeight="1" x14ac:dyDescent="0.3">
      <c r="A4207" s="46">
        <v>4203</v>
      </c>
      <c r="B4207" s="47">
        <f t="shared" ca="1" si="65"/>
        <v>0.25909418003565488</v>
      </c>
      <c r="C4207" s="48">
        <f t="array" aca="1" ref="C4207" ca="1">MAX(0,ROUND(Inputs!$B$10*Inputs!$B$11+NORMSINV(B4207)*SQRT(Inputs!$B$10*Inputs!$B$11),0))</f>
        <v>486</v>
      </c>
      <c r="D4207" s="49">
        <f ca="1">C4207*Inputs!$B$12</f>
        <v>58320000</v>
      </c>
    </row>
    <row r="4208" spans="1:4" ht="13.5" customHeight="1" x14ac:dyDescent="0.3">
      <c r="A4208" s="50">
        <v>4204</v>
      </c>
      <c r="B4208" s="51">
        <f t="shared" ca="1" si="65"/>
        <v>0.31734743366961693</v>
      </c>
      <c r="C4208" s="48">
        <f t="array" aca="1" ref="C4208" ca="1">MAX(0,ROUND(Inputs!$B$10*Inputs!$B$11+NORMSINV(B4208)*SQRT(Inputs!$B$10*Inputs!$B$11),0))</f>
        <v>489</v>
      </c>
      <c r="D4208" s="52">
        <f ca="1">C4208*Inputs!$B$12</f>
        <v>58680000</v>
      </c>
    </row>
    <row r="4209" spans="1:4" ht="13.5" customHeight="1" x14ac:dyDescent="0.3">
      <c r="A4209" s="46">
        <v>4205</v>
      </c>
      <c r="B4209" s="47">
        <f t="shared" ca="1" si="65"/>
        <v>0.34532347824628018</v>
      </c>
      <c r="C4209" s="48">
        <f t="array" aca="1" ref="C4209" ca="1">MAX(0,ROUND(Inputs!$B$10*Inputs!$B$11+NORMSINV(B4209)*SQRT(Inputs!$B$10*Inputs!$B$11),0))</f>
        <v>491</v>
      </c>
      <c r="D4209" s="49">
        <f ca="1">C4209*Inputs!$B$12</f>
        <v>58920000</v>
      </c>
    </row>
    <row r="4210" spans="1:4" ht="13.5" customHeight="1" x14ac:dyDescent="0.3">
      <c r="A4210" s="50">
        <v>4206</v>
      </c>
      <c r="B4210" s="51">
        <f t="shared" ca="1" si="65"/>
        <v>0.13275665250817181</v>
      </c>
      <c r="C4210" s="48">
        <f t="array" aca="1" ref="C4210" ca="1">MAX(0,ROUND(Inputs!$B$10*Inputs!$B$11+NORMSINV(B4210)*SQRT(Inputs!$B$10*Inputs!$B$11),0))</f>
        <v>475</v>
      </c>
      <c r="D4210" s="52">
        <f ca="1">C4210*Inputs!$B$12</f>
        <v>57000000</v>
      </c>
    </row>
    <row r="4211" spans="1:4" ht="13.5" customHeight="1" x14ac:dyDescent="0.3">
      <c r="A4211" s="46">
        <v>4207</v>
      </c>
      <c r="B4211" s="47">
        <f t="shared" ca="1" si="65"/>
        <v>0.16630267614533456</v>
      </c>
      <c r="C4211" s="48">
        <f t="array" aca="1" ref="C4211" ca="1">MAX(0,ROUND(Inputs!$B$10*Inputs!$B$11+NORMSINV(B4211)*SQRT(Inputs!$B$10*Inputs!$B$11),0))</f>
        <v>478</v>
      </c>
      <c r="D4211" s="49">
        <f ca="1">C4211*Inputs!$B$12</f>
        <v>57360000</v>
      </c>
    </row>
    <row r="4212" spans="1:4" ht="13.5" customHeight="1" x14ac:dyDescent="0.3">
      <c r="A4212" s="50">
        <v>4208</v>
      </c>
      <c r="B4212" s="51">
        <f t="shared" ca="1" si="65"/>
        <v>0.46472417787505371</v>
      </c>
      <c r="C4212" s="48">
        <f t="array" aca="1" ref="C4212" ca="1">MAX(0,ROUND(Inputs!$B$10*Inputs!$B$11+NORMSINV(B4212)*SQRT(Inputs!$B$10*Inputs!$B$11),0))</f>
        <v>498</v>
      </c>
      <c r="D4212" s="52">
        <f ca="1">C4212*Inputs!$B$12</f>
        <v>59760000</v>
      </c>
    </row>
    <row r="4213" spans="1:4" ht="13.5" customHeight="1" x14ac:dyDescent="0.3">
      <c r="A4213" s="46">
        <v>4209</v>
      </c>
      <c r="B4213" s="47">
        <f t="shared" ca="1" si="65"/>
        <v>0.73618023197863769</v>
      </c>
      <c r="C4213" s="48">
        <f t="array" aca="1" ref="C4213" ca="1">MAX(0,ROUND(Inputs!$B$10*Inputs!$B$11+NORMSINV(B4213)*SQRT(Inputs!$B$10*Inputs!$B$11),0))</f>
        <v>514</v>
      </c>
      <c r="D4213" s="49">
        <f ca="1">C4213*Inputs!$B$12</f>
        <v>61680000</v>
      </c>
    </row>
    <row r="4214" spans="1:4" ht="13.5" customHeight="1" x14ac:dyDescent="0.3">
      <c r="A4214" s="50">
        <v>4210</v>
      </c>
      <c r="B4214" s="51">
        <f t="shared" ca="1" si="65"/>
        <v>0.56599923280871089</v>
      </c>
      <c r="C4214" s="48">
        <f t="array" aca="1" ref="C4214" ca="1">MAX(0,ROUND(Inputs!$B$10*Inputs!$B$11+NORMSINV(B4214)*SQRT(Inputs!$B$10*Inputs!$B$11),0))</f>
        <v>504</v>
      </c>
      <c r="D4214" s="52">
        <f ca="1">C4214*Inputs!$B$12</f>
        <v>60480000</v>
      </c>
    </row>
    <row r="4215" spans="1:4" ht="13.5" customHeight="1" x14ac:dyDescent="0.3">
      <c r="A4215" s="46">
        <v>4211</v>
      </c>
      <c r="B4215" s="47">
        <f t="shared" ca="1" si="65"/>
        <v>0.77372204505231312</v>
      </c>
      <c r="C4215" s="48">
        <f t="array" aca="1" ref="C4215" ca="1">MAX(0,ROUND(Inputs!$B$10*Inputs!$B$11+NORMSINV(B4215)*SQRT(Inputs!$B$10*Inputs!$B$11),0))</f>
        <v>517</v>
      </c>
      <c r="D4215" s="49">
        <f ca="1">C4215*Inputs!$B$12</f>
        <v>62040000</v>
      </c>
    </row>
    <row r="4216" spans="1:4" ht="13.5" customHeight="1" x14ac:dyDescent="0.3">
      <c r="A4216" s="50">
        <v>4212</v>
      </c>
      <c r="B4216" s="51">
        <f t="shared" ca="1" si="65"/>
        <v>0.77125907326977561</v>
      </c>
      <c r="C4216" s="48">
        <f t="array" aca="1" ref="C4216" ca="1">MAX(0,ROUND(Inputs!$B$10*Inputs!$B$11+NORMSINV(B4216)*SQRT(Inputs!$B$10*Inputs!$B$11),0))</f>
        <v>517</v>
      </c>
      <c r="D4216" s="52">
        <f ca="1">C4216*Inputs!$B$12</f>
        <v>62040000</v>
      </c>
    </row>
    <row r="4217" spans="1:4" ht="13.5" customHeight="1" x14ac:dyDescent="0.3">
      <c r="A4217" s="46">
        <v>4213</v>
      </c>
      <c r="B4217" s="47">
        <f t="shared" ca="1" si="65"/>
        <v>0.18898098062535551</v>
      </c>
      <c r="C4217" s="48">
        <f t="array" aca="1" ref="C4217" ca="1">MAX(0,ROUND(Inputs!$B$10*Inputs!$B$11+NORMSINV(B4217)*SQRT(Inputs!$B$10*Inputs!$B$11),0))</f>
        <v>480</v>
      </c>
      <c r="D4217" s="49">
        <f ca="1">C4217*Inputs!$B$12</f>
        <v>57600000</v>
      </c>
    </row>
    <row r="4218" spans="1:4" ht="13.5" customHeight="1" x14ac:dyDescent="0.3">
      <c r="A4218" s="50">
        <v>4214</v>
      </c>
      <c r="B4218" s="51">
        <f t="shared" ca="1" si="65"/>
        <v>0.30007210553112706</v>
      </c>
      <c r="C4218" s="48">
        <f t="array" aca="1" ref="C4218" ca="1">MAX(0,ROUND(Inputs!$B$10*Inputs!$B$11+NORMSINV(B4218)*SQRT(Inputs!$B$10*Inputs!$B$11),0))</f>
        <v>488</v>
      </c>
      <c r="D4218" s="52">
        <f ca="1">C4218*Inputs!$B$12</f>
        <v>58560000</v>
      </c>
    </row>
    <row r="4219" spans="1:4" ht="13.5" customHeight="1" x14ac:dyDescent="0.3">
      <c r="A4219" s="46">
        <v>4215</v>
      </c>
      <c r="B4219" s="47">
        <f t="shared" ca="1" si="65"/>
        <v>0.41506953404176627</v>
      </c>
      <c r="C4219" s="48">
        <f t="array" aca="1" ref="C4219" ca="1">MAX(0,ROUND(Inputs!$B$10*Inputs!$B$11+NORMSINV(B4219)*SQRT(Inputs!$B$10*Inputs!$B$11),0))</f>
        <v>495</v>
      </c>
      <c r="D4219" s="49">
        <f ca="1">C4219*Inputs!$B$12</f>
        <v>59400000</v>
      </c>
    </row>
    <row r="4220" spans="1:4" ht="13.5" customHeight="1" x14ac:dyDescent="0.3">
      <c r="A4220" s="50">
        <v>4216</v>
      </c>
      <c r="B4220" s="51">
        <f t="shared" ca="1" si="65"/>
        <v>5.1819823819363231E-2</v>
      </c>
      <c r="C4220" s="48">
        <f t="array" aca="1" ref="C4220" ca="1">MAX(0,ROUND(Inputs!$B$10*Inputs!$B$11+NORMSINV(B4220)*SQRT(Inputs!$B$10*Inputs!$B$11),0))</f>
        <v>464</v>
      </c>
      <c r="D4220" s="52">
        <f ca="1">C4220*Inputs!$B$12</f>
        <v>55680000</v>
      </c>
    </row>
    <row r="4221" spans="1:4" ht="13.5" customHeight="1" x14ac:dyDescent="0.3">
      <c r="A4221" s="46">
        <v>4217</v>
      </c>
      <c r="B4221" s="47">
        <f t="shared" ca="1" si="65"/>
        <v>0.21141887056429287</v>
      </c>
      <c r="C4221" s="48">
        <f t="array" aca="1" ref="C4221" ca="1">MAX(0,ROUND(Inputs!$B$10*Inputs!$B$11+NORMSINV(B4221)*SQRT(Inputs!$B$10*Inputs!$B$11),0))</f>
        <v>482</v>
      </c>
      <c r="D4221" s="49">
        <f ca="1">C4221*Inputs!$B$12</f>
        <v>57840000</v>
      </c>
    </row>
    <row r="4222" spans="1:4" ht="13.5" customHeight="1" x14ac:dyDescent="0.3">
      <c r="A4222" s="50">
        <v>4218</v>
      </c>
      <c r="B4222" s="51">
        <f t="shared" ca="1" si="65"/>
        <v>0.22733948417002914</v>
      </c>
      <c r="C4222" s="48">
        <f t="array" aca="1" ref="C4222" ca="1">MAX(0,ROUND(Inputs!$B$10*Inputs!$B$11+NORMSINV(B4222)*SQRT(Inputs!$B$10*Inputs!$B$11),0))</f>
        <v>483</v>
      </c>
      <c r="D4222" s="52">
        <f ca="1">C4222*Inputs!$B$12</f>
        <v>57960000</v>
      </c>
    </row>
    <row r="4223" spans="1:4" ht="13.5" customHeight="1" x14ac:dyDescent="0.3">
      <c r="A4223" s="46">
        <v>4219</v>
      </c>
      <c r="B4223" s="47">
        <f t="shared" ca="1" si="65"/>
        <v>0.96905264922019529</v>
      </c>
      <c r="C4223" s="48">
        <f t="array" aca="1" ref="C4223" ca="1">MAX(0,ROUND(Inputs!$B$10*Inputs!$B$11+NORMSINV(B4223)*SQRT(Inputs!$B$10*Inputs!$B$11),0))</f>
        <v>542</v>
      </c>
      <c r="D4223" s="49">
        <f ca="1">C4223*Inputs!$B$12</f>
        <v>65040000</v>
      </c>
    </row>
    <row r="4224" spans="1:4" ht="13.5" customHeight="1" x14ac:dyDescent="0.3">
      <c r="A4224" s="50">
        <v>4220</v>
      </c>
      <c r="B4224" s="51">
        <f t="shared" ca="1" si="65"/>
        <v>0.79982674626984873</v>
      </c>
      <c r="C4224" s="48">
        <f t="array" aca="1" ref="C4224" ca="1">MAX(0,ROUND(Inputs!$B$10*Inputs!$B$11+NORMSINV(B4224)*SQRT(Inputs!$B$10*Inputs!$B$11),0))</f>
        <v>519</v>
      </c>
      <c r="D4224" s="52">
        <f ca="1">C4224*Inputs!$B$12</f>
        <v>62280000</v>
      </c>
    </row>
    <row r="4225" spans="1:4" ht="13.5" customHeight="1" x14ac:dyDescent="0.3">
      <c r="A4225" s="46">
        <v>4221</v>
      </c>
      <c r="B4225" s="47">
        <f t="shared" ca="1" si="65"/>
        <v>0.75008838787969079</v>
      </c>
      <c r="C4225" s="48">
        <f t="array" aca="1" ref="C4225" ca="1">MAX(0,ROUND(Inputs!$B$10*Inputs!$B$11+NORMSINV(B4225)*SQRT(Inputs!$B$10*Inputs!$B$11),0))</f>
        <v>515</v>
      </c>
      <c r="D4225" s="49">
        <f ca="1">C4225*Inputs!$B$12</f>
        <v>61800000</v>
      </c>
    </row>
    <row r="4226" spans="1:4" ht="13.5" customHeight="1" x14ac:dyDescent="0.3">
      <c r="A4226" s="50">
        <v>4222</v>
      </c>
      <c r="B4226" s="51">
        <f t="shared" ca="1" si="65"/>
        <v>0.25391208498721096</v>
      </c>
      <c r="C4226" s="48">
        <f t="array" aca="1" ref="C4226" ca="1">MAX(0,ROUND(Inputs!$B$10*Inputs!$B$11+NORMSINV(B4226)*SQRT(Inputs!$B$10*Inputs!$B$11),0))</f>
        <v>485</v>
      </c>
      <c r="D4226" s="52">
        <f ca="1">C4226*Inputs!$B$12</f>
        <v>58200000</v>
      </c>
    </row>
    <row r="4227" spans="1:4" ht="13.5" customHeight="1" x14ac:dyDescent="0.3">
      <c r="A4227" s="46">
        <v>4223</v>
      </c>
      <c r="B4227" s="47">
        <f t="shared" ca="1" si="65"/>
        <v>0.80687277221504405</v>
      </c>
      <c r="C4227" s="48">
        <f t="array" aca="1" ref="C4227" ca="1">MAX(0,ROUND(Inputs!$B$10*Inputs!$B$11+NORMSINV(B4227)*SQRT(Inputs!$B$10*Inputs!$B$11),0))</f>
        <v>519</v>
      </c>
      <c r="D4227" s="49">
        <f ca="1">C4227*Inputs!$B$12</f>
        <v>62280000</v>
      </c>
    </row>
    <row r="4228" spans="1:4" ht="13.5" customHeight="1" x14ac:dyDescent="0.3">
      <c r="A4228" s="50">
        <v>4224</v>
      </c>
      <c r="B4228" s="51">
        <f t="shared" ca="1" si="65"/>
        <v>0.3675465824677776</v>
      </c>
      <c r="C4228" s="48">
        <f t="array" aca="1" ref="C4228" ca="1">MAX(0,ROUND(Inputs!$B$10*Inputs!$B$11+NORMSINV(B4228)*SQRT(Inputs!$B$10*Inputs!$B$11),0))</f>
        <v>492</v>
      </c>
      <c r="D4228" s="52">
        <f ca="1">C4228*Inputs!$B$12</f>
        <v>59040000</v>
      </c>
    </row>
    <row r="4229" spans="1:4" ht="13.5" customHeight="1" x14ac:dyDescent="0.3">
      <c r="A4229" s="46">
        <v>4225</v>
      </c>
      <c r="B4229" s="47">
        <f t="shared" ref="B4229:B4292" ca="1" si="66">RAND()</f>
        <v>0.17759941689332492</v>
      </c>
      <c r="C4229" s="48">
        <f t="array" aca="1" ref="C4229" ca="1">MAX(0,ROUND(Inputs!$B$10*Inputs!$B$11+NORMSINV(B4229)*SQRT(Inputs!$B$10*Inputs!$B$11),0))</f>
        <v>479</v>
      </c>
      <c r="D4229" s="49">
        <f ca="1">C4229*Inputs!$B$12</f>
        <v>57480000</v>
      </c>
    </row>
    <row r="4230" spans="1:4" ht="13.5" customHeight="1" x14ac:dyDescent="0.3">
      <c r="A4230" s="50">
        <v>4226</v>
      </c>
      <c r="B4230" s="51">
        <f t="shared" ca="1" si="66"/>
        <v>0.25988613645121694</v>
      </c>
      <c r="C4230" s="48">
        <f t="array" aca="1" ref="C4230" ca="1">MAX(0,ROUND(Inputs!$B$10*Inputs!$B$11+NORMSINV(B4230)*SQRT(Inputs!$B$10*Inputs!$B$11),0))</f>
        <v>486</v>
      </c>
      <c r="D4230" s="52">
        <f ca="1">C4230*Inputs!$B$12</f>
        <v>58320000</v>
      </c>
    </row>
    <row r="4231" spans="1:4" ht="13.5" customHeight="1" x14ac:dyDescent="0.3">
      <c r="A4231" s="46">
        <v>4227</v>
      </c>
      <c r="B4231" s="47">
        <f t="shared" ca="1" si="66"/>
        <v>0.49166803897637712</v>
      </c>
      <c r="C4231" s="48">
        <f t="array" aca="1" ref="C4231" ca="1">MAX(0,ROUND(Inputs!$B$10*Inputs!$B$11+NORMSINV(B4231)*SQRT(Inputs!$B$10*Inputs!$B$11),0))</f>
        <v>500</v>
      </c>
      <c r="D4231" s="49">
        <f ca="1">C4231*Inputs!$B$12</f>
        <v>60000000</v>
      </c>
    </row>
    <row r="4232" spans="1:4" ht="13.5" customHeight="1" x14ac:dyDescent="0.3">
      <c r="A4232" s="50">
        <v>4228</v>
      </c>
      <c r="B4232" s="51">
        <f t="shared" ca="1" si="66"/>
        <v>2.0098018123982819E-2</v>
      </c>
      <c r="C4232" s="48">
        <f t="array" aca="1" ref="C4232" ca="1">MAX(0,ROUND(Inputs!$B$10*Inputs!$B$11+NORMSINV(B4232)*SQRT(Inputs!$B$10*Inputs!$B$11),0))</f>
        <v>454</v>
      </c>
      <c r="D4232" s="52">
        <f ca="1">C4232*Inputs!$B$12</f>
        <v>54480000</v>
      </c>
    </row>
    <row r="4233" spans="1:4" ht="13.5" customHeight="1" x14ac:dyDescent="0.3">
      <c r="A4233" s="46">
        <v>4229</v>
      </c>
      <c r="B4233" s="47">
        <f t="shared" ca="1" si="66"/>
        <v>0.1470021025146836</v>
      </c>
      <c r="C4233" s="48">
        <f t="array" aca="1" ref="C4233" ca="1">MAX(0,ROUND(Inputs!$B$10*Inputs!$B$11+NORMSINV(B4233)*SQRT(Inputs!$B$10*Inputs!$B$11),0))</f>
        <v>477</v>
      </c>
      <c r="D4233" s="49">
        <f ca="1">C4233*Inputs!$B$12</f>
        <v>57240000</v>
      </c>
    </row>
    <row r="4234" spans="1:4" ht="13.5" customHeight="1" x14ac:dyDescent="0.3">
      <c r="A4234" s="50">
        <v>4230</v>
      </c>
      <c r="B4234" s="51">
        <f t="shared" ca="1" si="66"/>
        <v>0.2117070545644878</v>
      </c>
      <c r="C4234" s="48">
        <f t="array" aca="1" ref="C4234" ca="1">MAX(0,ROUND(Inputs!$B$10*Inputs!$B$11+NORMSINV(B4234)*SQRT(Inputs!$B$10*Inputs!$B$11),0))</f>
        <v>482</v>
      </c>
      <c r="D4234" s="52">
        <f ca="1">C4234*Inputs!$B$12</f>
        <v>57840000</v>
      </c>
    </row>
    <row r="4235" spans="1:4" ht="13.5" customHeight="1" x14ac:dyDescent="0.3">
      <c r="A4235" s="46">
        <v>4231</v>
      </c>
      <c r="B4235" s="47">
        <f t="shared" ca="1" si="66"/>
        <v>0.31193395100544596</v>
      </c>
      <c r="C4235" s="48">
        <f t="array" aca="1" ref="C4235" ca="1">MAX(0,ROUND(Inputs!$B$10*Inputs!$B$11+NORMSINV(B4235)*SQRT(Inputs!$B$10*Inputs!$B$11),0))</f>
        <v>489</v>
      </c>
      <c r="D4235" s="49">
        <f ca="1">C4235*Inputs!$B$12</f>
        <v>58680000</v>
      </c>
    </row>
    <row r="4236" spans="1:4" ht="13.5" customHeight="1" x14ac:dyDescent="0.3">
      <c r="A4236" s="50">
        <v>4232</v>
      </c>
      <c r="B4236" s="51">
        <f t="shared" ca="1" si="66"/>
        <v>0.95941712151418279</v>
      </c>
      <c r="C4236" s="48">
        <f t="array" aca="1" ref="C4236" ca="1">MAX(0,ROUND(Inputs!$B$10*Inputs!$B$11+NORMSINV(B4236)*SQRT(Inputs!$B$10*Inputs!$B$11),0))</f>
        <v>539</v>
      </c>
      <c r="D4236" s="52">
        <f ca="1">C4236*Inputs!$B$12</f>
        <v>64680000</v>
      </c>
    </row>
    <row r="4237" spans="1:4" ht="13.5" customHeight="1" x14ac:dyDescent="0.3">
      <c r="A4237" s="46">
        <v>4233</v>
      </c>
      <c r="B4237" s="47">
        <f t="shared" ca="1" si="66"/>
        <v>0.37329948518587353</v>
      </c>
      <c r="C4237" s="48">
        <f t="array" aca="1" ref="C4237" ca="1">MAX(0,ROUND(Inputs!$B$10*Inputs!$B$11+NORMSINV(B4237)*SQRT(Inputs!$B$10*Inputs!$B$11),0))</f>
        <v>493</v>
      </c>
      <c r="D4237" s="49">
        <f ca="1">C4237*Inputs!$B$12</f>
        <v>59160000</v>
      </c>
    </row>
    <row r="4238" spans="1:4" ht="13.5" customHeight="1" x14ac:dyDescent="0.3">
      <c r="A4238" s="50">
        <v>4234</v>
      </c>
      <c r="B4238" s="51">
        <f t="shared" ca="1" si="66"/>
        <v>0.57421521006014431</v>
      </c>
      <c r="C4238" s="48">
        <f t="array" aca="1" ref="C4238" ca="1">MAX(0,ROUND(Inputs!$B$10*Inputs!$B$11+NORMSINV(B4238)*SQRT(Inputs!$B$10*Inputs!$B$11),0))</f>
        <v>504</v>
      </c>
      <c r="D4238" s="52">
        <f ca="1">C4238*Inputs!$B$12</f>
        <v>60480000</v>
      </c>
    </row>
    <row r="4239" spans="1:4" ht="13.5" customHeight="1" x14ac:dyDescent="0.3">
      <c r="A4239" s="46">
        <v>4235</v>
      </c>
      <c r="B4239" s="47">
        <f t="shared" ca="1" si="66"/>
        <v>0.5888485537474768</v>
      </c>
      <c r="C4239" s="48">
        <f t="array" aca="1" ref="C4239" ca="1">MAX(0,ROUND(Inputs!$B$10*Inputs!$B$11+NORMSINV(B4239)*SQRT(Inputs!$B$10*Inputs!$B$11),0))</f>
        <v>505</v>
      </c>
      <c r="D4239" s="49">
        <f ca="1">C4239*Inputs!$B$12</f>
        <v>60600000</v>
      </c>
    </row>
    <row r="4240" spans="1:4" ht="13.5" customHeight="1" x14ac:dyDescent="0.3">
      <c r="A4240" s="50">
        <v>4236</v>
      </c>
      <c r="B4240" s="51">
        <f t="shared" ca="1" si="66"/>
        <v>0.31935443667521402</v>
      </c>
      <c r="C4240" s="48">
        <f t="array" aca="1" ref="C4240" ca="1">MAX(0,ROUND(Inputs!$B$10*Inputs!$B$11+NORMSINV(B4240)*SQRT(Inputs!$B$10*Inputs!$B$11),0))</f>
        <v>490</v>
      </c>
      <c r="D4240" s="52">
        <f ca="1">C4240*Inputs!$B$12</f>
        <v>58800000</v>
      </c>
    </row>
    <row r="4241" spans="1:4" ht="13.5" customHeight="1" x14ac:dyDescent="0.3">
      <c r="A4241" s="46">
        <v>4237</v>
      </c>
      <c r="B4241" s="47">
        <f t="shared" ca="1" si="66"/>
        <v>0.95602956569429154</v>
      </c>
      <c r="C4241" s="48">
        <f t="array" aca="1" ref="C4241" ca="1">MAX(0,ROUND(Inputs!$B$10*Inputs!$B$11+NORMSINV(B4241)*SQRT(Inputs!$B$10*Inputs!$B$11),0))</f>
        <v>538</v>
      </c>
      <c r="D4241" s="49">
        <f ca="1">C4241*Inputs!$B$12</f>
        <v>64560000</v>
      </c>
    </row>
    <row r="4242" spans="1:4" ht="13.5" customHeight="1" x14ac:dyDescent="0.3">
      <c r="A4242" s="50">
        <v>4238</v>
      </c>
      <c r="B4242" s="51">
        <f t="shared" ca="1" si="66"/>
        <v>9.3993035901627664E-2</v>
      </c>
      <c r="C4242" s="48">
        <f t="array" aca="1" ref="C4242" ca="1">MAX(0,ROUND(Inputs!$B$10*Inputs!$B$11+NORMSINV(B4242)*SQRT(Inputs!$B$10*Inputs!$B$11),0))</f>
        <v>471</v>
      </c>
      <c r="D4242" s="52">
        <f ca="1">C4242*Inputs!$B$12</f>
        <v>56520000</v>
      </c>
    </row>
    <row r="4243" spans="1:4" ht="13.5" customHeight="1" x14ac:dyDescent="0.3">
      <c r="A4243" s="46">
        <v>4239</v>
      </c>
      <c r="B4243" s="47">
        <f t="shared" ca="1" si="66"/>
        <v>0.13767453425972165</v>
      </c>
      <c r="C4243" s="48">
        <f t="array" aca="1" ref="C4243" ca="1">MAX(0,ROUND(Inputs!$B$10*Inputs!$B$11+NORMSINV(B4243)*SQRT(Inputs!$B$10*Inputs!$B$11),0))</f>
        <v>476</v>
      </c>
      <c r="D4243" s="49">
        <f ca="1">C4243*Inputs!$B$12</f>
        <v>57120000</v>
      </c>
    </row>
    <row r="4244" spans="1:4" ht="13.5" customHeight="1" x14ac:dyDescent="0.3">
      <c r="A4244" s="50">
        <v>4240</v>
      </c>
      <c r="B4244" s="51">
        <f t="shared" ca="1" si="66"/>
        <v>0.72703953010907973</v>
      </c>
      <c r="C4244" s="48">
        <f t="array" aca="1" ref="C4244" ca="1">MAX(0,ROUND(Inputs!$B$10*Inputs!$B$11+NORMSINV(B4244)*SQRT(Inputs!$B$10*Inputs!$B$11),0))</f>
        <v>514</v>
      </c>
      <c r="D4244" s="52">
        <f ca="1">C4244*Inputs!$B$12</f>
        <v>61680000</v>
      </c>
    </row>
    <row r="4245" spans="1:4" ht="13.5" customHeight="1" x14ac:dyDescent="0.3">
      <c r="A4245" s="46">
        <v>4241</v>
      </c>
      <c r="B4245" s="47">
        <f t="shared" ca="1" si="66"/>
        <v>0.68021378142519096</v>
      </c>
      <c r="C4245" s="48">
        <f t="array" aca="1" ref="C4245" ca="1">MAX(0,ROUND(Inputs!$B$10*Inputs!$B$11+NORMSINV(B4245)*SQRT(Inputs!$B$10*Inputs!$B$11),0))</f>
        <v>510</v>
      </c>
      <c r="D4245" s="49">
        <f ca="1">C4245*Inputs!$B$12</f>
        <v>61200000</v>
      </c>
    </row>
    <row r="4246" spans="1:4" ht="13.5" customHeight="1" x14ac:dyDescent="0.3">
      <c r="A4246" s="50">
        <v>4242</v>
      </c>
      <c r="B4246" s="51">
        <f t="shared" ca="1" si="66"/>
        <v>0.18971664305716984</v>
      </c>
      <c r="C4246" s="48">
        <f t="array" aca="1" ref="C4246" ca="1">MAX(0,ROUND(Inputs!$B$10*Inputs!$B$11+NORMSINV(B4246)*SQRT(Inputs!$B$10*Inputs!$B$11),0))</f>
        <v>480</v>
      </c>
      <c r="D4246" s="52">
        <f ca="1">C4246*Inputs!$B$12</f>
        <v>57600000</v>
      </c>
    </row>
    <row r="4247" spans="1:4" ht="13.5" customHeight="1" x14ac:dyDescent="0.3">
      <c r="A4247" s="46">
        <v>4243</v>
      </c>
      <c r="B4247" s="47">
        <f t="shared" ca="1" si="66"/>
        <v>0.2222063869649179</v>
      </c>
      <c r="C4247" s="48">
        <f t="array" aca="1" ref="C4247" ca="1">MAX(0,ROUND(Inputs!$B$10*Inputs!$B$11+NORMSINV(B4247)*SQRT(Inputs!$B$10*Inputs!$B$11),0))</f>
        <v>483</v>
      </c>
      <c r="D4247" s="49">
        <f ca="1">C4247*Inputs!$B$12</f>
        <v>57960000</v>
      </c>
    </row>
    <row r="4248" spans="1:4" ht="13.5" customHeight="1" x14ac:dyDescent="0.3">
      <c r="A4248" s="50">
        <v>4244</v>
      </c>
      <c r="B4248" s="51">
        <f t="shared" ca="1" si="66"/>
        <v>6.2465898063736591E-2</v>
      </c>
      <c r="C4248" s="48">
        <f t="array" aca="1" ref="C4248" ca="1">MAX(0,ROUND(Inputs!$B$10*Inputs!$B$11+NORMSINV(B4248)*SQRT(Inputs!$B$10*Inputs!$B$11),0))</f>
        <v>466</v>
      </c>
      <c r="D4248" s="52">
        <f ca="1">C4248*Inputs!$B$12</f>
        <v>55920000</v>
      </c>
    </row>
    <row r="4249" spans="1:4" ht="13.5" customHeight="1" x14ac:dyDescent="0.3">
      <c r="A4249" s="46">
        <v>4245</v>
      </c>
      <c r="B4249" s="47">
        <f t="shared" ca="1" si="66"/>
        <v>0.11919905301202027</v>
      </c>
      <c r="C4249" s="48">
        <f t="array" aca="1" ref="C4249" ca="1">MAX(0,ROUND(Inputs!$B$10*Inputs!$B$11+NORMSINV(B4249)*SQRT(Inputs!$B$10*Inputs!$B$11),0))</f>
        <v>474</v>
      </c>
      <c r="D4249" s="49">
        <f ca="1">C4249*Inputs!$B$12</f>
        <v>56880000</v>
      </c>
    </row>
    <row r="4250" spans="1:4" ht="13.5" customHeight="1" x14ac:dyDescent="0.3">
      <c r="A4250" s="50">
        <v>4246</v>
      </c>
      <c r="B4250" s="51">
        <f t="shared" ca="1" si="66"/>
        <v>0.79129524020916819</v>
      </c>
      <c r="C4250" s="48">
        <f t="array" aca="1" ref="C4250" ca="1">MAX(0,ROUND(Inputs!$B$10*Inputs!$B$11+NORMSINV(B4250)*SQRT(Inputs!$B$10*Inputs!$B$11),0))</f>
        <v>518</v>
      </c>
      <c r="D4250" s="52">
        <f ca="1">C4250*Inputs!$B$12</f>
        <v>62160000</v>
      </c>
    </row>
    <row r="4251" spans="1:4" ht="13.5" customHeight="1" x14ac:dyDescent="0.3">
      <c r="A4251" s="46">
        <v>4247</v>
      </c>
      <c r="B4251" s="47">
        <f t="shared" ca="1" si="66"/>
        <v>6.7493926261103288E-2</v>
      </c>
      <c r="C4251" s="48">
        <f t="array" aca="1" ref="C4251" ca="1">MAX(0,ROUND(Inputs!$B$10*Inputs!$B$11+NORMSINV(B4251)*SQRT(Inputs!$B$10*Inputs!$B$11),0))</f>
        <v>467</v>
      </c>
      <c r="D4251" s="49">
        <f ca="1">C4251*Inputs!$B$12</f>
        <v>56040000</v>
      </c>
    </row>
    <row r="4252" spans="1:4" ht="13.5" customHeight="1" x14ac:dyDescent="0.3">
      <c r="A4252" s="50">
        <v>4248</v>
      </c>
      <c r="B4252" s="51">
        <f t="shared" ca="1" si="66"/>
        <v>0.17413140914936065</v>
      </c>
      <c r="C4252" s="48">
        <f t="array" aca="1" ref="C4252" ca="1">MAX(0,ROUND(Inputs!$B$10*Inputs!$B$11+NORMSINV(B4252)*SQRT(Inputs!$B$10*Inputs!$B$11),0))</f>
        <v>479</v>
      </c>
      <c r="D4252" s="52">
        <f ca="1">C4252*Inputs!$B$12</f>
        <v>57480000</v>
      </c>
    </row>
    <row r="4253" spans="1:4" ht="13.5" customHeight="1" x14ac:dyDescent="0.3">
      <c r="A4253" s="46">
        <v>4249</v>
      </c>
      <c r="B4253" s="47">
        <f t="shared" ca="1" si="66"/>
        <v>1.6736088109344682E-2</v>
      </c>
      <c r="C4253" s="48">
        <f t="array" aca="1" ref="C4253" ca="1">MAX(0,ROUND(Inputs!$B$10*Inputs!$B$11+NORMSINV(B4253)*SQRT(Inputs!$B$10*Inputs!$B$11),0))</f>
        <v>452</v>
      </c>
      <c r="D4253" s="49">
        <f ca="1">C4253*Inputs!$B$12</f>
        <v>54240000</v>
      </c>
    </row>
    <row r="4254" spans="1:4" ht="13.5" customHeight="1" x14ac:dyDescent="0.3">
      <c r="A4254" s="50">
        <v>4250</v>
      </c>
      <c r="B4254" s="51">
        <f t="shared" ca="1" si="66"/>
        <v>1.8323152396674702E-2</v>
      </c>
      <c r="C4254" s="48">
        <f t="array" aca="1" ref="C4254" ca="1">MAX(0,ROUND(Inputs!$B$10*Inputs!$B$11+NORMSINV(B4254)*SQRT(Inputs!$B$10*Inputs!$B$11),0))</f>
        <v>453</v>
      </c>
      <c r="D4254" s="52">
        <f ca="1">C4254*Inputs!$B$12</f>
        <v>54360000</v>
      </c>
    </row>
    <row r="4255" spans="1:4" ht="13.5" customHeight="1" x14ac:dyDescent="0.3">
      <c r="A4255" s="46">
        <v>4251</v>
      </c>
      <c r="B4255" s="47">
        <f t="shared" ca="1" si="66"/>
        <v>0.97736635806139782</v>
      </c>
      <c r="C4255" s="48">
        <f t="array" aca="1" ref="C4255" ca="1">MAX(0,ROUND(Inputs!$B$10*Inputs!$B$11+NORMSINV(B4255)*SQRT(Inputs!$B$10*Inputs!$B$11),0))</f>
        <v>545</v>
      </c>
      <c r="D4255" s="49">
        <f ca="1">C4255*Inputs!$B$12</f>
        <v>65400000</v>
      </c>
    </row>
    <row r="4256" spans="1:4" ht="13.5" customHeight="1" x14ac:dyDescent="0.3">
      <c r="A4256" s="50">
        <v>4252</v>
      </c>
      <c r="B4256" s="51">
        <f t="shared" ca="1" si="66"/>
        <v>0.47885735543026509</v>
      </c>
      <c r="C4256" s="48">
        <f t="array" aca="1" ref="C4256" ca="1">MAX(0,ROUND(Inputs!$B$10*Inputs!$B$11+NORMSINV(B4256)*SQRT(Inputs!$B$10*Inputs!$B$11),0))</f>
        <v>499</v>
      </c>
      <c r="D4256" s="52">
        <f ca="1">C4256*Inputs!$B$12</f>
        <v>59880000</v>
      </c>
    </row>
    <row r="4257" spans="1:4" ht="13.5" customHeight="1" x14ac:dyDescent="0.3">
      <c r="A4257" s="46">
        <v>4253</v>
      </c>
      <c r="B4257" s="47">
        <f t="shared" ca="1" si="66"/>
        <v>0.14673379054773106</v>
      </c>
      <c r="C4257" s="48">
        <f t="array" aca="1" ref="C4257" ca="1">MAX(0,ROUND(Inputs!$B$10*Inputs!$B$11+NORMSINV(B4257)*SQRT(Inputs!$B$10*Inputs!$B$11),0))</f>
        <v>477</v>
      </c>
      <c r="D4257" s="49">
        <f ca="1">C4257*Inputs!$B$12</f>
        <v>57240000</v>
      </c>
    </row>
    <row r="4258" spans="1:4" ht="13.5" customHeight="1" x14ac:dyDescent="0.3">
      <c r="A4258" s="50">
        <v>4254</v>
      </c>
      <c r="B4258" s="51">
        <f t="shared" ca="1" si="66"/>
        <v>0.4211329438957685</v>
      </c>
      <c r="C4258" s="48">
        <f t="array" aca="1" ref="C4258" ca="1">MAX(0,ROUND(Inputs!$B$10*Inputs!$B$11+NORMSINV(B4258)*SQRT(Inputs!$B$10*Inputs!$B$11),0))</f>
        <v>496</v>
      </c>
      <c r="D4258" s="52">
        <f ca="1">C4258*Inputs!$B$12</f>
        <v>59520000</v>
      </c>
    </row>
    <row r="4259" spans="1:4" ht="13.5" customHeight="1" x14ac:dyDescent="0.3">
      <c r="A4259" s="46">
        <v>4255</v>
      </c>
      <c r="B4259" s="47">
        <f t="shared" ca="1" si="66"/>
        <v>9.5330035432014126E-3</v>
      </c>
      <c r="C4259" s="48">
        <f t="array" aca="1" ref="C4259" ca="1">MAX(0,ROUND(Inputs!$B$10*Inputs!$B$11+NORMSINV(B4259)*SQRT(Inputs!$B$10*Inputs!$B$11),0))</f>
        <v>448</v>
      </c>
      <c r="D4259" s="49">
        <f ca="1">C4259*Inputs!$B$12</f>
        <v>53760000</v>
      </c>
    </row>
    <row r="4260" spans="1:4" ht="13.5" customHeight="1" x14ac:dyDescent="0.3">
      <c r="A4260" s="50">
        <v>4256</v>
      </c>
      <c r="B4260" s="51">
        <f t="shared" ca="1" si="66"/>
        <v>0.80967010633430914</v>
      </c>
      <c r="C4260" s="48">
        <f t="array" aca="1" ref="C4260" ca="1">MAX(0,ROUND(Inputs!$B$10*Inputs!$B$11+NORMSINV(B4260)*SQRT(Inputs!$B$10*Inputs!$B$11),0))</f>
        <v>520</v>
      </c>
      <c r="D4260" s="52">
        <f ca="1">C4260*Inputs!$B$12</f>
        <v>62400000</v>
      </c>
    </row>
    <row r="4261" spans="1:4" ht="13.5" customHeight="1" x14ac:dyDescent="0.3">
      <c r="A4261" s="46">
        <v>4257</v>
      </c>
      <c r="B4261" s="47">
        <f t="shared" ca="1" si="66"/>
        <v>0.72526000271225044</v>
      </c>
      <c r="C4261" s="48">
        <f t="array" aca="1" ref="C4261" ca="1">MAX(0,ROUND(Inputs!$B$10*Inputs!$B$11+NORMSINV(B4261)*SQRT(Inputs!$B$10*Inputs!$B$11),0))</f>
        <v>513</v>
      </c>
      <c r="D4261" s="49">
        <f ca="1">C4261*Inputs!$B$12</f>
        <v>61560000</v>
      </c>
    </row>
    <row r="4262" spans="1:4" ht="13.5" customHeight="1" x14ac:dyDescent="0.3">
      <c r="A4262" s="50">
        <v>4258</v>
      </c>
      <c r="B4262" s="51">
        <f t="shared" ca="1" si="66"/>
        <v>0.41568645476217969</v>
      </c>
      <c r="C4262" s="48">
        <f t="array" aca="1" ref="C4262" ca="1">MAX(0,ROUND(Inputs!$B$10*Inputs!$B$11+NORMSINV(B4262)*SQRT(Inputs!$B$10*Inputs!$B$11),0))</f>
        <v>495</v>
      </c>
      <c r="D4262" s="52">
        <f ca="1">C4262*Inputs!$B$12</f>
        <v>59400000</v>
      </c>
    </row>
    <row r="4263" spans="1:4" ht="13.5" customHeight="1" x14ac:dyDescent="0.3">
      <c r="A4263" s="46">
        <v>4259</v>
      </c>
      <c r="B4263" s="47">
        <f t="shared" ca="1" si="66"/>
        <v>0.14922002688061997</v>
      </c>
      <c r="C4263" s="48">
        <f t="array" aca="1" ref="C4263" ca="1">MAX(0,ROUND(Inputs!$B$10*Inputs!$B$11+NORMSINV(B4263)*SQRT(Inputs!$B$10*Inputs!$B$11),0))</f>
        <v>477</v>
      </c>
      <c r="D4263" s="49">
        <f ca="1">C4263*Inputs!$B$12</f>
        <v>57240000</v>
      </c>
    </row>
    <row r="4264" spans="1:4" ht="13.5" customHeight="1" x14ac:dyDescent="0.3">
      <c r="A4264" s="50">
        <v>4260</v>
      </c>
      <c r="B4264" s="51">
        <f t="shared" ca="1" si="66"/>
        <v>0.18447905794919262</v>
      </c>
      <c r="C4264" s="48">
        <f t="array" aca="1" ref="C4264" ca="1">MAX(0,ROUND(Inputs!$B$10*Inputs!$B$11+NORMSINV(B4264)*SQRT(Inputs!$B$10*Inputs!$B$11),0))</f>
        <v>480</v>
      </c>
      <c r="D4264" s="52">
        <f ca="1">C4264*Inputs!$B$12</f>
        <v>57600000</v>
      </c>
    </row>
    <row r="4265" spans="1:4" ht="13.5" customHeight="1" x14ac:dyDescent="0.3">
      <c r="A4265" s="46">
        <v>4261</v>
      </c>
      <c r="B4265" s="47">
        <f t="shared" ca="1" si="66"/>
        <v>0.52549126548038316</v>
      </c>
      <c r="C4265" s="48">
        <f t="array" aca="1" ref="C4265" ca="1">MAX(0,ROUND(Inputs!$B$10*Inputs!$B$11+NORMSINV(B4265)*SQRT(Inputs!$B$10*Inputs!$B$11),0))</f>
        <v>501</v>
      </c>
      <c r="D4265" s="49">
        <f ca="1">C4265*Inputs!$B$12</f>
        <v>60120000</v>
      </c>
    </row>
    <row r="4266" spans="1:4" ht="13.5" customHeight="1" x14ac:dyDescent="0.3">
      <c r="A4266" s="50">
        <v>4262</v>
      </c>
      <c r="B4266" s="51">
        <f t="shared" ca="1" si="66"/>
        <v>0.97572871121540783</v>
      </c>
      <c r="C4266" s="48">
        <f t="array" aca="1" ref="C4266" ca="1">MAX(0,ROUND(Inputs!$B$10*Inputs!$B$11+NORMSINV(B4266)*SQRT(Inputs!$B$10*Inputs!$B$11),0))</f>
        <v>544</v>
      </c>
      <c r="D4266" s="52">
        <f ca="1">C4266*Inputs!$B$12</f>
        <v>65280000</v>
      </c>
    </row>
    <row r="4267" spans="1:4" ht="13.5" customHeight="1" x14ac:dyDescent="0.3">
      <c r="A4267" s="46">
        <v>4263</v>
      </c>
      <c r="B4267" s="47">
        <f t="shared" ca="1" si="66"/>
        <v>0.98607829356844778</v>
      </c>
      <c r="C4267" s="48">
        <f t="array" aca="1" ref="C4267" ca="1">MAX(0,ROUND(Inputs!$B$10*Inputs!$B$11+NORMSINV(B4267)*SQRT(Inputs!$B$10*Inputs!$B$11),0))</f>
        <v>549</v>
      </c>
      <c r="D4267" s="49">
        <f ca="1">C4267*Inputs!$B$12</f>
        <v>65880000</v>
      </c>
    </row>
    <row r="4268" spans="1:4" ht="13.5" customHeight="1" x14ac:dyDescent="0.3">
      <c r="A4268" s="50">
        <v>4264</v>
      </c>
      <c r="B4268" s="51">
        <f t="shared" ca="1" si="66"/>
        <v>0.19380777844457919</v>
      </c>
      <c r="C4268" s="48">
        <f t="array" aca="1" ref="C4268" ca="1">MAX(0,ROUND(Inputs!$B$10*Inputs!$B$11+NORMSINV(B4268)*SQRT(Inputs!$B$10*Inputs!$B$11),0))</f>
        <v>481</v>
      </c>
      <c r="D4268" s="52">
        <f ca="1">C4268*Inputs!$B$12</f>
        <v>57720000</v>
      </c>
    </row>
    <row r="4269" spans="1:4" ht="13.5" customHeight="1" x14ac:dyDescent="0.3">
      <c r="A4269" s="46">
        <v>4265</v>
      </c>
      <c r="B4269" s="47">
        <f t="shared" ca="1" si="66"/>
        <v>0.53244851158896711</v>
      </c>
      <c r="C4269" s="48">
        <f t="array" aca="1" ref="C4269" ca="1">MAX(0,ROUND(Inputs!$B$10*Inputs!$B$11+NORMSINV(B4269)*SQRT(Inputs!$B$10*Inputs!$B$11),0))</f>
        <v>502</v>
      </c>
      <c r="D4269" s="49">
        <f ca="1">C4269*Inputs!$B$12</f>
        <v>60240000</v>
      </c>
    </row>
    <row r="4270" spans="1:4" ht="13.5" customHeight="1" x14ac:dyDescent="0.3">
      <c r="A4270" s="50">
        <v>4266</v>
      </c>
      <c r="B4270" s="51">
        <f t="shared" ca="1" si="66"/>
        <v>0.42225088383469922</v>
      </c>
      <c r="C4270" s="48">
        <f t="array" aca="1" ref="C4270" ca="1">MAX(0,ROUND(Inputs!$B$10*Inputs!$B$11+NORMSINV(B4270)*SQRT(Inputs!$B$10*Inputs!$B$11),0))</f>
        <v>496</v>
      </c>
      <c r="D4270" s="52">
        <f ca="1">C4270*Inputs!$B$12</f>
        <v>59520000</v>
      </c>
    </row>
    <row r="4271" spans="1:4" ht="13.5" customHeight="1" x14ac:dyDescent="0.3">
      <c r="A4271" s="46">
        <v>4267</v>
      </c>
      <c r="B4271" s="47">
        <f t="shared" ca="1" si="66"/>
        <v>0.7074467699583058</v>
      </c>
      <c r="C4271" s="48">
        <f t="array" aca="1" ref="C4271" ca="1">MAX(0,ROUND(Inputs!$B$10*Inputs!$B$11+NORMSINV(B4271)*SQRT(Inputs!$B$10*Inputs!$B$11),0))</f>
        <v>512</v>
      </c>
      <c r="D4271" s="49">
        <f ca="1">C4271*Inputs!$B$12</f>
        <v>61440000</v>
      </c>
    </row>
    <row r="4272" spans="1:4" ht="13.5" customHeight="1" x14ac:dyDescent="0.3">
      <c r="A4272" s="50">
        <v>4268</v>
      </c>
      <c r="B4272" s="51">
        <f t="shared" ca="1" si="66"/>
        <v>0.83233689064203664</v>
      </c>
      <c r="C4272" s="48">
        <f t="array" aca="1" ref="C4272" ca="1">MAX(0,ROUND(Inputs!$B$10*Inputs!$B$11+NORMSINV(B4272)*SQRT(Inputs!$B$10*Inputs!$B$11),0))</f>
        <v>522</v>
      </c>
      <c r="D4272" s="52">
        <f ca="1">C4272*Inputs!$B$12</f>
        <v>62640000</v>
      </c>
    </row>
    <row r="4273" spans="1:4" ht="13.5" customHeight="1" x14ac:dyDescent="0.3">
      <c r="A4273" s="46">
        <v>4269</v>
      </c>
      <c r="B4273" s="47">
        <f t="shared" ca="1" si="66"/>
        <v>0.44600376055840751</v>
      </c>
      <c r="C4273" s="48">
        <f t="array" aca="1" ref="C4273" ca="1">MAX(0,ROUND(Inputs!$B$10*Inputs!$B$11+NORMSINV(B4273)*SQRT(Inputs!$B$10*Inputs!$B$11),0))</f>
        <v>497</v>
      </c>
      <c r="D4273" s="49">
        <f ca="1">C4273*Inputs!$B$12</f>
        <v>59640000</v>
      </c>
    </row>
    <row r="4274" spans="1:4" ht="13.5" customHeight="1" x14ac:dyDescent="0.3">
      <c r="A4274" s="50">
        <v>4270</v>
      </c>
      <c r="B4274" s="51">
        <f t="shared" ca="1" si="66"/>
        <v>0.70137022355879475</v>
      </c>
      <c r="C4274" s="48">
        <f t="array" aca="1" ref="C4274" ca="1">MAX(0,ROUND(Inputs!$B$10*Inputs!$B$11+NORMSINV(B4274)*SQRT(Inputs!$B$10*Inputs!$B$11),0))</f>
        <v>512</v>
      </c>
      <c r="D4274" s="52">
        <f ca="1">C4274*Inputs!$B$12</f>
        <v>61440000</v>
      </c>
    </row>
    <row r="4275" spans="1:4" ht="13.5" customHeight="1" x14ac:dyDescent="0.3">
      <c r="A4275" s="46">
        <v>4271</v>
      </c>
      <c r="B4275" s="47">
        <f t="shared" ca="1" si="66"/>
        <v>0.4777113548355677</v>
      </c>
      <c r="C4275" s="48">
        <f t="array" aca="1" ref="C4275" ca="1">MAX(0,ROUND(Inputs!$B$10*Inputs!$B$11+NORMSINV(B4275)*SQRT(Inputs!$B$10*Inputs!$B$11),0))</f>
        <v>499</v>
      </c>
      <c r="D4275" s="49">
        <f ca="1">C4275*Inputs!$B$12</f>
        <v>59880000</v>
      </c>
    </row>
    <row r="4276" spans="1:4" ht="13.5" customHeight="1" x14ac:dyDescent="0.3">
      <c r="A4276" s="50">
        <v>4272</v>
      </c>
      <c r="B4276" s="51">
        <f t="shared" ca="1" si="66"/>
        <v>0.72989471593637245</v>
      </c>
      <c r="C4276" s="48">
        <f t="array" aca="1" ref="C4276" ca="1">MAX(0,ROUND(Inputs!$B$10*Inputs!$B$11+NORMSINV(B4276)*SQRT(Inputs!$B$10*Inputs!$B$11),0))</f>
        <v>514</v>
      </c>
      <c r="D4276" s="52">
        <f ca="1">C4276*Inputs!$B$12</f>
        <v>61680000</v>
      </c>
    </row>
    <row r="4277" spans="1:4" ht="13.5" customHeight="1" x14ac:dyDescent="0.3">
      <c r="A4277" s="46">
        <v>4273</v>
      </c>
      <c r="B4277" s="47">
        <f t="shared" ca="1" si="66"/>
        <v>0.70360373247613361</v>
      </c>
      <c r="C4277" s="48">
        <f t="array" aca="1" ref="C4277" ca="1">MAX(0,ROUND(Inputs!$B$10*Inputs!$B$11+NORMSINV(B4277)*SQRT(Inputs!$B$10*Inputs!$B$11),0))</f>
        <v>512</v>
      </c>
      <c r="D4277" s="49">
        <f ca="1">C4277*Inputs!$B$12</f>
        <v>61440000</v>
      </c>
    </row>
    <row r="4278" spans="1:4" ht="13.5" customHeight="1" x14ac:dyDescent="0.3">
      <c r="A4278" s="50">
        <v>4274</v>
      </c>
      <c r="B4278" s="51">
        <f t="shared" ca="1" si="66"/>
        <v>0.25989823333912354</v>
      </c>
      <c r="C4278" s="48">
        <f t="array" aca="1" ref="C4278" ca="1">MAX(0,ROUND(Inputs!$B$10*Inputs!$B$11+NORMSINV(B4278)*SQRT(Inputs!$B$10*Inputs!$B$11),0))</f>
        <v>486</v>
      </c>
      <c r="D4278" s="52">
        <f ca="1">C4278*Inputs!$B$12</f>
        <v>58320000</v>
      </c>
    </row>
    <row r="4279" spans="1:4" ht="13.5" customHeight="1" x14ac:dyDescent="0.3">
      <c r="A4279" s="46">
        <v>4275</v>
      </c>
      <c r="B4279" s="47">
        <f t="shared" ca="1" si="66"/>
        <v>0.2026286810063137</v>
      </c>
      <c r="C4279" s="48">
        <f t="array" aca="1" ref="C4279" ca="1">MAX(0,ROUND(Inputs!$B$10*Inputs!$B$11+NORMSINV(B4279)*SQRT(Inputs!$B$10*Inputs!$B$11),0))</f>
        <v>481</v>
      </c>
      <c r="D4279" s="49">
        <f ca="1">C4279*Inputs!$B$12</f>
        <v>57720000</v>
      </c>
    </row>
    <row r="4280" spans="1:4" ht="13.5" customHeight="1" x14ac:dyDescent="0.3">
      <c r="A4280" s="50">
        <v>4276</v>
      </c>
      <c r="B4280" s="51">
        <f t="shared" ca="1" si="66"/>
        <v>0.45898369415526863</v>
      </c>
      <c r="C4280" s="48">
        <f t="array" aca="1" ref="C4280" ca="1">MAX(0,ROUND(Inputs!$B$10*Inputs!$B$11+NORMSINV(B4280)*SQRT(Inputs!$B$10*Inputs!$B$11),0))</f>
        <v>498</v>
      </c>
      <c r="D4280" s="52">
        <f ca="1">C4280*Inputs!$B$12</f>
        <v>59760000</v>
      </c>
    </row>
    <row r="4281" spans="1:4" ht="13.5" customHeight="1" x14ac:dyDescent="0.3">
      <c r="A4281" s="46">
        <v>4277</v>
      </c>
      <c r="B4281" s="47">
        <f t="shared" ca="1" si="66"/>
        <v>0.13329100498126223</v>
      </c>
      <c r="C4281" s="48">
        <f t="array" aca="1" ref="C4281" ca="1">MAX(0,ROUND(Inputs!$B$10*Inputs!$B$11+NORMSINV(B4281)*SQRT(Inputs!$B$10*Inputs!$B$11),0))</f>
        <v>475</v>
      </c>
      <c r="D4281" s="49">
        <f ca="1">C4281*Inputs!$B$12</f>
        <v>57000000</v>
      </c>
    </row>
    <row r="4282" spans="1:4" ht="13.5" customHeight="1" x14ac:dyDescent="0.3">
      <c r="A4282" s="50">
        <v>4278</v>
      </c>
      <c r="B4282" s="51">
        <f t="shared" ca="1" si="66"/>
        <v>0.9454283229140763</v>
      </c>
      <c r="C4282" s="48">
        <f t="array" aca="1" ref="C4282" ca="1">MAX(0,ROUND(Inputs!$B$10*Inputs!$B$11+NORMSINV(B4282)*SQRT(Inputs!$B$10*Inputs!$B$11),0))</f>
        <v>536</v>
      </c>
      <c r="D4282" s="52">
        <f ca="1">C4282*Inputs!$B$12</f>
        <v>64320000</v>
      </c>
    </row>
    <row r="4283" spans="1:4" ht="13.5" customHeight="1" x14ac:dyDescent="0.3">
      <c r="A4283" s="46">
        <v>4279</v>
      </c>
      <c r="B4283" s="47">
        <f t="shared" ca="1" si="66"/>
        <v>0.97630860200800962</v>
      </c>
      <c r="C4283" s="48">
        <f t="array" aca="1" ref="C4283" ca="1">MAX(0,ROUND(Inputs!$B$10*Inputs!$B$11+NORMSINV(B4283)*SQRT(Inputs!$B$10*Inputs!$B$11),0))</f>
        <v>544</v>
      </c>
      <c r="D4283" s="49">
        <f ca="1">C4283*Inputs!$B$12</f>
        <v>65280000</v>
      </c>
    </row>
    <row r="4284" spans="1:4" ht="13.5" customHeight="1" x14ac:dyDescent="0.3">
      <c r="A4284" s="50">
        <v>4280</v>
      </c>
      <c r="B4284" s="51">
        <f t="shared" ca="1" si="66"/>
        <v>0.5809392418250886</v>
      </c>
      <c r="C4284" s="48">
        <f t="array" aca="1" ref="C4284" ca="1">MAX(0,ROUND(Inputs!$B$10*Inputs!$B$11+NORMSINV(B4284)*SQRT(Inputs!$B$10*Inputs!$B$11),0))</f>
        <v>505</v>
      </c>
      <c r="D4284" s="52">
        <f ca="1">C4284*Inputs!$B$12</f>
        <v>60600000</v>
      </c>
    </row>
    <row r="4285" spans="1:4" ht="13.5" customHeight="1" x14ac:dyDescent="0.3">
      <c r="A4285" s="46">
        <v>4281</v>
      </c>
      <c r="B4285" s="47">
        <f t="shared" ca="1" si="66"/>
        <v>5.2982470881087984E-2</v>
      </c>
      <c r="C4285" s="48">
        <f t="array" aca="1" ref="C4285" ca="1">MAX(0,ROUND(Inputs!$B$10*Inputs!$B$11+NORMSINV(B4285)*SQRT(Inputs!$B$10*Inputs!$B$11),0))</f>
        <v>464</v>
      </c>
      <c r="D4285" s="49">
        <f ca="1">C4285*Inputs!$B$12</f>
        <v>55680000</v>
      </c>
    </row>
    <row r="4286" spans="1:4" ht="13.5" customHeight="1" x14ac:dyDescent="0.3">
      <c r="A4286" s="50">
        <v>4282</v>
      </c>
      <c r="B4286" s="51">
        <f t="shared" ca="1" si="66"/>
        <v>0.87372655299805979</v>
      </c>
      <c r="C4286" s="48">
        <f t="array" aca="1" ref="C4286" ca="1">MAX(0,ROUND(Inputs!$B$10*Inputs!$B$11+NORMSINV(B4286)*SQRT(Inputs!$B$10*Inputs!$B$11),0))</f>
        <v>526</v>
      </c>
      <c r="D4286" s="52">
        <f ca="1">C4286*Inputs!$B$12</f>
        <v>63120000</v>
      </c>
    </row>
    <row r="4287" spans="1:4" ht="13.5" customHeight="1" x14ac:dyDescent="0.3">
      <c r="A4287" s="46">
        <v>4283</v>
      </c>
      <c r="B4287" s="47">
        <f t="shared" ca="1" si="66"/>
        <v>0.83110938790939282</v>
      </c>
      <c r="C4287" s="48">
        <f t="array" aca="1" ref="C4287" ca="1">MAX(0,ROUND(Inputs!$B$10*Inputs!$B$11+NORMSINV(B4287)*SQRT(Inputs!$B$10*Inputs!$B$11),0))</f>
        <v>521</v>
      </c>
      <c r="D4287" s="49">
        <f ca="1">C4287*Inputs!$B$12</f>
        <v>62520000</v>
      </c>
    </row>
    <row r="4288" spans="1:4" ht="13.5" customHeight="1" x14ac:dyDescent="0.3">
      <c r="A4288" s="50">
        <v>4284</v>
      </c>
      <c r="B4288" s="51">
        <f t="shared" ca="1" si="66"/>
        <v>0.56680344136723004</v>
      </c>
      <c r="C4288" s="48">
        <f t="array" aca="1" ref="C4288" ca="1">MAX(0,ROUND(Inputs!$B$10*Inputs!$B$11+NORMSINV(B4288)*SQRT(Inputs!$B$10*Inputs!$B$11),0))</f>
        <v>504</v>
      </c>
      <c r="D4288" s="52">
        <f ca="1">C4288*Inputs!$B$12</f>
        <v>60480000</v>
      </c>
    </row>
    <row r="4289" spans="1:4" ht="13.5" customHeight="1" x14ac:dyDescent="0.3">
      <c r="A4289" s="46">
        <v>4285</v>
      </c>
      <c r="B4289" s="47">
        <f t="shared" ca="1" si="66"/>
        <v>0.11768683589498241</v>
      </c>
      <c r="C4289" s="48">
        <f t="array" aca="1" ref="C4289" ca="1">MAX(0,ROUND(Inputs!$B$10*Inputs!$B$11+NORMSINV(B4289)*SQRT(Inputs!$B$10*Inputs!$B$11),0))</f>
        <v>473</v>
      </c>
      <c r="D4289" s="49">
        <f ca="1">C4289*Inputs!$B$12</f>
        <v>56760000</v>
      </c>
    </row>
    <row r="4290" spans="1:4" ht="13.5" customHeight="1" x14ac:dyDescent="0.3">
      <c r="A4290" s="50">
        <v>4286</v>
      </c>
      <c r="B4290" s="51">
        <f t="shared" ca="1" si="66"/>
        <v>0.75029227304986046</v>
      </c>
      <c r="C4290" s="48">
        <f t="array" aca="1" ref="C4290" ca="1">MAX(0,ROUND(Inputs!$B$10*Inputs!$B$11+NORMSINV(B4290)*SQRT(Inputs!$B$10*Inputs!$B$11),0))</f>
        <v>515</v>
      </c>
      <c r="D4290" s="52">
        <f ca="1">C4290*Inputs!$B$12</f>
        <v>61800000</v>
      </c>
    </row>
    <row r="4291" spans="1:4" ht="13.5" customHeight="1" x14ac:dyDescent="0.3">
      <c r="A4291" s="46">
        <v>4287</v>
      </c>
      <c r="B4291" s="47">
        <f t="shared" ca="1" si="66"/>
        <v>0.59303680881999243</v>
      </c>
      <c r="C4291" s="48">
        <f t="array" aca="1" ref="C4291" ca="1">MAX(0,ROUND(Inputs!$B$10*Inputs!$B$11+NORMSINV(B4291)*SQRT(Inputs!$B$10*Inputs!$B$11),0))</f>
        <v>505</v>
      </c>
      <c r="D4291" s="49">
        <f ca="1">C4291*Inputs!$B$12</f>
        <v>60600000</v>
      </c>
    </row>
    <row r="4292" spans="1:4" ht="13.5" customHeight="1" x14ac:dyDescent="0.3">
      <c r="A4292" s="50">
        <v>4288</v>
      </c>
      <c r="B4292" s="51">
        <f t="shared" ca="1" si="66"/>
        <v>5.1572328284097413E-3</v>
      </c>
      <c r="C4292" s="48">
        <f t="array" aca="1" ref="C4292" ca="1">MAX(0,ROUND(Inputs!$B$10*Inputs!$B$11+NORMSINV(B4292)*SQRT(Inputs!$B$10*Inputs!$B$11),0))</f>
        <v>443</v>
      </c>
      <c r="D4292" s="52">
        <f ca="1">C4292*Inputs!$B$12</f>
        <v>53160000</v>
      </c>
    </row>
    <row r="4293" spans="1:4" ht="13.5" customHeight="1" x14ac:dyDescent="0.3">
      <c r="A4293" s="46">
        <v>4289</v>
      </c>
      <c r="B4293" s="47">
        <f t="shared" ref="B4293:B4356" ca="1" si="67">RAND()</f>
        <v>0.92662916918063631</v>
      </c>
      <c r="C4293" s="48">
        <f t="array" aca="1" ref="C4293" ca="1">MAX(0,ROUND(Inputs!$B$10*Inputs!$B$11+NORMSINV(B4293)*SQRT(Inputs!$B$10*Inputs!$B$11),0))</f>
        <v>532</v>
      </c>
      <c r="D4293" s="49">
        <f ca="1">C4293*Inputs!$B$12</f>
        <v>63840000</v>
      </c>
    </row>
    <row r="4294" spans="1:4" ht="13.5" customHeight="1" x14ac:dyDescent="0.3">
      <c r="A4294" s="50">
        <v>4290</v>
      </c>
      <c r="B4294" s="51">
        <f t="shared" ca="1" si="67"/>
        <v>0.74877792895752093</v>
      </c>
      <c r="C4294" s="48">
        <f t="array" aca="1" ref="C4294" ca="1">MAX(0,ROUND(Inputs!$B$10*Inputs!$B$11+NORMSINV(B4294)*SQRT(Inputs!$B$10*Inputs!$B$11),0))</f>
        <v>515</v>
      </c>
      <c r="D4294" s="52">
        <f ca="1">C4294*Inputs!$B$12</f>
        <v>61800000</v>
      </c>
    </row>
    <row r="4295" spans="1:4" ht="13.5" customHeight="1" x14ac:dyDescent="0.3">
      <c r="A4295" s="46">
        <v>4291</v>
      </c>
      <c r="B4295" s="47">
        <f t="shared" ca="1" si="67"/>
        <v>0.81833150949943623</v>
      </c>
      <c r="C4295" s="48">
        <f t="array" aca="1" ref="C4295" ca="1">MAX(0,ROUND(Inputs!$B$10*Inputs!$B$11+NORMSINV(B4295)*SQRT(Inputs!$B$10*Inputs!$B$11),0))</f>
        <v>520</v>
      </c>
      <c r="D4295" s="49">
        <f ca="1">C4295*Inputs!$B$12</f>
        <v>62400000</v>
      </c>
    </row>
    <row r="4296" spans="1:4" ht="13.5" customHeight="1" x14ac:dyDescent="0.3">
      <c r="A4296" s="50">
        <v>4292</v>
      </c>
      <c r="B4296" s="51">
        <f t="shared" ca="1" si="67"/>
        <v>0.59691962206988203</v>
      </c>
      <c r="C4296" s="48">
        <f t="array" aca="1" ref="C4296" ca="1">MAX(0,ROUND(Inputs!$B$10*Inputs!$B$11+NORMSINV(B4296)*SQRT(Inputs!$B$10*Inputs!$B$11),0))</f>
        <v>505</v>
      </c>
      <c r="D4296" s="52">
        <f ca="1">C4296*Inputs!$B$12</f>
        <v>60600000</v>
      </c>
    </row>
    <row r="4297" spans="1:4" ht="13.5" customHeight="1" x14ac:dyDescent="0.3">
      <c r="A4297" s="46">
        <v>4293</v>
      </c>
      <c r="B4297" s="47">
        <f t="shared" ca="1" si="67"/>
        <v>0.89703471205892726</v>
      </c>
      <c r="C4297" s="48">
        <f t="array" aca="1" ref="C4297" ca="1">MAX(0,ROUND(Inputs!$B$10*Inputs!$B$11+NORMSINV(B4297)*SQRT(Inputs!$B$10*Inputs!$B$11),0))</f>
        <v>528</v>
      </c>
      <c r="D4297" s="49">
        <f ca="1">C4297*Inputs!$B$12</f>
        <v>63360000</v>
      </c>
    </row>
    <row r="4298" spans="1:4" ht="13.5" customHeight="1" x14ac:dyDescent="0.3">
      <c r="A4298" s="50">
        <v>4294</v>
      </c>
      <c r="B4298" s="51">
        <f t="shared" ca="1" si="67"/>
        <v>8.8702385364479386E-2</v>
      </c>
      <c r="C4298" s="48">
        <f t="array" aca="1" ref="C4298" ca="1">MAX(0,ROUND(Inputs!$B$10*Inputs!$B$11+NORMSINV(B4298)*SQRT(Inputs!$B$10*Inputs!$B$11),0))</f>
        <v>470</v>
      </c>
      <c r="D4298" s="52">
        <f ca="1">C4298*Inputs!$B$12</f>
        <v>56400000</v>
      </c>
    </row>
    <row r="4299" spans="1:4" ht="13.5" customHeight="1" x14ac:dyDescent="0.3">
      <c r="A4299" s="46">
        <v>4295</v>
      </c>
      <c r="B4299" s="47">
        <f t="shared" ca="1" si="67"/>
        <v>1.9835768090576966E-2</v>
      </c>
      <c r="C4299" s="48">
        <f t="array" aca="1" ref="C4299" ca="1">MAX(0,ROUND(Inputs!$B$10*Inputs!$B$11+NORMSINV(B4299)*SQRT(Inputs!$B$10*Inputs!$B$11),0))</f>
        <v>454</v>
      </c>
      <c r="D4299" s="49">
        <f ca="1">C4299*Inputs!$B$12</f>
        <v>54480000</v>
      </c>
    </row>
    <row r="4300" spans="1:4" ht="13.5" customHeight="1" x14ac:dyDescent="0.3">
      <c r="A4300" s="50">
        <v>4296</v>
      </c>
      <c r="B4300" s="51">
        <f t="shared" ca="1" si="67"/>
        <v>0.14008780473091287</v>
      </c>
      <c r="C4300" s="48">
        <f t="array" aca="1" ref="C4300" ca="1">MAX(0,ROUND(Inputs!$B$10*Inputs!$B$11+NORMSINV(B4300)*SQRT(Inputs!$B$10*Inputs!$B$11),0))</f>
        <v>476</v>
      </c>
      <c r="D4300" s="52">
        <f ca="1">C4300*Inputs!$B$12</f>
        <v>57120000</v>
      </c>
    </row>
    <row r="4301" spans="1:4" ht="13.5" customHeight="1" x14ac:dyDescent="0.3">
      <c r="A4301" s="46">
        <v>4297</v>
      </c>
      <c r="B4301" s="47">
        <f t="shared" ca="1" si="67"/>
        <v>6.2859293696372331E-3</v>
      </c>
      <c r="C4301" s="48">
        <f t="array" aca="1" ref="C4301" ca="1">MAX(0,ROUND(Inputs!$B$10*Inputs!$B$11+NORMSINV(B4301)*SQRT(Inputs!$B$10*Inputs!$B$11),0))</f>
        <v>444</v>
      </c>
      <c r="D4301" s="49">
        <f ca="1">C4301*Inputs!$B$12</f>
        <v>53280000</v>
      </c>
    </row>
    <row r="4302" spans="1:4" ht="13.5" customHeight="1" x14ac:dyDescent="0.3">
      <c r="A4302" s="50">
        <v>4298</v>
      </c>
      <c r="B4302" s="51">
        <f t="shared" ca="1" si="67"/>
        <v>0.95048891869396457</v>
      </c>
      <c r="C4302" s="48">
        <f t="array" aca="1" ref="C4302" ca="1">MAX(0,ROUND(Inputs!$B$10*Inputs!$B$11+NORMSINV(B4302)*SQRT(Inputs!$B$10*Inputs!$B$11),0))</f>
        <v>537</v>
      </c>
      <c r="D4302" s="52">
        <f ca="1">C4302*Inputs!$B$12</f>
        <v>64440000</v>
      </c>
    </row>
    <row r="4303" spans="1:4" ht="13.5" customHeight="1" x14ac:dyDescent="0.3">
      <c r="A4303" s="46">
        <v>4299</v>
      </c>
      <c r="B4303" s="47">
        <f t="shared" ca="1" si="67"/>
        <v>0.8455450059429549</v>
      </c>
      <c r="C4303" s="48">
        <f t="array" aca="1" ref="C4303" ca="1">MAX(0,ROUND(Inputs!$B$10*Inputs!$B$11+NORMSINV(B4303)*SQRT(Inputs!$B$10*Inputs!$B$11),0))</f>
        <v>523</v>
      </c>
      <c r="D4303" s="49">
        <f ca="1">C4303*Inputs!$B$12</f>
        <v>62760000</v>
      </c>
    </row>
    <row r="4304" spans="1:4" ht="13.5" customHeight="1" x14ac:dyDescent="0.3">
      <c r="A4304" s="50">
        <v>4300</v>
      </c>
      <c r="B4304" s="51">
        <f t="shared" ca="1" si="67"/>
        <v>0.61423018539821261</v>
      </c>
      <c r="C4304" s="48">
        <f t="array" aca="1" ref="C4304" ca="1">MAX(0,ROUND(Inputs!$B$10*Inputs!$B$11+NORMSINV(B4304)*SQRT(Inputs!$B$10*Inputs!$B$11),0))</f>
        <v>506</v>
      </c>
      <c r="D4304" s="52">
        <f ca="1">C4304*Inputs!$B$12</f>
        <v>60720000</v>
      </c>
    </row>
    <row r="4305" spans="1:4" ht="13.5" customHeight="1" x14ac:dyDescent="0.3">
      <c r="A4305" s="46">
        <v>4301</v>
      </c>
      <c r="B4305" s="47">
        <f t="shared" ca="1" si="67"/>
        <v>0.27680906679062889</v>
      </c>
      <c r="C4305" s="48">
        <f t="array" aca="1" ref="C4305" ca="1">MAX(0,ROUND(Inputs!$B$10*Inputs!$B$11+NORMSINV(B4305)*SQRT(Inputs!$B$10*Inputs!$B$11),0))</f>
        <v>487</v>
      </c>
      <c r="D4305" s="49">
        <f ca="1">C4305*Inputs!$B$12</f>
        <v>58440000</v>
      </c>
    </row>
    <row r="4306" spans="1:4" ht="13.5" customHeight="1" x14ac:dyDescent="0.3">
      <c r="A4306" s="50">
        <v>4302</v>
      </c>
      <c r="B4306" s="51">
        <f t="shared" ca="1" si="67"/>
        <v>0.13448386050000394</v>
      </c>
      <c r="C4306" s="48">
        <f t="array" aca="1" ref="C4306" ca="1">MAX(0,ROUND(Inputs!$B$10*Inputs!$B$11+NORMSINV(B4306)*SQRT(Inputs!$B$10*Inputs!$B$11),0))</f>
        <v>475</v>
      </c>
      <c r="D4306" s="52">
        <f ca="1">C4306*Inputs!$B$12</f>
        <v>57000000</v>
      </c>
    </row>
    <row r="4307" spans="1:4" ht="13.5" customHeight="1" x14ac:dyDescent="0.3">
      <c r="A4307" s="46">
        <v>4303</v>
      </c>
      <c r="B4307" s="47">
        <f t="shared" ca="1" si="67"/>
        <v>0.99258610444844453</v>
      </c>
      <c r="C4307" s="48">
        <f t="array" aca="1" ref="C4307" ca="1">MAX(0,ROUND(Inputs!$B$10*Inputs!$B$11+NORMSINV(B4307)*SQRT(Inputs!$B$10*Inputs!$B$11),0))</f>
        <v>554</v>
      </c>
      <c r="D4307" s="49">
        <f ca="1">C4307*Inputs!$B$12</f>
        <v>66480000</v>
      </c>
    </row>
    <row r="4308" spans="1:4" ht="13.5" customHeight="1" x14ac:dyDescent="0.3">
      <c r="A4308" s="50">
        <v>4304</v>
      </c>
      <c r="B4308" s="51">
        <f t="shared" ca="1" si="67"/>
        <v>0.44606214740635719</v>
      </c>
      <c r="C4308" s="48">
        <f t="array" aca="1" ref="C4308" ca="1">MAX(0,ROUND(Inputs!$B$10*Inputs!$B$11+NORMSINV(B4308)*SQRT(Inputs!$B$10*Inputs!$B$11),0))</f>
        <v>497</v>
      </c>
      <c r="D4308" s="52">
        <f ca="1">C4308*Inputs!$B$12</f>
        <v>59640000</v>
      </c>
    </row>
    <row r="4309" spans="1:4" ht="13.5" customHeight="1" x14ac:dyDescent="0.3">
      <c r="A4309" s="46">
        <v>4305</v>
      </c>
      <c r="B4309" s="47">
        <f t="shared" ca="1" si="67"/>
        <v>0.71520667589070519</v>
      </c>
      <c r="C4309" s="48">
        <f t="array" aca="1" ref="C4309" ca="1">MAX(0,ROUND(Inputs!$B$10*Inputs!$B$11+NORMSINV(B4309)*SQRT(Inputs!$B$10*Inputs!$B$11),0))</f>
        <v>513</v>
      </c>
      <c r="D4309" s="49">
        <f ca="1">C4309*Inputs!$B$12</f>
        <v>61560000</v>
      </c>
    </row>
    <row r="4310" spans="1:4" ht="13.5" customHeight="1" x14ac:dyDescent="0.3">
      <c r="A4310" s="50">
        <v>4306</v>
      </c>
      <c r="B4310" s="51">
        <f t="shared" ca="1" si="67"/>
        <v>0.9748778613198732</v>
      </c>
      <c r="C4310" s="48">
        <f t="array" aca="1" ref="C4310" ca="1">MAX(0,ROUND(Inputs!$B$10*Inputs!$B$11+NORMSINV(B4310)*SQRT(Inputs!$B$10*Inputs!$B$11),0))</f>
        <v>544</v>
      </c>
      <c r="D4310" s="52">
        <f ca="1">C4310*Inputs!$B$12</f>
        <v>65280000</v>
      </c>
    </row>
    <row r="4311" spans="1:4" ht="13.5" customHeight="1" x14ac:dyDescent="0.3">
      <c r="A4311" s="46">
        <v>4307</v>
      </c>
      <c r="B4311" s="47">
        <f t="shared" ca="1" si="67"/>
        <v>0.83750298900812059</v>
      </c>
      <c r="C4311" s="48">
        <f t="array" aca="1" ref="C4311" ca="1">MAX(0,ROUND(Inputs!$B$10*Inputs!$B$11+NORMSINV(B4311)*SQRT(Inputs!$B$10*Inputs!$B$11),0))</f>
        <v>522</v>
      </c>
      <c r="D4311" s="49">
        <f ca="1">C4311*Inputs!$B$12</f>
        <v>62640000</v>
      </c>
    </row>
    <row r="4312" spans="1:4" ht="13.5" customHeight="1" x14ac:dyDescent="0.3">
      <c r="A4312" s="50">
        <v>4308</v>
      </c>
      <c r="B4312" s="51">
        <f t="shared" ca="1" si="67"/>
        <v>0.57912503909981672</v>
      </c>
      <c r="C4312" s="48">
        <f t="array" aca="1" ref="C4312" ca="1">MAX(0,ROUND(Inputs!$B$10*Inputs!$B$11+NORMSINV(B4312)*SQRT(Inputs!$B$10*Inputs!$B$11),0))</f>
        <v>504</v>
      </c>
      <c r="D4312" s="52">
        <f ca="1">C4312*Inputs!$B$12</f>
        <v>60480000</v>
      </c>
    </row>
    <row r="4313" spans="1:4" ht="13.5" customHeight="1" x14ac:dyDescent="0.3">
      <c r="A4313" s="46">
        <v>4309</v>
      </c>
      <c r="B4313" s="47">
        <f t="shared" ca="1" si="67"/>
        <v>0.84586669339043818</v>
      </c>
      <c r="C4313" s="48">
        <f t="array" aca="1" ref="C4313" ca="1">MAX(0,ROUND(Inputs!$B$10*Inputs!$B$11+NORMSINV(B4313)*SQRT(Inputs!$B$10*Inputs!$B$11),0))</f>
        <v>523</v>
      </c>
      <c r="D4313" s="49">
        <f ca="1">C4313*Inputs!$B$12</f>
        <v>62760000</v>
      </c>
    </row>
    <row r="4314" spans="1:4" ht="13.5" customHeight="1" x14ac:dyDescent="0.3">
      <c r="A4314" s="50">
        <v>4310</v>
      </c>
      <c r="B4314" s="51">
        <f t="shared" ca="1" si="67"/>
        <v>0.38252547414628524</v>
      </c>
      <c r="C4314" s="48">
        <f t="array" aca="1" ref="C4314" ca="1">MAX(0,ROUND(Inputs!$B$10*Inputs!$B$11+NORMSINV(B4314)*SQRT(Inputs!$B$10*Inputs!$B$11),0))</f>
        <v>493</v>
      </c>
      <c r="D4314" s="52">
        <f ca="1">C4314*Inputs!$B$12</f>
        <v>59160000</v>
      </c>
    </row>
    <row r="4315" spans="1:4" ht="13.5" customHeight="1" x14ac:dyDescent="0.3">
      <c r="A4315" s="46">
        <v>4311</v>
      </c>
      <c r="B4315" s="47">
        <f t="shared" ca="1" si="67"/>
        <v>0.66461370884159776</v>
      </c>
      <c r="C4315" s="48">
        <f t="array" aca="1" ref="C4315" ca="1">MAX(0,ROUND(Inputs!$B$10*Inputs!$B$11+NORMSINV(B4315)*SQRT(Inputs!$B$10*Inputs!$B$11),0))</f>
        <v>510</v>
      </c>
      <c r="D4315" s="49">
        <f ca="1">C4315*Inputs!$B$12</f>
        <v>61200000</v>
      </c>
    </row>
    <row r="4316" spans="1:4" ht="13.5" customHeight="1" x14ac:dyDescent="0.3">
      <c r="A4316" s="50">
        <v>4312</v>
      </c>
      <c r="B4316" s="51">
        <f t="shared" ca="1" si="67"/>
        <v>0.84624991741747502</v>
      </c>
      <c r="C4316" s="48">
        <f t="array" aca="1" ref="C4316" ca="1">MAX(0,ROUND(Inputs!$B$10*Inputs!$B$11+NORMSINV(B4316)*SQRT(Inputs!$B$10*Inputs!$B$11),0))</f>
        <v>523</v>
      </c>
      <c r="D4316" s="52">
        <f ca="1">C4316*Inputs!$B$12</f>
        <v>62760000</v>
      </c>
    </row>
    <row r="4317" spans="1:4" ht="13.5" customHeight="1" x14ac:dyDescent="0.3">
      <c r="A4317" s="46">
        <v>4313</v>
      </c>
      <c r="B4317" s="47">
        <f t="shared" ca="1" si="67"/>
        <v>0.61047474622121423</v>
      </c>
      <c r="C4317" s="48">
        <f t="array" aca="1" ref="C4317" ca="1">MAX(0,ROUND(Inputs!$B$10*Inputs!$B$11+NORMSINV(B4317)*SQRT(Inputs!$B$10*Inputs!$B$11),0))</f>
        <v>506</v>
      </c>
      <c r="D4317" s="49">
        <f ca="1">C4317*Inputs!$B$12</f>
        <v>60720000</v>
      </c>
    </row>
    <row r="4318" spans="1:4" ht="13.5" customHeight="1" x14ac:dyDescent="0.3">
      <c r="A4318" s="50">
        <v>4314</v>
      </c>
      <c r="B4318" s="51">
        <f t="shared" ca="1" si="67"/>
        <v>0.68457676052719385</v>
      </c>
      <c r="C4318" s="48">
        <f t="array" aca="1" ref="C4318" ca="1">MAX(0,ROUND(Inputs!$B$10*Inputs!$B$11+NORMSINV(B4318)*SQRT(Inputs!$B$10*Inputs!$B$11),0))</f>
        <v>511</v>
      </c>
      <c r="D4318" s="52">
        <f ca="1">C4318*Inputs!$B$12</f>
        <v>61320000</v>
      </c>
    </row>
    <row r="4319" spans="1:4" ht="13.5" customHeight="1" x14ac:dyDescent="0.3">
      <c r="A4319" s="46">
        <v>4315</v>
      </c>
      <c r="B4319" s="47">
        <f t="shared" ca="1" si="67"/>
        <v>3.8300280058373715E-2</v>
      </c>
      <c r="C4319" s="48">
        <f t="array" aca="1" ref="C4319" ca="1">MAX(0,ROUND(Inputs!$B$10*Inputs!$B$11+NORMSINV(B4319)*SQRT(Inputs!$B$10*Inputs!$B$11),0))</f>
        <v>460</v>
      </c>
      <c r="D4319" s="49">
        <f ca="1">C4319*Inputs!$B$12</f>
        <v>55200000</v>
      </c>
    </row>
    <row r="4320" spans="1:4" ht="13.5" customHeight="1" x14ac:dyDescent="0.3">
      <c r="A4320" s="50">
        <v>4316</v>
      </c>
      <c r="B4320" s="51">
        <f t="shared" ca="1" si="67"/>
        <v>0.34202247131916619</v>
      </c>
      <c r="C4320" s="48">
        <f t="array" aca="1" ref="C4320" ca="1">MAX(0,ROUND(Inputs!$B$10*Inputs!$B$11+NORMSINV(B4320)*SQRT(Inputs!$B$10*Inputs!$B$11),0))</f>
        <v>491</v>
      </c>
      <c r="D4320" s="52">
        <f ca="1">C4320*Inputs!$B$12</f>
        <v>58920000</v>
      </c>
    </row>
    <row r="4321" spans="1:4" ht="13.5" customHeight="1" x14ac:dyDescent="0.3">
      <c r="A4321" s="46">
        <v>4317</v>
      </c>
      <c r="B4321" s="47">
        <f t="shared" ca="1" si="67"/>
        <v>0.38011947933490409</v>
      </c>
      <c r="C4321" s="48">
        <f t="array" aca="1" ref="C4321" ca="1">MAX(0,ROUND(Inputs!$B$10*Inputs!$B$11+NORMSINV(B4321)*SQRT(Inputs!$B$10*Inputs!$B$11),0))</f>
        <v>493</v>
      </c>
      <c r="D4321" s="49">
        <f ca="1">C4321*Inputs!$B$12</f>
        <v>59160000</v>
      </c>
    </row>
    <row r="4322" spans="1:4" ht="13.5" customHeight="1" x14ac:dyDescent="0.3">
      <c r="A4322" s="50">
        <v>4318</v>
      </c>
      <c r="B4322" s="51">
        <f t="shared" ca="1" si="67"/>
        <v>3.0651749831136499E-2</v>
      </c>
      <c r="C4322" s="48">
        <f t="array" aca="1" ref="C4322" ca="1">MAX(0,ROUND(Inputs!$B$10*Inputs!$B$11+NORMSINV(B4322)*SQRT(Inputs!$B$10*Inputs!$B$11),0))</f>
        <v>458</v>
      </c>
      <c r="D4322" s="52">
        <f ca="1">C4322*Inputs!$B$12</f>
        <v>54960000</v>
      </c>
    </row>
    <row r="4323" spans="1:4" ht="13.5" customHeight="1" x14ac:dyDescent="0.3">
      <c r="A4323" s="46">
        <v>4319</v>
      </c>
      <c r="B4323" s="47">
        <f t="shared" ca="1" si="67"/>
        <v>0.17033512418966135</v>
      </c>
      <c r="C4323" s="48">
        <f t="array" aca="1" ref="C4323" ca="1">MAX(0,ROUND(Inputs!$B$10*Inputs!$B$11+NORMSINV(B4323)*SQRT(Inputs!$B$10*Inputs!$B$11),0))</f>
        <v>479</v>
      </c>
      <c r="D4323" s="49">
        <f ca="1">C4323*Inputs!$B$12</f>
        <v>57480000</v>
      </c>
    </row>
    <row r="4324" spans="1:4" ht="13.5" customHeight="1" x14ac:dyDescent="0.3">
      <c r="A4324" s="50">
        <v>4320</v>
      </c>
      <c r="B4324" s="51">
        <f t="shared" ca="1" si="67"/>
        <v>0.39723267637387716</v>
      </c>
      <c r="C4324" s="48">
        <f t="array" aca="1" ref="C4324" ca="1">MAX(0,ROUND(Inputs!$B$10*Inputs!$B$11+NORMSINV(B4324)*SQRT(Inputs!$B$10*Inputs!$B$11),0))</f>
        <v>494</v>
      </c>
      <c r="D4324" s="52">
        <f ca="1">C4324*Inputs!$B$12</f>
        <v>59280000</v>
      </c>
    </row>
    <row r="4325" spans="1:4" ht="13.5" customHeight="1" x14ac:dyDescent="0.3">
      <c r="A4325" s="46">
        <v>4321</v>
      </c>
      <c r="B4325" s="47">
        <f t="shared" ca="1" si="67"/>
        <v>0.44114640101510982</v>
      </c>
      <c r="C4325" s="48">
        <f t="array" aca="1" ref="C4325" ca="1">MAX(0,ROUND(Inputs!$B$10*Inputs!$B$11+NORMSINV(B4325)*SQRT(Inputs!$B$10*Inputs!$B$11),0))</f>
        <v>497</v>
      </c>
      <c r="D4325" s="49">
        <f ca="1">C4325*Inputs!$B$12</f>
        <v>59640000</v>
      </c>
    </row>
    <row r="4326" spans="1:4" ht="13.5" customHeight="1" x14ac:dyDescent="0.3">
      <c r="A4326" s="50">
        <v>4322</v>
      </c>
      <c r="B4326" s="51">
        <f t="shared" ca="1" si="67"/>
        <v>0.63790794646038129</v>
      </c>
      <c r="C4326" s="48">
        <f t="array" aca="1" ref="C4326" ca="1">MAX(0,ROUND(Inputs!$B$10*Inputs!$B$11+NORMSINV(B4326)*SQRT(Inputs!$B$10*Inputs!$B$11),0))</f>
        <v>508</v>
      </c>
      <c r="D4326" s="52">
        <f ca="1">C4326*Inputs!$B$12</f>
        <v>60960000</v>
      </c>
    </row>
    <row r="4327" spans="1:4" ht="13.5" customHeight="1" x14ac:dyDescent="0.3">
      <c r="A4327" s="46">
        <v>4323</v>
      </c>
      <c r="B4327" s="47">
        <f t="shared" ca="1" si="67"/>
        <v>0.48599167541680266</v>
      </c>
      <c r="C4327" s="48">
        <f t="array" aca="1" ref="C4327" ca="1">MAX(0,ROUND(Inputs!$B$10*Inputs!$B$11+NORMSINV(B4327)*SQRT(Inputs!$B$10*Inputs!$B$11),0))</f>
        <v>499</v>
      </c>
      <c r="D4327" s="49">
        <f ca="1">C4327*Inputs!$B$12</f>
        <v>59880000</v>
      </c>
    </row>
    <row r="4328" spans="1:4" ht="13.5" customHeight="1" x14ac:dyDescent="0.3">
      <c r="A4328" s="50">
        <v>4324</v>
      </c>
      <c r="B4328" s="51">
        <f t="shared" ca="1" si="67"/>
        <v>0.69849797078738274</v>
      </c>
      <c r="C4328" s="48">
        <f t="array" aca="1" ref="C4328" ca="1">MAX(0,ROUND(Inputs!$B$10*Inputs!$B$11+NORMSINV(B4328)*SQRT(Inputs!$B$10*Inputs!$B$11),0))</f>
        <v>512</v>
      </c>
      <c r="D4328" s="52">
        <f ca="1">C4328*Inputs!$B$12</f>
        <v>61440000</v>
      </c>
    </row>
    <row r="4329" spans="1:4" ht="13.5" customHeight="1" x14ac:dyDescent="0.3">
      <c r="A4329" s="46">
        <v>4325</v>
      </c>
      <c r="B4329" s="47">
        <f t="shared" ca="1" si="67"/>
        <v>0.67741955643047547</v>
      </c>
      <c r="C4329" s="48">
        <f t="array" aca="1" ref="C4329" ca="1">MAX(0,ROUND(Inputs!$B$10*Inputs!$B$11+NORMSINV(B4329)*SQRT(Inputs!$B$10*Inputs!$B$11),0))</f>
        <v>510</v>
      </c>
      <c r="D4329" s="49">
        <f ca="1">C4329*Inputs!$B$12</f>
        <v>61200000</v>
      </c>
    </row>
    <row r="4330" spans="1:4" ht="13.5" customHeight="1" x14ac:dyDescent="0.3">
      <c r="A4330" s="50">
        <v>4326</v>
      </c>
      <c r="B4330" s="51">
        <f t="shared" ca="1" si="67"/>
        <v>0.9340630127463303</v>
      </c>
      <c r="C4330" s="48">
        <f t="array" aca="1" ref="C4330" ca="1">MAX(0,ROUND(Inputs!$B$10*Inputs!$B$11+NORMSINV(B4330)*SQRT(Inputs!$B$10*Inputs!$B$11),0))</f>
        <v>534</v>
      </c>
      <c r="D4330" s="52">
        <f ca="1">C4330*Inputs!$B$12</f>
        <v>64080000</v>
      </c>
    </row>
    <row r="4331" spans="1:4" ht="13.5" customHeight="1" x14ac:dyDescent="0.3">
      <c r="A4331" s="46">
        <v>4327</v>
      </c>
      <c r="B4331" s="47">
        <f t="shared" ca="1" si="67"/>
        <v>8.9138395383910995E-2</v>
      </c>
      <c r="C4331" s="48">
        <f t="array" aca="1" ref="C4331" ca="1">MAX(0,ROUND(Inputs!$B$10*Inputs!$B$11+NORMSINV(B4331)*SQRT(Inputs!$B$10*Inputs!$B$11),0))</f>
        <v>470</v>
      </c>
      <c r="D4331" s="49">
        <f ca="1">C4331*Inputs!$B$12</f>
        <v>56400000</v>
      </c>
    </row>
    <row r="4332" spans="1:4" ht="13.5" customHeight="1" x14ac:dyDescent="0.3">
      <c r="A4332" s="50">
        <v>4328</v>
      </c>
      <c r="B4332" s="51">
        <f t="shared" ca="1" si="67"/>
        <v>0.38764912475021129</v>
      </c>
      <c r="C4332" s="48">
        <f t="array" aca="1" ref="C4332" ca="1">MAX(0,ROUND(Inputs!$B$10*Inputs!$B$11+NORMSINV(B4332)*SQRT(Inputs!$B$10*Inputs!$B$11),0))</f>
        <v>494</v>
      </c>
      <c r="D4332" s="52">
        <f ca="1">C4332*Inputs!$B$12</f>
        <v>59280000</v>
      </c>
    </row>
    <row r="4333" spans="1:4" ht="13.5" customHeight="1" x14ac:dyDescent="0.3">
      <c r="A4333" s="46">
        <v>4329</v>
      </c>
      <c r="B4333" s="47">
        <f t="shared" ca="1" si="67"/>
        <v>0.6154190161947577</v>
      </c>
      <c r="C4333" s="48">
        <f t="array" aca="1" ref="C4333" ca="1">MAX(0,ROUND(Inputs!$B$10*Inputs!$B$11+NORMSINV(B4333)*SQRT(Inputs!$B$10*Inputs!$B$11),0))</f>
        <v>507</v>
      </c>
      <c r="D4333" s="49">
        <f ca="1">C4333*Inputs!$B$12</f>
        <v>60840000</v>
      </c>
    </row>
    <row r="4334" spans="1:4" ht="13.5" customHeight="1" x14ac:dyDescent="0.3">
      <c r="A4334" s="50">
        <v>4330</v>
      </c>
      <c r="B4334" s="51">
        <f t="shared" ca="1" si="67"/>
        <v>0.42221243448025636</v>
      </c>
      <c r="C4334" s="48">
        <f t="array" aca="1" ref="C4334" ca="1">MAX(0,ROUND(Inputs!$B$10*Inputs!$B$11+NORMSINV(B4334)*SQRT(Inputs!$B$10*Inputs!$B$11),0))</f>
        <v>496</v>
      </c>
      <c r="D4334" s="52">
        <f ca="1">C4334*Inputs!$B$12</f>
        <v>59520000</v>
      </c>
    </row>
    <row r="4335" spans="1:4" ht="13.5" customHeight="1" x14ac:dyDescent="0.3">
      <c r="A4335" s="46">
        <v>4331</v>
      </c>
      <c r="B4335" s="47">
        <f t="shared" ca="1" si="67"/>
        <v>0.29329619467652646</v>
      </c>
      <c r="C4335" s="48">
        <f t="array" aca="1" ref="C4335" ca="1">MAX(0,ROUND(Inputs!$B$10*Inputs!$B$11+NORMSINV(B4335)*SQRT(Inputs!$B$10*Inputs!$B$11),0))</f>
        <v>488</v>
      </c>
      <c r="D4335" s="49">
        <f ca="1">C4335*Inputs!$B$12</f>
        <v>58560000</v>
      </c>
    </row>
    <row r="4336" spans="1:4" ht="13.5" customHeight="1" x14ac:dyDescent="0.3">
      <c r="A4336" s="50">
        <v>4332</v>
      </c>
      <c r="B4336" s="51">
        <f t="shared" ca="1" si="67"/>
        <v>0.77383509812337081</v>
      </c>
      <c r="C4336" s="48">
        <f t="array" aca="1" ref="C4336" ca="1">MAX(0,ROUND(Inputs!$B$10*Inputs!$B$11+NORMSINV(B4336)*SQRT(Inputs!$B$10*Inputs!$B$11),0))</f>
        <v>517</v>
      </c>
      <c r="D4336" s="52">
        <f ca="1">C4336*Inputs!$B$12</f>
        <v>62040000</v>
      </c>
    </row>
    <row r="4337" spans="1:4" ht="13.5" customHeight="1" x14ac:dyDescent="0.3">
      <c r="A4337" s="46">
        <v>4333</v>
      </c>
      <c r="B4337" s="47">
        <f t="shared" ca="1" si="67"/>
        <v>0.90738102191224068</v>
      </c>
      <c r="C4337" s="48">
        <f t="array" aca="1" ref="C4337" ca="1">MAX(0,ROUND(Inputs!$B$10*Inputs!$B$11+NORMSINV(B4337)*SQRT(Inputs!$B$10*Inputs!$B$11),0))</f>
        <v>530</v>
      </c>
      <c r="D4337" s="49">
        <f ca="1">C4337*Inputs!$B$12</f>
        <v>63600000</v>
      </c>
    </row>
    <row r="4338" spans="1:4" ht="13.5" customHeight="1" x14ac:dyDescent="0.3">
      <c r="A4338" s="50">
        <v>4334</v>
      </c>
      <c r="B4338" s="51">
        <f t="shared" ca="1" si="67"/>
        <v>0.19536315591416475</v>
      </c>
      <c r="C4338" s="48">
        <f t="array" aca="1" ref="C4338" ca="1">MAX(0,ROUND(Inputs!$B$10*Inputs!$B$11+NORMSINV(B4338)*SQRT(Inputs!$B$10*Inputs!$B$11),0))</f>
        <v>481</v>
      </c>
      <c r="D4338" s="52">
        <f ca="1">C4338*Inputs!$B$12</f>
        <v>57720000</v>
      </c>
    </row>
    <row r="4339" spans="1:4" ht="13.5" customHeight="1" x14ac:dyDescent="0.3">
      <c r="A4339" s="46">
        <v>4335</v>
      </c>
      <c r="B4339" s="47">
        <f t="shared" ca="1" si="67"/>
        <v>0.14476127862702759</v>
      </c>
      <c r="C4339" s="48">
        <f t="array" aca="1" ref="C4339" ca="1">MAX(0,ROUND(Inputs!$B$10*Inputs!$B$11+NORMSINV(B4339)*SQRT(Inputs!$B$10*Inputs!$B$11),0))</f>
        <v>476</v>
      </c>
      <c r="D4339" s="49">
        <f ca="1">C4339*Inputs!$B$12</f>
        <v>57120000</v>
      </c>
    </row>
    <row r="4340" spans="1:4" ht="13.5" customHeight="1" x14ac:dyDescent="0.3">
      <c r="A4340" s="50">
        <v>4336</v>
      </c>
      <c r="B4340" s="51">
        <f t="shared" ca="1" si="67"/>
        <v>0.81099887491255784</v>
      </c>
      <c r="C4340" s="48">
        <f t="array" aca="1" ref="C4340" ca="1">MAX(0,ROUND(Inputs!$B$10*Inputs!$B$11+NORMSINV(B4340)*SQRT(Inputs!$B$10*Inputs!$B$11),0))</f>
        <v>520</v>
      </c>
      <c r="D4340" s="52">
        <f ca="1">C4340*Inputs!$B$12</f>
        <v>62400000</v>
      </c>
    </row>
    <row r="4341" spans="1:4" ht="13.5" customHeight="1" x14ac:dyDescent="0.3">
      <c r="A4341" s="46">
        <v>4337</v>
      </c>
      <c r="B4341" s="47">
        <f t="shared" ca="1" si="67"/>
        <v>3.0720387937481775E-2</v>
      </c>
      <c r="C4341" s="48">
        <f t="array" aca="1" ref="C4341" ca="1">MAX(0,ROUND(Inputs!$B$10*Inputs!$B$11+NORMSINV(B4341)*SQRT(Inputs!$B$10*Inputs!$B$11),0))</f>
        <v>458</v>
      </c>
      <c r="D4341" s="49">
        <f ca="1">C4341*Inputs!$B$12</f>
        <v>54960000</v>
      </c>
    </row>
    <row r="4342" spans="1:4" ht="13.5" customHeight="1" x14ac:dyDescent="0.3">
      <c r="A4342" s="50">
        <v>4338</v>
      </c>
      <c r="B4342" s="51">
        <f t="shared" ca="1" si="67"/>
        <v>0.98320611065605146</v>
      </c>
      <c r="C4342" s="48">
        <f t="array" aca="1" ref="C4342" ca="1">MAX(0,ROUND(Inputs!$B$10*Inputs!$B$11+NORMSINV(B4342)*SQRT(Inputs!$B$10*Inputs!$B$11),0))</f>
        <v>548</v>
      </c>
      <c r="D4342" s="52">
        <f ca="1">C4342*Inputs!$B$12</f>
        <v>65760000</v>
      </c>
    </row>
    <row r="4343" spans="1:4" ht="13.5" customHeight="1" x14ac:dyDescent="0.3">
      <c r="A4343" s="46">
        <v>4339</v>
      </c>
      <c r="B4343" s="47">
        <f t="shared" ca="1" si="67"/>
        <v>0.33644572648649607</v>
      </c>
      <c r="C4343" s="48">
        <f t="array" aca="1" ref="C4343" ca="1">MAX(0,ROUND(Inputs!$B$10*Inputs!$B$11+NORMSINV(B4343)*SQRT(Inputs!$B$10*Inputs!$B$11),0))</f>
        <v>491</v>
      </c>
      <c r="D4343" s="49">
        <f ca="1">C4343*Inputs!$B$12</f>
        <v>58920000</v>
      </c>
    </row>
    <row r="4344" spans="1:4" ht="13.5" customHeight="1" x14ac:dyDescent="0.3">
      <c r="A4344" s="50">
        <v>4340</v>
      </c>
      <c r="B4344" s="51">
        <f t="shared" ca="1" si="67"/>
        <v>0.18324908823589126</v>
      </c>
      <c r="C4344" s="48">
        <f t="array" aca="1" ref="C4344" ca="1">MAX(0,ROUND(Inputs!$B$10*Inputs!$B$11+NORMSINV(B4344)*SQRT(Inputs!$B$10*Inputs!$B$11),0))</f>
        <v>480</v>
      </c>
      <c r="D4344" s="52">
        <f ca="1">C4344*Inputs!$B$12</f>
        <v>57600000</v>
      </c>
    </row>
    <row r="4345" spans="1:4" ht="13.5" customHeight="1" x14ac:dyDescent="0.3">
      <c r="A4345" s="46">
        <v>4341</v>
      </c>
      <c r="B4345" s="47">
        <f t="shared" ca="1" si="67"/>
        <v>0.89813277716482787</v>
      </c>
      <c r="C4345" s="48">
        <f t="array" aca="1" ref="C4345" ca="1">MAX(0,ROUND(Inputs!$B$10*Inputs!$B$11+NORMSINV(B4345)*SQRT(Inputs!$B$10*Inputs!$B$11),0))</f>
        <v>528</v>
      </c>
      <c r="D4345" s="49">
        <f ca="1">C4345*Inputs!$B$12</f>
        <v>63360000</v>
      </c>
    </row>
    <row r="4346" spans="1:4" ht="13.5" customHeight="1" x14ac:dyDescent="0.3">
      <c r="A4346" s="50">
        <v>4342</v>
      </c>
      <c r="B4346" s="51">
        <f t="shared" ca="1" si="67"/>
        <v>0.31989922170828</v>
      </c>
      <c r="C4346" s="48">
        <f t="array" aca="1" ref="C4346" ca="1">MAX(0,ROUND(Inputs!$B$10*Inputs!$B$11+NORMSINV(B4346)*SQRT(Inputs!$B$10*Inputs!$B$11),0))</f>
        <v>490</v>
      </c>
      <c r="D4346" s="52">
        <f ca="1">C4346*Inputs!$B$12</f>
        <v>58800000</v>
      </c>
    </row>
    <row r="4347" spans="1:4" ht="13.5" customHeight="1" x14ac:dyDescent="0.3">
      <c r="A4347" s="46">
        <v>4343</v>
      </c>
      <c r="B4347" s="47">
        <f t="shared" ca="1" si="67"/>
        <v>0.13198282019879115</v>
      </c>
      <c r="C4347" s="48">
        <f t="array" aca="1" ref="C4347" ca="1">MAX(0,ROUND(Inputs!$B$10*Inputs!$B$11+NORMSINV(B4347)*SQRT(Inputs!$B$10*Inputs!$B$11),0))</f>
        <v>475</v>
      </c>
      <c r="D4347" s="49">
        <f ca="1">C4347*Inputs!$B$12</f>
        <v>57000000</v>
      </c>
    </row>
    <row r="4348" spans="1:4" ht="13.5" customHeight="1" x14ac:dyDescent="0.3">
      <c r="A4348" s="50">
        <v>4344</v>
      </c>
      <c r="B4348" s="51">
        <f t="shared" ca="1" si="67"/>
        <v>0.6747380722808749</v>
      </c>
      <c r="C4348" s="48">
        <f t="array" aca="1" ref="C4348" ca="1">MAX(0,ROUND(Inputs!$B$10*Inputs!$B$11+NORMSINV(B4348)*SQRT(Inputs!$B$10*Inputs!$B$11),0))</f>
        <v>510</v>
      </c>
      <c r="D4348" s="52">
        <f ca="1">C4348*Inputs!$B$12</f>
        <v>61200000</v>
      </c>
    </row>
    <row r="4349" spans="1:4" ht="13.5" customHeight="1" x14ac:dyDescent="0.3">
      <c r="A4349" s="46">
        <v>4345</v>
      </c>
      <c r="B4349" s="47">
        <f t="shared" ca="1" si="67"/>
        <v>0.88977288237986873</v>
      </c>
      <c r="C4349" s="48">
        <f t="array" aca="1" ref="C4349" ca="1">MAX(0,ROUND(Inputs!$B$10*Inputs!$B$11+NORMSINV(B4349)*SQRT(Inputs!$B$10*Inputs!$B$11),0))</f>
        <v>527</v>
      </c>
      <c r="D4349" s="49">
        <f ca="1">C4349*Inputs!$B$12</f>
        <v>63240000</v>
      </c>
    </row>
    <row r="4350" spans="1:4" ht="13.5" customHeight="1" x14ac:dyDescent="0.3">
      <c r="A4350" s="50">
        <v>4346</v>
      </c>
      <c r="B4350" s="51">
        <f t="shared" ca="1" si="67"/>
        <v>0.89413666568073347</v>
      </c>
      <c r="C4350" s="48">
        <f t="array" aca="1" ref="C4350" ca="1">MAX(0,ROUND(Inputs!$B$10*Inputs!$B$11+NORMSINV(B4350)*SQRT(Inputs!$B$10*Inputs!$B$11),0))</f>
        <v>528</v>
      </c>
      <c r="D4350" s="52">
        <f ca="1">C4350*Inputs!$B$12</f>
        <v>63360000</v>
      </c>
    </row>
    <row r="4351" spans="1:4" ht="13.5" customHeight="1" x14ac:dyDescent="0.3">
      <c r="A4351" s="46">
        <v>4347</v>
      </c>
      <c r="B4351" s="47">
        <f t="shared" ca="1" si="67"/>
        <v>0.81735885816129994</v>
      </c>
      <c r="C4351" s="48">
        <f t="array" aca="1" ref="C4351" ca="1">MAX(0,ROUND(Inputs!$B$10*Inputs!$B$11+NORMSINV(B4351)*SQRT(Inputs!$B$10*Inputs!$B$11),0))</f>
        <v>520</v>
      </c>
      <c r="D4351" s="49">
        <f ca="1">C4351*Inputs!$B$12</f>
        <v>62400000</v>
      </c>
    </row>
    <row r="4352" spans="1:4" ht="13.5" customHeight="1" x14ac:dyDescent="0.3">
      <c r="A4352" s="50">
        <v>4348</v>
      </c>
      <c r="B4352" s="51">
        <f t="shared" ca="1" si="67"/>
        <v>0.46402091255843203</v>
      </c>
      <c r="C4352" s="48">
        <f t="array" aca="1" ref="C4352" ca="1">MAX(0,ROUND(Inputs!$B$10*Inputs!$B$11+NORMSINV(B4352)*SQRT(Inputs!$B$10*Inputs!$B$11),0))</f>
        <v>498</v>
      </c>
      <c r="D4352" s="52">
        <f ca="1">C4352*Inputs!$B$12</f>
        <v>59760000</v>
      </c>
    </row>
    <row r="4353" spans="1:4" ht="13.5" customHeight="1" x14ac:dyDescent="0.3">
      <c r="A4353" s="46">
        <v>4349</v>
      </c>
      <c r="B4353" s="47">
        <f t="shared" ca="1" si="67"/>
        <v>0.65195237666574835</v>
      </c>
      <c r="C4353" s="48">
        <f t="array" aca="1" ref="C4353" ca="1">MAX(0,ROUND(Inputs!$B$10*Inputs!$B$11+NORMSINV(B4353)*SQRT(Inputs!$B$10*Inputs!$B$11),0))</f>
        <v>509</v>
      </c>
      <c r="D4353" s="49">
        <f ca="1">C4353*Inputs!$B$12</f>
        <v>61080000</v>
      </c>
    </row>
    <row r="4354" spans="1:4" ht="13.5" customHeight="1" x14ac:dyDescent="0.3">
      <c r="A4354" s="50">
        <v>4350</v>
      </c>
      <c r="B4354" s="51">
        <f t="shared" ca="1" si="67"/>
        <v>0.55041779528945034</v>
      </c>
      <c r="C4354" s="48">
        <f t="array" aca="1" ref="C4354" ca="1">MAX(0,ROUND(Inputs!$B$10*Inputs!$B$11+NORMSINV(B4354)*SQRT(Inputs!$B$10*Inputs!$B$11),0))</f>
        <v>503</v>
      </c>
      <c r="D4354" s="52">
        <f ca="1">C4354*Inputs!$B$12</f>
        <v>60360000</v>
      </c>
    </row>
    <row r="4355" spans="1:4" ht="13.5" customHeight="1" x14ac:dyDescent="0.3">
      <c r="A4355" s="46">
        <v>4351</v>
      </c>
      <c r="B4355" s="47">
        <f t="shared" ca="1" si="67"/>
        <v>0.41140731264158847</v>
      </c>
      <c r="C4355" s="48">
        <f t="array" aca="1" ref="C4355" ca="1">MAX(0,ROUND(Inputs!$B$10*Inputs!$B$11+NORMSINV(B4355)*SQRT(Inputs!$B$10*Inputs!$B$11),0))</f>
        <v>495</v>
      </c>
      <c r="D4355" s="49">
        <f ca="1">C4355*Inputs!$B$12</f>
        <v>59400000</v>
      </c>
    </row>
    <row r="4356" spans="1:4" ht="13.5" customHeight="1" x14ac:dyDescent="0.3">
      <c r="A4356" s="50">
        <v>4352</v>
      </c>
      <c r="B4356" s="51">
        <f t="shared" ca="1" si="67"/>
        <v>0.45334780079276094</v>
      </c>
      <c r="C4356" s="48">
        <f t="array" aca="1" ref="C4356" ca="1">MAX(0,ROUND(Inputs!$B$10*Inputs!$B$11+NORMSINV(B4356)*SQRT(Inputs!$B$10*Inputs!$B$11),0))</f>
        <v>497</v>
      </c>
      <c r="D4356" s="52">
        <f ca="1">C4356*Inputs!$B$12</f>
        <v>59640000</v>
      </c>
    </row>
    <row r="4357" spans="1:4" ht="13.5" customHeight="1" x14ac:dyDescent="0.3">
      <c r="A4357" s="46">
        <v>4353</v>
      </c>
      <c r="B4357" s="47">
        <f t="shared" ref="B4357:B4420" ca="1" si="68">RAND()</f>
        <v>0.89322433347433905</v>
      </c>
      <c r="C4357" s="48">
        <f t="array" aca="1" ref="C4357" ca="1">MAX(0,ROUND(Inputs!$B$10*Inputs!$B$11+NORMSINV(B4357)*SQRT(Inputs!$B$10*Inputs!$B$11),0))</f>
        <v>528</v>
      </c>
      <c r="D4357" s="49">
        <f ca="1">C4357*Inputs!$B$12</f>
        <v>63360000</v>
      </c>
    </row>
    <row r="4358" spans="1:4" ht="13.5" customHeight="1" x14ac:dyDescent="0.3">
      <c r="A4358" s="50">
        <v>4354</v>
      </c>
      <c r="B4358" s="51">
        <f t="shared" ca="1" si="68"/>
        <v>0.84116792312355115</v>
      </c>
      <c r="C4358" s="48">
        <f t="array" aca="1" ref="C4358" ca="1">MAX(0,ROUND(Inputs!$B$10*Inputs!$B$11+NORMSINV(B4358)*SQRT(Inputs!$B$10*Inputs!$B$11),0))</f>
        <v>522</v>
      </c>
      <c r="D4358" s="52">
        <f ca="1">C4358*Inputs!$B$12</f>
        <v>62640000</v>
      </c>
    </row>
    <row r="4359" spans="1:4" ht="13.5" customHeight="1" x14ac:dyDescent="0.3">
      <c r="A4359" s="46">
        <v>4355</v>
      </c>
      <c r="B4359" s="47">
        <f t="shared" ca="1" si="68"/>
        <v>9.2909671105071312E-2</v>
      </c>
      <c r="C4359" s="48">
        <f t="array" aca="1" ref="C4359" ca="1">MAX(0,ROUND(Inputs!$B$10*Inputs!$B$11+NORMSINV(B4359)*SQRT(Inputs!$B$10*Inputs!$B$11),0))</f>
        <v>470</v>
      </c>
      <c r="D4359" s="49">
        <f ca="1">C4359*Inputs!$B$12</f>
        <v>56400000</v>
      </c>
    </row>
    <row r="4360" spans="1:4" ht="13.5" customHeight="1" x14ac:dyDescent="0.3">
      <c r="A4360" s="50">
        <v>4356</v>
      </c>
      <c r="B4360" s="51">
        <f t="shared" ca="1" si="68"/>
        <v>7.9294025291094083E-2</v>
      </c>
      <c r="C4360" s="48">
        <f t="array" aca="1" ref="C4360" ca="1">MAX(0,ROUND(Inputs!$B$10*Inputs!$B$11+NORMSINV(B4360)*SQRT(Inputs!$B$10*Inputs!$B$11),0))</f>
        <v>468</v>
      </c>
      <c r="D4360" s="52">
        <f ca="1">C4360*Inputs!$B$12</f>
        <v>56160000</v>
      </c>
    </row>
    <row r="4361" spans="1:4" ht="13.5" customHeight="1" x14ac:dyDescent="0.3">
      <c r="A4361" s="46">
        <v>4357</v>
      </c>
      <c r="B4361" s="47">
        <f t="shared" ca="1" si="68"/>
        <v>0.11146400543585744</v>
      </c>
      <c r="C4361" s="48">
        <f t="array" aca="1" ref="C4361" ca="1">MAX(0,ROUND(Inputs!$B$10*Inputs!$B$11+NORMSINV(B4361)*SQRT(Inputs!$B$10*Inputs!$B$11),0))</f>
        <v>473</v>
      </c>
      <c r="D4361" s="49">
        <f ca="1">C4361*Inputs!$B$12</f>
        <v>56760000</v>
      </c>
    </row>
    <row r="4362" spans="1:4" ht="13.5" customHeight="1" x14ac:dyDescent="0.3">
      <c r="A4362" s="50">
        <v>4358</v>
      </c>
      <c r="B4362" s="51">
        <f t="shared" ca="1" si="68"/>
        <v>0.70604020400201939</v>
      </c>
      <c r="C4362" s="48">
        <f t="array" aca="1" ref="C4362" ca="1">MAX(0,ROUND(Inputs!$B$10*Inputs!$B$11+NORMSINV(B4362)*SQRT(Inputs!$B$10*Inputs!$B$11),0))</f>
        <v>512</v>
      </c>
      <c r="D4362" s="52">
        <f ca="1">C4362*Inputs!$B$12</f>
        <v>61440000</v>
      </c>
    </row>
    <row r="4363" spans="1:4" ht="13.5" customHeight="1" x14ac:dyDescent="0.3">
      <c r="A4363" s="46">
        <v>4359</v>
      </c>
      <c r="B4363" s="47">
        <f t="shared" ca="1" si="68"/>
        <v>2.0747309974681327E-2</v>
      </c>
      <c r="C4363" s="48">
        <f t="array" aca="1" ref="C4363" ca="1">MAX(0,ROUND(Inputs!$B$10*Inputs!$B$11+NORMSINV(B4363)*SQRT(Inputs!$B$10*Inputs!$B$11),0))</f>
        <v>454</v>
      </c>
      <c r="D4363" s="49">
        <f ca="1">C4363*Inputs!$B$12</f>
        <v>54480000</v>
      </c>
    </row>
    <row r="4364" spans="1:4" ht="13.5" customHeight="1" x14ac:dyDescent="0.3">
      <c r="A4364" s="50">
        <v>4360</v>
      </c>
      <c r="B4364" s="51">
        <f t="shared" ca="1" si="68"/>
        <v>0.24940683314178635</v>
      </c>
      <c r="C4364" s="48">
        <f t="array" aca="1" ref="C4364" ca="1">MAX(0,ROUND(Inputs!$B$10*Inputs!$B$11+NORMSINV(B4364)*SQRT(Inputs!$B$10*Inputs!$B$11),0))</f>
        <v>485</v>
      </c>
      <c r="D4364" s="52">
        <f ca="1">C4364*Inputs!$B$12</f>
        <v>58200000</v>
      </c>
    </row>
    <row r="4365" spans="1:4" ht="13.5" customHeight="1" x14ac:dyDescent="0.3">
      <c r="A4365" s="46">
        <v>4361</v>
      </c>
      <c r="B4365" s="47">
        <f t="shared" ca="1" si="68"/>
        <v>0.3591360126384554</v>
      </c>
      <c r="C4365" s="48">
        <f t="array" aca="1" ref="C4365" ca="1">MAX(0,ROUND(Inputs!$B$10*Inputs!$B$11+NORMSINV(B4365)*SQRT(Inputs!$B$10*Inputs!$B$11),0))</f>
        <v>492</v>
      </c>
      <c r="D4365" s="49">
        <f ca="1">C4365*Inputs!$B$12</f>
        <v>59040000</v>
      </c>
    </row>
    <row r="4366" spans="1:4" ht="13.5" customHeight="1" x14ac:dyDescent="0.3">
      <c r="A4366" s="50">
        <v>4362</v>
      </c>
      <c r="B4366" s="51">
        <f t="shared" ca="1" si="68"/>
        <v>0.43819590992127544</v>
      </c>
      <c r="C4366" s="48">
        <f t="array" aca="1" ref="C4366" ca="1">MAX(0,ROUND(Inputs!$B$10*Inputs!$B$11+NORMSINV(B4366)*SQRT(Inputs!$B$10*Inputs!$B$11),0))</f>
        <v>497</v>
      </c>
      <c r="D4366" s="52">
        <f ca="1">C4366*Inputs!$B$12</f>
        <v>59640000</v>
      </c>
    </row>
    <row r="4367" spans="1:4" ht="13.5" customHeight="1" x14ac:dyDescent="0.3">
      <c r="A4367" s="46">
        <v>4363</v>
      </c>
      <c r="B4367" s="47">
        <f t="shared" ca="1" si="68"/>
        <v>6.1840803729823479E-2</v>
      </c>
      <c r="C4367" s="48">
        <f t="array" aca="1" ref="C4367" ca="1">MAX(0,ROUND(Inputs!$B$10*Inputs!$B$11+NORMSINV(B4367)*SQRT(Inputs!$B$10*Inputs!$B$11),0))</f>
        <v>466</v>
      </c>
      <c r="D4367" s="49">
        <f ca="1">C4367*Inputs!$B$12</f>
        <v>55920000</v>
      </c>
    </row>
    <row r="4368" spans="1:4" ht="13.5" customHeight="1" x14ac:dyDescent="0.3">
      <c r="A4368" s="50">
        <v>4364</v>
      </c>
      <c r="B4368" s="51">
        <f t="shared" ca="1" si="68"/>
        <v>0.95921471618871845</v>
      </c>
      <c r="C4368" s="48">
        <f t="array" aca="1" ref="C4368" ca="1">MAX(0,ROUND(Inputs!$B$10*Inputs!$B$11+NORMSINV(B4368)*SQRT(Inputs!$B$10*Inputs!$B$11),0))</f>
        <v>539</v>
      </c>
      <c r="D4368" s="52">
        <f ca="1">C4368*Inputs!$B$12</f>
        <v>64680000</v>
      </c>
    </row>
    <row r="4369" spans="1:4" ht="13.5" customHeight="1" x14ac:dyDescent="0.3">
      <c r="A4369" s="46">
        <v>4365</v>
      </c>
      <c r="B4369" s="47">
        <f t="shared" ca="1" si="68"/>
        <v>0.12293008436430031</v>
      </c>
      <c r="C4369" s="48">
        <f t="array" aca="1" ref="C4369" ca="1">MAX(0,ROUND(Inputs!$B$10*Inputs!$B$11+NORMSINV(B4369)*SQRT(Inputs!$B$10*Inputs!$B$11),0))</f>
        <v>474</v>
      </c>
      <c r="D4369" s="49">
        <f ca="1">C4369*Inputs!$B$12</f>
        <v>56880000</v>
      </c>
    </row>
    <row r="4370" spans="1:4" ht="13.5" customHeight="1" x14ac:dyDescent="0.3">
      <c r="A4370" s="50">
        <v>4366</v>
      </c>
      <c r="B4370" s="51">
        <f t="shared" ca="1" si="68"/>
        <v>0.12989559877590506</v>
      </c>
      <c r="C4370" s="48">
        <f t="array" aca="1" ref="C4370" ca="1">MAX(0,ROUND(Inputs!$B$10*Inputs!$B$11+NORMSINV(B4370)*SQRT(Inputs!$B$10*Inputs!$B$11),0))</f>
        <v>475</v>
      </c>
      <c r="D4370" s="52">
        <f ca="1">C4370*Inputs!$B$12</f>
        <v>57000000</v>
      </c>
    </row>
    <row r="4371" spans="1:4" ht="13.5" customHeight="1" x14ac:dyDescent="0.3">
      <c r="A4371" s="46">
        <v>4367</v>
      </c>
      <c r="B4371" s="47">
        <f t="shared" ca="1" si="68"/>
        <v>4.0150840940078814E-2</v>
      </c>
      <c r="C4371" s="48">
        <f t="array" aca="1" ref="C4371" ca="1">MAX(0,ROUND(Inputs!$B$10*Inputs!$B$11+NORMSINV(B4371)*SQRT(Inputs!$B$10*Inputs!$B$11),0))</f>
        <v>461</v>
      </c>
      <c r="D4371" s="49">
        <f ca="1">C4371*Inputs!$B$12</f>
        <v>55320000</v>
      </c>
    </row>
    <row r="4372" spans="1:4" ht="13.5" customHeight="1" x14ac:dyDescent="0.3">
      <c r="A4372" s="50">
        <v>4368</v>
      </c>
      <c r="B4372" s="51">
        <f t="shared" ca="1" si="68"/>
        <v>3.7285236506069297E-2</v>
      </c>
      <c r="C4372" s="48">
        <f t="array" aca="1" ref="C4372" ca="1">MAX(0,ROUND(Inputs!$B$10*Inputs!$B$11+NORMSINV(B4372)*SQRT(Inputs!$B$10*Inputs!$B$11),0))</f>
        <v>460</v>
      </c>
      <c r="D4372" s="52">
        <f ca="1">C4372*Inputs!$B$12</f>
        <v>55200000</v>
      </c>
    </row>
    <row r="4373" spans="1:4" ht="13.5" customHeight="1" x14ac:dyDescent="0.3">
      <c r="A4373" s="46">
        <v>4369</v>
      </c>
      <c r="B4373" s="47">
        <f t="shared" ca="1" si="68"/>
        <v>0.86131509914027804</v>
      </c>
      <c r="C4373" s="48">
        <f t="array" aca="1" ref="C4373" ca="1">MAX(0,ROUND(Inputs!$B$10*Inputs!$B$11+NORMSINV(B4373)*SQRT(Inputs!$B$10*Inputs!$B$11),0))</f>
        <v>524</v>
      </c>
      <c r="D4373" s="49">
        <f ca="1">C4373*Inputs!$B$12</f>
        <v>62880000</v>
      </c>
    </row>
    <row r="4374" spans="1:4" ht="13.5" customHeight="1" x14ac:dyDescent="0.3">
      <c r="A4374" s="50">
        <v>4370</v>
      </c>
      <c r="B4374" s="51">
        <f t="shared" ca="1" si="68"/>
        <v>0.90624703264160222</v>
      </c>
      <c r="C4374" s="48">
        <f t="array" aca="1" ref="C4374" ca="1">MAX(0,ROUND(Inputs!$B$10*Inputs!$B$11+NORMSINV(B4374)*SQRT(Inputs!$B$10*Inputs!$B$11),0))</f>
        <v>529</v>
      </c>
      <c r="D4374" s="52">
        <f ca="1">C4374*Inputs!$B$12</f>
        <v>63480000</v>
      </c>
    </row>
    <row r="4375" spans="1:4" ht="13.5" customHeight="1" x14ac:dyDescent="0.3">
      <c r="A4375" s="46">
        <v>4371</v>
      </c>
      <c r="B4375" s="47">
        <f t="shared" ca="1" si="68"/>
        <v>0.18612112487829069</v>
      </c>
      <c r="C4375" s="48">
        <f t="array" aca="1" ref="C4375" ca="1">MAX(0,ROUND(Inputs!$B$10*Inputs!$B$11+NORMSINV(B4375)*SQRT(Inputs!$B$10*Inputs!$B$11),0))</f>
        <v>480</v>
      </c>
      <c r="D4375" s="49">
        <f ca="1">C4375*Inputs!$B$12</f>
        <v>57600000</v>
      </c>
    </row>
    <row r="4376" spans="1:4" ht="13.5" customHeight="1" x14ac:dyDescent="0.3">
      <c r="A4376" s="50">
        <v>4372</v>
      </c>
      <c r="B4376" s="51">
        <f t="shared" ca="1" si="68"/>
        <v>0.96511763884194501</v>
      </c>
      <c r="C4376" s="48">
        <f t="array" aca="1" ref="C4376" ca="1">MAX(0,ROUND(Inputs!$B$10*Inputs!$B$11+NORMSINV(B4376)*SQRT(Inputs!$B$10*Inputs!$B$11),0))</f>
        <v>541</v>
      </c>
      <c r="D4376" s="52">
        <f ca="1">C4376*Inputs!$B$12</f>
        <v>64920000</v>
      </c>
    </row>
    <row r="4377" spans="1:4" ht="13.5" customHeight="1" x14ac:dyDescent="0.3">
      <c r="A4377" s="46">
        <v>4373</v>
      </c>
      <c r="B4377" s="47">
        <f t="shared" ca="1" si="68"/>
        <v>0.86649209990981113</v>
      </c>
      <c r="C4377" s="48">
        <f t="array" aca="1" ref="C4377" ca="1">MAX(0,ROUND(Inputs!$B$10*Inputs!$B$11+NORMSINV(B4377)*SQRT(Inputs!$B$10*Inputs!$B$11),0))</f>
        <v>525</v>
      </c>
      <c r="D4377" s="49">
        <f ca="1">C4377*Inputs!$B$12</f>
        <v>63000000</v>
      </c>
    </row>
    <row r="4378" spans="1:4" ht="13.5" customHeight="1" x14ac:dyDescent="0.3">
      <c r="A4378" s="50">
        <v>4374</v>
      </c>
      <c r="B4378" s="51">
        <f t="shared" ca="1" si="68"/>
        <v>0.98110275548786863</v>
      </c>
      <c r="C4378" s="48">
        <f t="array" aca="1" ref="C4378" ca="1">MAX(0,ROUND(Inputs!$B$10*Inputs!$B$11+NORMSINV(B4378)*SQRT(Inputs!$B$10*Inputs!$B$11),0))</f>
        <v>546</v>
      </c>
      <c r="D4378" s="52">
        <f ca="1">C4378*Inputs!$B$12</f>
        <v>65520000</v>
      </c>
    </row>
    <row r="4379" spans="1:4" ht="13.5" customHeight="1" x14ac:dyDescent="0.3">
      <c r="A4379" s="46">
        <v>4375</v>
      </c>
      <c r="B4379" s="47">
        <f t="shared" ca="1" si="68"/>
        <v>0.49481422898980876</v>
      </c>
      <c r="C4379" s="48">
        <f t="array" aca="1" ref="C4379" ca="1">MAX(0,ROUND(Inputs!$B$10*Inputs!$B$11+NORMSINV(B4379)*SQRT(Inputs!$B$10*Inputs!$B$11),0))</f>
        <v>500</v>
      </c>
      <c r="D4379" s="49">
        <f ca="1">C4379*Inputs!$B$12</f>
        <v>60000000</v>
      </c>
    </row>
    <row r="4380" spans="1:4" ht="13.5" customHeight="1" x14ac:dyDescent="0.3">
      <c r="A4380" s="50">
        <v>4376</v>
      </c>
      <c r="B4380" s="51">
        <f t="shared" ca="1" si="68"/>
        <v>0.61221913622072976</v>
      </c>
      <c r="C4380" s="48">
        <f t="array" aca="1" ref="C4380" ca="1">MAX(0,ROUND(Inputs!$B$10*Inputs!$B$11+NORMSINV(B4380)*SQRT(Inputs!$B$10*Inputs!$B$11),0))</f>
        <v>506</v>
      </c>
      <c r="D4380" s="52">
        <f ca="1">C4380*Inputs!$B$12</f>
        <v>60720000</v>
      </c>
    </row>
    <row r="4381" spans="1:4" ht="13.5" customHeight="1" x14ac:dyDescent="0.3">
      <c r="A4381" s="46">
        <v>4377</v>
      </c>
      <c r="B4381" s="47">
        <f t="shared" ca="1" si="68"/>
        <v>0.43363002007980944</v>
      </c>
      <c r="C4381" s="48">
        <f t="array" aca="1" ref="C4381" ca="1">MAX(0,ROUND(Inputs!$B$10*Inputs!$B$11+NORMSINV(B4381)*SQRT(Inputs!$B$10*Inputs!$B$11),0))</f>
        <v>496</v>
      </c>
      <c r="D4381" s="49">
        <f ca="1">C4381*Inputs!$B$12</f>
        <v>59520000</v>
      </c>
    </row>
    <row r="4382" spans="1:4" ht="13.5" customHeight="1" x14ac:dyDescent="0.3">
      <c r="A4382" s="50">
        <v>4378</v>
      </c>
      <c r="B4382" s="51">
        <f t="shared" ca="1" si="68"/>
        <v>0.33057572505215371</v>
      </c>
      <c r="C4382" s="48">
        <f t="array" aca="1" ref="C4382" ca="1">MAX(0,ROUND(Inputs!$B$10*Inputs!$B$11+NORMSINV(B4382)*SQRT(Inputs!$B$10*Inputs!$B$11),0))</f>
        <v>490</v>
      </c>
      <c r="D4382" s="52">
        <f ca="1">C4382*Inputs!$B$12</f>
        <v>58800000</v>
      </c>
    </row>
    <row r="4383" spans="1:4" ht="13.5" customHeight="1" x14ac:dyDescent="0.3">
      <c r="A4383" s="46">
        <v>4379</v>
      </c>
      <c r="B4383" s="47">
        <f t="shared" ca="1" si="68"/>
        <v>0.75253564755166591</v>
      </c>
      <c r="C4383" s="48">
        <f t="array" aca="1" ref="C4383" ca="1">MAX(0,ROUND(Inputs!$B$10*Inputs!$B$11+NORMSINV(B4383)*SQRT(Inputs!$B$10*Inputs!$B$11),0))</f>
        <v>515</v>
      </c>
      <c r="D4383" s="49">
        <f ca="1">C4383*Inputs!$B$12</f>
        <v>61800000</v>
      </c>
    </row>
    <row r="4384" spans="1:4" ht="13.5" customHeight="1" x14ac:dyDescent="0.3">
      <c r="A4384" s="50">
        <v>4380</v>
      </c>
      <c r="B4384" s="51">
        <f t="shared" ca="1" si="68"/>
        <v>0.22712487412258964</v>
      </c>
      <c r="C4384" s="48">
        <f t="array" aca="1" ref="C4384" ca="1">MAX(0,ROUND(Inputs!$B$10*Inputs!$B$11+NORMSINV(B4384)*SQRT(Inputs!$B$10*Inputs!$B$11),0))</f>
        <v>483</v>
      </c>
      <c r="D4384" s="52">
        <f ca="1">C4384*Inputs!$B$12</f>
        <v>57960000</v>
      </c>
    </row>
    <row r="4385" spans="1:4" ht="13.5" customHeight="1" x14ac:dyDescent="0.3">
      <c r="A4385" s="46">
        <v>4381</v>
      </c>
      <c r="B4385" s="47">
        <f t="shared" ca="1" si="68"/>
        <v>0.31593325988794119</v>
      </c>
      <c r="C4385" s="48">
        <f t="array" aca="1" ref="C4385" ca="1">MAX(0,ROUND(Inputs!$B$10*Inputs!$B$11+NORMSINV(B4385)*SQRT(Inputs!$B$10*Inputs!$B$11),0))</f>
        <v>489</v>
      </c>
      <c r="D4385" s="49">
        <f ca="1">C4385*Inputs!$B$12</f>
        <v>58680000</v>
      </c>
    </row>
    <row r="4386" spans="1:4" ht="13.5" customHeight="1" x14ac:dyDescent="0.3">
      <c r="A4386" s="50">
        <v>4382</v>
      </c>
      <c r="B4386" s="51">
        <f t="shared" ca="1" si="68"/>
        <v>9.705413217598724E-2</v>
      </c>
      <c r="C4386" s="48">
        <f t="array" aca="1" ref="C4386" ca="1">MAX(0,ROUND(Inputs!$B$10*Inputs!$B$11+NORMSINV(B4386)*SQRT(Inputs!$B$10*Inputs!$B$11),0))</f>
        <v>471</v>
      </c>
      <c r="D4386" s="52">
        <f ca="1">C4386*Inputs!$B$12</f>
        <v>56520000</v>
      </c>
    </row>
    <row r="4387" spans="1:4" ht="13.5" customHeight="1" x14ac:dyDescent="0.3">
      <c r="A4387" s="46">
        <v>4383</v>
      </c>
      <c r="B4387" s="47">
        <f t="shared" ca="1" si="68"/>
        <v>4.2634501157709059E-2</v>
      </c>
      <c r="C4387" s="48">
        <f t="array" aca="1" ref="C4387" ca="1">MAX(0,ROUND(Inputs!$B$10*Inputs!$B$11+NORMSINV(B4387)*SQRT(Inputs!$B$10*Inputs!$B$11),0))</f>
        <v>462</v>
      </c>
      <c r="D4387" s="49">
        <f ca="1">C4387*Inputs!$B$12</f>
        <v>55440000</v>
      </c>
    </row>
    <row r="4388" spans="1:4" ht="13.5" customHeight="1" x14ac:dyDescent="0.3">
      <c r="A4388" s="50">
        <v>4384</v>
      </c>
      <c r="B4388" s="51">
        <f t="shared" ca="1" si="68"/>
        <v>0.13987507893838846</v>
      </c>
      <c r="C4388" s="48">
        <f t="array" aca="1" ref="C4388" ca="1">MAX(0,ROUND(Inputs!$B$10*Inputs!$B$11+NORMSINV(B4388)*SQRT(Inputs!$B$10*Inputs!$B$11),0))</f>
        <v>476</v>
      </c>
      <c r="D4388" s="52">
        <f ca="1">C4388*Inputs!$B$12</f>
        <v>57120000</v>
      </c>
    </row>
    <row r="4389" spans="1:4" ht="13.5" customHeight="1" x14ac:dyDescent="0.3">
      <c r="A4389" s="46">
        <v>4385</v>
      </c>
      <c r="B4389" s="47">
        <f t="shared" ca="1" si="68"/>
        <v>0.81227883437397363</v>
      </c>
      <c r="C4389" s="48">
        <f t="array" aca="1" ref="C4389" ca="1">MAX(0,ROUND(Inputs!$B$10*Inputs!$B$11+NORMSINV(B4389)*SQRT(Inputs!$B$10*Inputs!$B$11),0))</f>
        <v>520</v>
      </c>
      <c r="D4389" s="49">
        <f ca="1">C4389*Inputs!$B$12</f>
        <v>62400000</v>
      </c>
    </row>
    <row r="4390" spans="1:4" ht="13.5" customHeight="1" x14ac:dyDescent="0.3">
      <c r="A4390" s="50">
        <v>4386</v>
      </c>
      <c r="B4390" s="51">
        <f t="shared" ca="1" si="68"/>
        <v>0.98883545622533298</v>
      </c>
      <c r="C4390" s="48">
        <f t="array" aca="1" ref="C4390" ca="1">MAX(0,ROUND(Inputs!$B$10*Inputs!$B$11+NORMSINV(B4390)*SQRT(Inputs!$B$10*Inputs!$B$11),0))</f>
        <v>551</v>
      </c>
      <c r="D4390" s="52">
        <f ca="1">C4390*Inputs!$B$12</f>
        <v>66120000</v>
      </c>
    </row>
    <row r="4391" spans="1:4" ht="13.5" customHeight="1" x14ac:dyDescent="0.3">
      <c r="A4391" s="46">
        <v>4387</v>
      </c>
      <c r="B4391" s="47">
        <f t="shared" ca="1" si="68"/>
        <v>0.23343361913874905</v>
      </c>
      <c r="C4391" s="48">
        <f t="array" aca="1" ref="C4391" ca="1">MAX(0,ROUND(Inputs!$B$10*Inputs!$B$11+NORMSINV(B4391)*SQRT(Inputs!$B$10*Inputs!$B$11),0))</f>
        <v>484</v>
      </c>
      <c r="D4391" s="49">
        <f ca="1">C4391*Inputs!$B$12</f>
        <v>58080000</v>
      </c>
    </row>
    <row r="4392" spans="1:4" ht="13.5" customHeight="1" x14ac:dyDescent="0.3">
      <c r="A4392" s="50">
        <v>4388</v>
      </c>
      <c r="B4392" s="51">
        <f t="shared" ca="1" si="68"/>
        <v>0.7984986739215284</v>
      </c>
      <c r="C4392" s="48">
        <f t="array" aca="1" ref="C4392" ca="1">MAX(0,ROUND(Inputs!$B$10*Inputs!$B$11+NORMSINV(B4392)*SQRT(Inputs!$B$10*Inputs!$B$11),0))</f>
        <v>519</v>
      </c>
      <c r="D4392" s="52">
        <f ca="1">C4392*Inputs!$B$12</f>
        <v>62280000</v>
      </c>
    </row>
    <row r="4393" spans="1:4" ht="13.5" customHeight="1" x14ac:dyDescent="0.3">
      <c r="A4393" s="46">
        <v>4389</v>
      </c>
      <c r="B4393" s="47">
        <f t="shared" ca="1" si="68"/>
        <v>0.82995462039764389</v>
      </c>
      <c r="C4393" s="48">
        <f t="array" aca="1" ref="C4393" ca="1">MAX(0,ROUND(Inputs!$B$10*Inputs!$B$11+NORMSINV(B4393)*SQRT(Inputs!$B$10*Inputs!$B$11),0))</f>
        <v>521</v>
      </c>
      <c r="D4393" s="49">
        <f ca="1">C4393*Inputs!$B$12</f>
        <v>62520000</v>
      </c>
    </row>
    <row r="4394" spans="1:4" ht="13.5" customHeight="1" x14ac:dyDescent="0.3">
      <c r="A4394" s="50">
        <v>4390</v>
      </c>
      <c r="B4394" s="51">
        <f t="shared" ca="1" si="68"/>
        <v>0.17697315129253921</v>
      </c>
      <c r="C4394" s="48">
        <f t="array" aca="1" ref="C4394" ca="1">MAX(0,ROUND(Inputs!$B$10*Inputs!$B$11+NORMSINV(B4394)*SQRT(Inputs!$B$10*Inputs!$B$11),0))</f>
        <v>479</v>
      </c>
      <c r="D4394" s="52">
        <f ca="1">C4394*Inputs!$B$12</f>
        <v>57480000</v>
      </c>
    </row>
    <row r="4395" spans="1:4" ht="13.5" customHeight="1" x14ac:dyDescent="0.3">
      <c r="A4395" s="46">
        <v>4391</v>
      </c>
      <c r="B4395" s="47">
        <f t="shared" ca="1" si="68"/>
        <v>0.36570036754450808</v>
      </c>
      <c r="C4395" s="48">
        <f t="array" aca="1" ref="C4395" ca="1">MAX(0,ROUND(Inputs!$B$10*Inputs!$B$11+NORMSINV(B4395)*SQRT(Inputs!$B$10*Inputs!$B$11),0))</f>
        <v>492</v>
      </c>
      <c r="D4395" s="49">
        <f ca="1">C4395*Inputs!$B$12</f>
        <v>59040000</v>
      </c>
    </row>
    <row r="4396" spans="1:4" ht="13.5" customHeight="1" x14ac:dyDescent="0.3">
      <c r="A4396" s="50">
        <v>4392</v>
      </c>
      <c r="B4396" s="51">
        <f t="shared" ca="1" si="68"/>
        <v>0.28692247553155559</v>
      </c>
      <c r="C4396" s="48">
        <f t="array" aca="1" ref="C4396" ca="1">MAX(0,ROUND(Inputs!$B$10*Inputs!$B$11+NORMSINV(B4396)*SQRT(Inputs!$B$10*Inputs!$B$11),0))</f>
        <v>487</v>
      </c>
      <c r="D4396" s="52">
        <f ca="1">C4396*Inputs!$B$12</f>
        <v>58440000</v>
      </c>
    </row>
    <row r="4397" spans="1:4" ht="13.5" customHeight="1" x14ac:dyDescent="0.3">
      <c r="A4397" s="46">
        <v>4393</v>
      </c>
      <c r="B4397" s="47">
        <f t="shared" ca="1" si="68"/>
        <v>0.41589604713137862</v>
      </c>
      <c r="C4397" s="48">
        <f t="array" aca="1" ref="C4397" ca="1">MAX(0,ROUND(Inputs!$B$10*Inputs!$B$11+NORMSINV(B4397)*SQRT(Inputs!$B$10*Inputs!$B$11),0))</f>
        <v>495</v>
      </c>
      <c r="D4397" s="49">
        <f ca="1">C4397*Inputs!$B$12</f>
        <v>59400000</v>
      </c>
    </row>
    <row r="4398" spans="1:4" ht="13.5" customHeight="1" x14ac:dyDescent="0.3">
      <c r="A4398" s="50">
        <v>4394</v>
      </c>
      <c r="B4398" s="51">
        <f t="shared" ca="1" si="68"/>
        <v>0.4645871219690263</v>
      </c>
      <c r="C4398" s="48">
        <f t="array" aca="1" ref="C4398" ca="1">MAX(0,ROUND(Inputs!$B$10*Inputs!$B$11+NORMSINV(B4398)*SQRT(Inputs!$B$10*Inputs!$B$11),0))</f>
        <v>498</v>
      </c>
      <c r="D4398" s="52">
        <f ca="1">C4398*Inputs!$B$12</f>
        <v>59760000</v>
      </c>
    </row>
    <row r="4399" spans="1:4" ht="13.5" customHeight="1" x14ac:dyDescent="0.3">
      <c r="A4399" s="46">
        <v>4395</v>
      </c>
      <c r="B4399" s="47">
        <f t="shared" ca="1" si="68"/>
        <v>0.62212234614200368</v>
      </c>
      <c r="C4399" s="48">
        <f t="array" aca="1" ref="C4399" ca="1">MAX(0,ROUND(Inputs!$B$10*Inputs!$B$11+NORMSINV(B4399)*SQRT(Inputs!$B$10*Inputs!$B$11),0))</f>
        <v>507</v>
      </c>
      <c r="D4399" s="49">
        <f ca="1">C4399*Inputs!$B$12</f>
        <v>60840000</v>
      </c>
    </row>
    <row r="4400" spans="1:4" ht="13.5" customHeight="1" x14ac:dyDescent="0.3">
      <c r="A4400" s="50">
        <v>4396</v>
      </c>
      <c r="B4400" s="51">
        <f t="shared" ca="1" si="68"/>
        <v>0.24236534407794941</v>
      </c>
      <c r="C4400" s="48">
        <f t="array" aca="1" ref="C4400" ca="1">MAX(0,ROUND(Inputs!$B$10*Inputs!$B$11+NORMSINV(B4400)*SQRT(Inputs!$B$10*Inputs!$B$11),0))</f>
        <v>484</v>
      </c>
      <c r="D4400" s="52">
        <f ca="1">C4400*Inputs!$B$12</f>
        <v>58080000</v>
      </c>
    </row>
    <row r="4401" spans="1:4" ht="13.5" customHeight="1" x14ac:dyDescent="0.3">
      <c r="A4401" s="46">
        <v>4397</v>
      </c>
      <c r="B4401" s="47">
        <f t="shared" ca="1" si="68"/>
        <v>2.4950959427772812E-2</v>
      </c>
      <c r="C4401" s="48">
        <f t="array" aca="1" ref="C4401" ca="1">MAX(0,ROUND(Inputs!$B$10*Inputs!$B$11+NORMSINV(B4401)*SQRT(Inputs!$B$10*Inputs!$B$11),0))</f>
        <v>456</v>
      </c>
      <c r="D4401" s="49">
        <f ca="1">C4401*Inputs!$B$12</f>
        <v>54720000</v>
      </c>
    </row>
    <row r="4402" spans="1:4" ht="13.5" customHeight="1" x14ac:dyDescent="0.3">
      <c r="A4402" s="50">
        <v>4398</v>
      </c>
      <c r="B4402" s="51">
        <f t="shared" ca="1" si="68"/>
        <v>0.48361988727169547</v>
      </c>
      <c r="C4402" s="48">
        <f t="array" aca="1" ref="C4402" ca="1">MAX(0,ROUND(Inputs!$B$10*Inputs!$B$11+NORMSINV(B4402)*SQRT(Inputs!$B$10*Inputs!$B$11),0))</f>
        <v>499</v>
      </c>
      <c r="D4402" s="52">
        <f ca="1">C4402*Inputs!$B$12</f>
        <v>59880000</v>
      </c>
    </row>
    <row r="4403" spans="1:4" ht="13.5" customHeight="1" x14ac:dyDescent="0.3">
      <c r="A4403" s="46">
        <v>4399</v>
      </c>
      <c r="B4403" s="47">
        <f t="shared" ca="1" si="68"/>
        <v>0.70125303421923801</v>
      </c>
      <c r="C4403" s="48">
        <f t="array" aca="1" ref="C4403" ca="1">MAX(0,ROUND(Inputs!$B$10*Inputs!$B$11+NORMSINV(B4403)*SQRT(Inputs!$B$10*Inputs!$B$11),0))</f>
        <v>512</v>
      </c>
      <c r="D4403" s="49">
        <f ca="1">C4403*Inputs!$B$12</f>
        <v>61440000</v>
      </c>
    </row>
    <row r="4404" spans="1:4" ht="13.5" customHeight="1" x14ac:dyDescent="0.3">
      <c r="A4404" s="50">
        <v>4400</v>
      </c>
      <c r="B4404" s="51">
        <f t="shared" ca="1" si="68"/>
        <v>0.53678984906606175</v>
      </c>
      <c r="C4404" s="48">
        <f t="array" aca="1" ref="C4404" ca="1">MAX(0,ROUND(Inputs!$B$10*Inputs!$B$11+NORMSINV(B4404)*SQRT(Inputs!$B$10*Inputs!$B$11),0))</f>
        <v>502</v>
      </c>
      <c r="D4404" s="52">
        <f ca="1">C4404*Inputs!$B$12</f>
        <v>60240000</v>
      </c>
    </row>
    <row r="4405" spans="1:4" ht="13.5" customHeight="1" x14ac:dyDescent="0.3">
      <c r="A4405" s="46">
        <v>4401</v>
      </c>
      <c r="B4405" s="47">
        <f t="shared" ca="1" si="68"/>
        <v>0.18972788676909003</v>
      </c>
      <c r="C4405" s="48">
        <f t="array" aca="1" ref="C4405" ca="1">MAX(0,ROUND(Inputs!$B$10*Inputs!$B$11+NORMSINV(B4405)*SQRT(Inputs!$B$10*Inputs!$B$11),0))</f>
        <v>480</v>
      </c>
      <c r="D4405" s="49">
        <f ca="1">C4405*Inputs!$B$12</f>
        <v>57600000</v>
      </c>
    </row>
    <row r="4406" spans="1:4" ht="13.5" customHeight="1" x14ac:dyDescent="0.3">
      <c r="A4406" s="50">
        <v>4402</v>
      </c>
      <c r="B4406" s="51">
        <f t="shared" ca="1" si="68"/>
        <v>0.84638343008801808</v>
      </c>
      <c r="C4406" s="48">
        <f t="array" aca="1" ref="C4406" ca="1">MAX(0,ROUND(Inputs!$B$10*Inputs!$B$11+NORMSINV(B4406)*SQRT(Inputs!$B$10*Inputs!$B$11),0))</f>
        <v>523</v>
      </c>
      <c r="D4406" s="52">
        <f ca="1">C4406*Inputs!$B$12</f>
        <v>62760000</v>
      </c>
    </row>
    <row r="4407" spans="1:4" ht="13.5" customHeight="1" x14ac:dyDescent="0.3">
      <c r="A4407" s="46">
        <v>4403</v>
      </c>
      <c r="B4407" s="47">
        <f t="shared" ca="1" si="68"/>
        <v>0.92581634034862725</v>
      </c>
      <c r="C4407" s="48">
        <f t="array" aca="1" ref="C4407" ca="1">MAX(0,ROUND(Inputs!$B$10*Inputs!$B$11+NORMSINV(B4407)*SQRT(Inputs!$B$10*Inputs!$B$11),0))</f>
        <v>532</v>
      </c>
      <c r="D4407" s="49">
        <f ca="1">C4407*Inputs!$B$12</f>
        <v>63840000</v>
      </c>
    </row>
    <row r="4408" spans="1:4" ht="13.5" customHeight="1" x14ac:dyDescent="0.3">
      <c r="A4408" s="50">
        <v>4404</v>
      </c>
      <c r="B4408" s="51">
        <f t="shared" ca="1" si="68"/>
        <v>0.1404630227923126</v>
      </c>
      <c r="C4408" s="48">
        <f t="array" aca="1" ref="C4408" ca="1">MAX(0,ROUND(Inputs!$B$10*Inputs!$B$11+NORMSINV(B4408)*SQRT(Inputs!$B$10*Inputs!$B$11),0))</f>
        <v>476</v>
      </c>
      <c r="D4408" s="52">
        <f ca="1">C4408*Inputs!$B$12</f>
        <v>57120000</v>
      </c>
    </row>
    <row r="4409" spans="1:4" ht="13.5" customHeight="1" x14ac:dyDescent="0.3">
      <c r="A4409" s="46">
        <v>4405</v>
      </c>
      <c r="B4409" s="47">
        <f t="shared" ca="1" si="68"/>
        <v>0.64979930854626733</v>
      </c>
      <c r="C4409" s="48">
        <f t="array" aca="1" ref="C4409" ca="1">MAX(0,ROUND(Inputs!$B$10*Inputs!$B$11+NORMSINV(B4409)*SQRT(Inputs!$B$10*Inputs!$B$11),0))</f>
        <v>509</v>
      </c>
      <c r="D4409" s="49">
        <f ca="1">C4409*Inputs!$B$12</f>
        <v>61080000</v>
      </c>
    </row>
    <row r="4410" spans="1:4" ht="13.5" customHeight="1" x14ac:dyDescent="0.3">
      <c r="A4410" s="50">
        <v>4406</v>
      </c>
      <c r="B4410" s="51">
        <f t="shared" ca="1" si="68"/>
        <v>0.75090578943360575</v>
      </c>
      <c r="C4410" s="48">
        <f t="array" aca="1" ref="C4410" ca="1">MAX(0,ROUND(Inputs!$B$10*Inputs!$B$11+NORMSINV(B4410)*SQRT(Inputs!$B$10*Inputs!$B$11),0))</f>
        <v>515</v>
      </c>
      <c r="D4410" s="52">
        <f ca="1">C4410*Inputs!$B$12</f>
        <v>61800000</v>
      </c>
    </row>
    <row r="4411" spans="1:4" ht="13.5" customHeight="1" x14ac:dyDescent="0.3">
      <c r="A4411" s="46">
        <v>4407</v>
      </c>
      <c r="B4411" s="47">
        <f t="shared" ca="1" si="68"/>
        <v>0.67158467051939541</v>
      </c>
      <c r="C4411" s="48">
        <f t="array" aca="1" ref="C4411" ca="1">MAX(0,ROUND(Inputs!$B$10*Inputs!$B$11+NORMSINV(B4411)*SQRT(Inputs!$B$10*Inputs!$B$11),0))</f>
        <v>510</v>
      </c>
      <c r="D4411" s="49">
        <f ca="1">C4411*Inputs!$B$12</f>
        <v>61200000</v>
      </c>
    </row>
    <row r="4412" spans="1:4" ht="13.5" customHeight="1" x14ac:dyDescent="0.3">
      <c r="A4412" s="50">
        <v>4408</v>
      </c>
      <c r="B4412" s="51">
        <f t="shared" ca="1" si="68"/>
        <v>0.87818001605617257</v>
      </c>
      <c r="C4412" s="48">
        <f t="array" aca="1" ref="C4412" ca="1">MAX(0,ROUND(Inputs!$B$10*Inputs!$B$11+NORMSINV(B4412)*SQRT(Inputs!$B$10*Inputs!$B$11),0))</f>
        <v>526</v>
      </c>
      <c r="D4412" s="52">
        <f ca="1">C4412*Inputs!$B$12</f>
        <v>63120000</v>
      </c>
    </row>
    <row r="4413" spans="1:4" ht="13.5" customHeight="1" x14ac:dyDescent="0.3">
      <c r="A4413" s="46">
        <v>4409</v>
      </c>
      <c r="B4413" s="47">
        <f t="shared" ca="1" si="68"/>
        <v>0.52931111049895307</v>
      </c>
      <c r="C4413" s="48">
        <f t="array" aca="1" ref="C4413" ca="1">MAX(0,ROUND(Inputs!$B$10*Inputs!$B$11+NORMSINV(B4413)*SQRT(Inputs!$B$10*Inputs!$B$11),0))</f>
        <v>502</v>
      </c>
      <c r="D4413" s="49">
        <f ca="1">C4413*Inputs!$B$12</f>
        <v>60240000</v>
      </c>
    </row>
    <row r="4414" spans="1:4" ht="13.5" customHeight="1" x14ac:dyDescent="0.3">
      <c r="A4414" s="50">
        <v>4410</v>
      </c>
      <c r="B4414" s="51">
        <f t="shared" ca="1" si="68"/>
        <v>0.76561676209193552</v>
      </c>
      <c r="C4414" s="48">
        <f t="array" aca="1" ref="C4414" ca="1">MAX(0,ROUND(Inputs!$B$10*Inputs!$B$11+NORMSINV(B4414)*SQRT(Inputs!$B$10*Inputs!$B$11),0))</f>
        <v>516</v>
      </c>
      <c r="D4414" s="52">
        <f ca="1">C4414*Inputs!$B$12</f>
        <v>61920000</v>
      </c>
    </row>
    <row r="4415" spans="1:4" ht="13.5" customHeight="1" x14ac:dyDescent="0.3">
      <c r="A4415" s="46">
        <v>4411</v>
      </c>
      <c r="B4415" s="47">
        <f t="shared" ca="1" si="68"/>
        <v>0.13294560219298113</v>
      </c>
      <c r="C4415" s="48">
        <f t="array" aca="1" ref="C4415" ca="1">MAX(0,ROUND(Inputs!$B$10*Inputs!$B$11+NORMSINV(B4415)*SQRT(Inputs!$B$10*Inputs!$B$11),0))</f>
        <v>475</v>
      </c>
      <c r="D4415" s="49">
        <f ca="1">C4415*Inputs!$B$12</f>
        <v>57000000</v>
      </c>
    </row>
    <row r="4416" spans="1:4" ht="13.5" customHeight="1" x14ac:dyDescent="0.3">
      <c r="A4416" s="50">
        <v>4412</v>
      </c>
      <c r="B4416" s="51">
        <f t="shared" ca="1" si="68"/>
        <v>5.6886214687892345E-2</v>
      </c>
      <c r="C4416" s="48">
        <f t="array" aca="1" ref="C4416" ca="1">MAX(0,ROUND(Inputs!$B$10*Inputs!$B$11+NORMSINV(B4416)*SQRT(Inputs!$B$10*Inputs!$B$11),0))</f>
        <v>465</v>
      </c>
      <c r="D4416" s="52">
        <f ca="1">C4416*Inputs!$B$12</f>
        <v>55800000</v>
      </c>
    </row>
    <row r="4417" spans="1:4" ht="13.5" customHeight="1" x14ac:dyDescent="0.3">
      <c r="A4417" s="46">
        <v>4413</v>
      </c>
      <c r="B4417" s="47">
        <f t="shared" ca="1" si="68"/>
        <v>0.18430333885530992</v>
      </c>
      <c r="C4417" s="48">
        <f t="array" aca="1" ref="C4417" ca="1">MAX(0,ROUND(Inputs!$B$10*Inputs!$B$11+NORMSINV(B4417)*SQRT(Inputs!$B$10*Inputs!$B$11),0))</f>
        <v>480</v>
      </c>
      <c r="D4417" s="49">
        <f ca="1">C4417*Inputs!$B$12</f>
        <v>57600000</v>
      </c>
    </row>
    <row r="4418" spans="1:4" ht="13.5" customHeight="1" x14ac:dyDescent="0.3">
      <c r="A4418" s="50">
        <v>4414</v>
      </c>
      <c r="B4418" s="51">
        <f t="shared" ca="1" si="68"/>
        <v>0.72387402602036721</v>
      </c>
      <c r="C4418" s="48">
        <f t="array" aca="1" ref="C4418" ca="1">MAX(0,ROUND(Inputs!$B$10*Inputs!$B$11+NORMSINV(B4418)*SQRT(Inputs!$B$10*Inputs!$B$11),0))</f>
        <v>513</v>
      </c>
      <c r="D4418" s="52">
        <f ca="1">C4418*Inputs!$B$12</f>
        <v>61560000</v>
      </c>
    </row>
    <row r="4419" spans="1:4" ht="13.5" customHeight="1" x14ac:dyDescent="0.3">
      <c r="A4419" s="46">
        <v>4415</v>
      </c>
      <c r="B4419" s="47">
        <f t="shared" ca="1" si="68"/>
        <v>0.45726037156800603</v>
      </c>
      <c r="C4419" s="48">
        <f t="array" aca="1" ref="C4419" ca="1">MAX(0,ROUND(Inputs!$B$10*Inputs!$B$11+NORMSINV(B4419)*SQRT(Inputs!$B$10*Inputs!$B$11),0))</f>
        <v>498</v>
      </c>
      <c r="D4419" s="49">
        <f ca="1">C4419*Inputs!$B$12</f>
        <v>59760000</v>
      </c>
    </row>
    <row r="4420" spans="1:4" ht="13.5" customHeight="1" x14ac:dyDescent="0.3">
      <c r="A4420" s="50">
        <v>4416</v>
      </c>
      <c r="B4420" s="51">
        <f t="shared" ca="1" si="68"/>
        <v>0.17130911916794311</v>
      </c>
      <c r="C4420" s="48">
        <f t="array" aca="1" ref="C4420" ca="1">MAX(0,ROUND(Inputs!$B$10*Inputs!$B$11+NORMSINV(B4420)*SQRT(Inputs!$B$10*Inputs!$B$11),0))</f>
        <v>479</v>
      </c>
      <c r="D4420" s="52">
        <f ca="1">C4420*Inputs!$B$12</f>
        <v>57480000</v>
      </c>
    </row>
    <row r="4421" spans="1:4" ht="13.5" customHeight="1" x14ac:dyDescent="0.3">
      <c r="A4421" s="46">
        <v>4417</v>
      </c>
      <c r="B4421" s="47">
        <f t="shared" ref="B4421:B4484" ca="1" si="69">RAND()</f>
        <v>0.30658248707312241</v>
      </c>
      <c r="C4421" s="48">
        <f t="array" aca="1" ref="C4421" ca="1">MAX(0,ROUND(Inputs!$B$10*Inputs!$B$11+NORMSINV(B4421)*SQRT(Inputs!$B$10*Inputs!$B$11),0))</f>
        <v>489</v>
      </c>
      <c r="D4421" s="49">
        <f ca="1">C4421*Inputs!$B$12</f>
        <v>58680000</v>
      </c>
    </row>
    <row r="4422" spans="1:4" ht="13.5" customHeight="1" x14ac:dyDescent="0.3">
      <c r="A4422" s="50">
        <v>4418</v>
      </c>
      <c r="B4422" s="51">
        <f t="shared" ca="1" si="69"/>
        <v>0.40865338885245761</v>
      </c>
      <c r="C4422" s="48">
        <f t="array" aca="1" ref="C4422" ca="1">MAX(0,ROUND(Inputs!$B$10*Inputs!$B$11+NORMSINV(B4422)*SQRT(Inputs!$B$10*Inputs!$B$11),0))</f>
        <v>495</v>
      </c>
      <c r="D4422" s="52">
        <f ca="1">C4422*Inputs!$B$12</f>
        <v>59400000</v>
      </c>
    </row>
    <row r="4423" spans="1:4" ht="13.5" customHeight="1" x14ac:dyDescent="0.3">
      <c r="A4423" s="46">
        <v>4419</v>
      </c>
      <c r="B4423" s="47">
        <f t="shared" ca="1" si="69"/>
        <v>8.5285240559508035E-2</v>
      </c>
      <c r="C4423" s="48">
        <f t="array" aca="1" ref="C4423" ca="1">MAX(0,ROUND(Inputs!$B$10*Inputs!$B$11+NORMSINV(B4423)*SQRT(Inputs!$B$10*Inputs!$B$11),0))</f>
        <v>469</v>
      </c>
      <c r="D4423" s="49">
        <f ca="1">C4423*Inputs!$B$12</f>
        <v>56280000</v>
      </c>
    </row>
    <row r="4424" spans="1:4" ht="13.5" customHeight="1" x14ac:dyDescent="0.3">
      <c r="A4424" s="50">
        <v>4420</v>
      </c>
      <c r="B4424" s="51">
        <f t="shared" ca="1" si="69"/>
        <v>0.93835917202721553</v>
      </c>
      <c r="C4424" s="48">
        <f t="array" aca="1" ref="C4424" ca="1">MAX(0,ROUND(Inputs!$B$10*Inputs!$B$11+NORMSINV(B4424)*SQRT(Inputs!$B$10*Inputs!$B$11),0))</f>
        <v>534</v>
      </c>
      <c r="D4424" s="52">
        <f ca="1">C4424*Inputs!$B$12</f>
        <v>64080000</v>
      </c>
    </row>
    <row r="4425" spans="1:4" ht="13.5" customHeight="1" x14ac:dyDescent="0.3">
      <c r="A4425" s="46">
        <v>4421</v>
      </c>
      <c r="B4425" s="47">
        <f t="shared" ca="1" si="69"/>
        <v>8.1060875375824515E-2</v>
      </c>
      <c r="C4425" s="48">
        <f t="array" aca="1" ref="C4425" ca="1">MAX(0,ROUND(Inputs!$B$10*Inputs!$B$11+NORMSINV(B4425)*SQRT(Inputs!$B$10*Inputs!$B$11),0))</f>
        <v>469</v>
      </c>
      <c r="D4425" s="49">
        <f ca="1">C4425*Inputs!$B$12</f>
        <v>56280000</v>
      </c>
    </row>
    <row r="4426" spans="1:4" ht="13.5" customHeight="1" x14ac:dyDescent="0.3">
      <c r="A4426" s="50">
        <v>4422</v>
      </c>
      <c r="B4426" s="51">
        <f t="shared" ca="1" si="69"/>
        <v>0.86872738184545129</v>
      </c>
      <c r="C4426" s="48">
        <f t="array" aca="1" ref="C4426" ca="1">MAX(0,ROUND(Inputs!$B$10*Inputs!$B$11+NORMSINV(B4426)*SQRT(Inputs!$B$10*Inputs!$B$11),0))</f>
        <v>525</v>
      </c>
      <c r="D4426" s="52">
        <f ca="1">C4426*Inputs!$B$12</f>
        <v>63000000</v>
      </c>
    </row>
    <row r="4427" spans="1:4" ht="13.5" customHeight="1" x14ac:dyDescent="0.3">
      <c r="A4427" s="46">
        <v>4423</v>
      </c>
      <c r="B4427" s="47">
        <f t="shared" ca="1" si="69"/>
        <v>0.44357775221199081</v>
      </c>
      <c r="C4427" s="48">
        <f t="array" aca="1" ref="C4427" ca="1">MAX(0,ROUND(Inputs!$B$10*Inputs!$B$11+NORMSINV(B4427)*SQRT(Inputs!$B$10*Inputs!$B$11),0))</f>
        <v>497</v>
      </c>
      <c r="D4427" s="49">
        <f ca="1">C4427*Inputs!$B$12</f>
        <v>59640000</v>
      </c>
    </row>
    <row r="4428" spans="1:4" ht="13.5" customHeight="1" x14ac:dyDescent="0.3">
      <c r="A4428" s="50">
        <v>4424</v>
      </c>
      <c r="B4428" s="51">
        <f t="shared" ca="1" si="69"/>
        <v>0.90750973380835964</v>
      </c>
      <c r="C4428" s="48">
        <f t="array" aca="1" ref="C4428" ca="1">MAX(0,ROUND(Inputs!$B$10*Inputs!$B$11+NORMSINV(B4428)*SQRT(Inputs!$B$10*Inputs!$B$11),0))</f>
        <v>530</v>
      </c>
      <c r="D4428" s="52">
        <f ca="1">C4428*Inputs!$B$12</f>
        <v>63600000</v>
      </c>
    </row>
    <row r="4429" spans="1:4" ht="13.5" customHeight="1" x14ac:dyDescent="0.3">
      <c r="A4429" s="46">
        <v>4425</v>
      </c>
      <c r="B4429" s="47">
        <f t="shared" ca="1" si="69"/>
        <v>0.10303371642418624</v>
      </c>
      <c r="C4429" s="48">
        <f t="array" aca="1" ref="C4429" ca="1">MAX(0,ROUND(Inputs!$B$10*Inputs!$B$11+NORMSINV(B4429)*SQRT(Inputs!$B$10*Inputs!$B$11),0))</f>
        <v>472</v>
      </c>
      <c r="D4429" s="49">
        <f ca="1">C4429*Inputs!$B$12</f>
        <v>56640000</v>
      </c>
    </row>
    <row r="4430" spans="1:4" ht="13.5" customHeight="1" x14ac:dyDescent="0.3">
      <c r="A4430" s="50">
        <v>4426</v>
      </c>
      <c r="B4430" s="51">
        <f t="shared" ca="1" si="69"/>
        <v>0.4867991341371718</v>
      </c>
      <c r="C4430" s="48">
        <f t="array" aca="1" ref="C4430" ca="1">MAX(0,ROUND(Inputs!$B$10*Inputs!$B$11+NORMSINV(B4430)*SQRT(Inputs!$B$10*Inputs!$B$11),0))</f>
        <v>499</v>
      </c>
      <c r="D4430" s="52">
        <f ca="1">C4430*Inputs!$B$12</f>
        <v>59880000</v>
      </c>
    </row>
    <row r="4431" spans="1:4" ht="13.5" customHeight="1" x14ac:dyDescent="0.3">
      <c r="A4431" s="46">
        <v>4427</v>
      </c>
      <c r="B4431" s="47">
        <f t="shared" ca="1" si="69"/>
        <v>0.10587769207460063</v>
      </c>
      <c r="C4431" s="48">
        <f t="array" aca="1" ref="C4431" ca="1">MAX(0,ROUND(Inputs!$B$10*Inputs!$B$11+NORMSINV(B4431)*SQRT(Inputs!$B$10*Inputs!$B$11),0))</f>
        <v>472</v>
      </c>
      <c r="D4431" s="49">
        <f ca="1">C4431*Inputs!$B$12</f>
        <v>56640000</v>
      </c>
    </row>
    <row r="4432" spans="1:4" ht="13.5" customHeight="1" x14ac:dyDescent="0.3">
      <c r="A4432" s="50">
        <v>4428</v>
      </c>
      <c r="B4432" s="51">
        <f t="shared" ca="1" si="69"/>
        <v>0.77603081325317635</v>
      </c>
      <c r="C4432" s="48">
        <f t="array" aca="1" ref="C4432" ca="1">MAX(0,ROUND(Inputs!$B$10*Inputs!$B$11+NORMSINV(B4432)*SQRT(Inputs!$B$10*Inputs!$B$11),0))</f>
        <v>517</v>
      </c>
      <c r="D4432" s="52">
        <f ca="1">C4432*Inputs!$B$12</f>
        <v>62040000</v>
      </c>
    </row>
    <row r="4433" spans="1:4" ht="13.5" customHeight="1" x14ac:dyDescent="0.3">
      <c r="A4433" s="46">
        <v>4429</v>
      </c>
      <c r="B4433" s="47">
        <f t="shared" ca="1" si="69"/>
        <v>0.90513047448045625</v>
      </c>
      <c r="C4433" s="48">
        <f t="array" aca="1" ref="C4433" ca="1">MAX(0,ROUND(Inputs!$B$10*Inputs!$B$11+NORMSINV(B4433)*SQRT(Inputs!$B$10*Inputs!$B$11),0))</f>
        <v>529</v>
      </c>
      <c r="D4433" s="49">
        <f ca="1">C4433*Inputs!$B$12</f>
        <v>63480000</v>
      </c>
    </row>
    <row r="4434" spans="1:4" ht="13.5" customHeight="1" x14ac:dyDescent="0.3">
      <c r="A4434" s="50">
        <v>4430</v>
      </c>
      <c r="B4434" s="51">
        <f t="shared" ca="1" si="69"/>
        <v>0.97675184372654944</v>
      </c>
      <c r="C4434" s="48">
        <f t="array" aca="1" ref="C4434" ca="1">MAX(0,ROUND(Inputs!$B$10*Inputs!$B$11+NORMSINV(B4434)*SQRT(Inputs!$B$10*Inputs!$B$11),0))</f>
        <v>545</v>
      </c>
      <c r="D4434" s="52">
        <f ca="1">C4434*Inputs!$B$12</f>
        <v>65400000</v>
      </c>
    </row>
    <row r="4435" spans="1:4" ht="13.5" customHeight="1" x14ac:dyDescent="0.3">
      <c r="A4435" s="46">
        <v>4431</v>
      </c>
      <c r="B4435" s="47">
        <f t="shared" ca="1" si="69"/>
        <v>0.40907365227855219</v>
      </c>
      <c r="C4435" s="48">
        <f t="array" aca="1" ref="C4435" ca="1">MAX(0,ROUND(Inputs!$B$10*Inputs!$B$11+NORMSINV(B4435)*SQRT(Inputs!$B$10*Inputs!$B$11),0))</f>
        <v>495</v>
      </c>
      <c r="D4435" s="49">
        <f ca="1">C4435*Inputs!$B$12</f>
        <v>59400000</v>
      </c>
    </row>
    <row r="4436" spans="1:4" ht="13.5" customHeight="1" x14ac:dyDescent="0.3">
      <c r="A4436" s="50">
        <v>4432</v>
      </c>
      <c r="B4436" s="51">
        <f t="shared" ca="1" si="69"/>
        <v>0.92613481959031974</v>
      </c>
      <c r="C4436" s="48">
        <f t="array" aca="1" ref="C4436" ca="1">MAX(0,ROUND(Inputs!$B$10*Inputs!$B$11+NORMSINV(B4436)*SQRT(Inputs!$B$10*Inputs!$B$11),0))</f>
        <v>532</v>
      </c>
      <c r="D4436" s="52">
        <f ca="1">C4436*Inputs!$B$12</f>
        <v>63840000</v>
      </c>
    </row>
    <row r="4437" spans="1:4" ht="13.5" customHeight="1" x14ac:dyDescent="0.3">
      <c r="A4437" s="46">
        <v>4433</v>
      </c>
      <c r="B4437" s="47">
        <f t="shared" ca="1" si="69"/>
        <v>0.59701604169153832</v>
      </c>
      <c r="C4437" s="48">
        <f t="array" aca="1" ref="C4437" ca="1">MAX(0,ROUND(Inputs!$B$10*Inputs!$B$11+NORMSINV(B4437)*SQRT(Inputs!$B$10*Inputs!$B$11),0))</f>
        <v>505</v>
      </c>
      <c r="D4437" s="49">
        <f ca="1">C4437*Inputs!$B$12</f>
        <v>60600000</v>
      </c>
    </row>
    <row r="4438" spans="1:4" ht="13.5" customHeight="1" x14ac:dyDescent="0.3">
      <c r="A4438" s="50">
        <v>4434</v>
      </c>
      <c r="B4438" s="51">
        <f t="shared" ca="1" si="69"/>
        <v>0.76881712832408056</v>
      </c>
      <c r="C4438" s="48">
        <f t="array" aca="1" ref="C4438" ca="1">MAX(0,ROUND(Inputs!$B$10*Inputs!$B$11+NORMSINV(B4438)*SQRT(Inputs!$B$10*Inputs!$B$11),0))</f>
        <v>516</v>
      </c>
      <c r="D4438" s="52">
        <f ca="1">C4438*Inputs!$B$12</f>
        <v>61920000</v>
      </c>
    </row>
    <row r="4439" spans="1:4" ht="13.5" customHeight="1" x14ac:dyDescent="0.3">
      <c r="A4439" s="46">
        <v>4435</v>
      </c>
      <c r="B4439" s="47">
        <f t="shared" ca="1" si="69"/>
        <v>0.72803835086973545</v>
      </c>
      <c r="C4439" s="48">
        <f t="array" aca="1" ref="C4439" ca="1">MAX(0,ROUND(Inputs!$B$10*Inputs!$B$11+NORMSINV(B4439)*SQRT(Inputs!$B$10*Inputs!$B$11),0))</f>
        <v>514</v>
      </c>
      <c r="D4439" s="49">
        <f ca="1">C4439*Inputs!$B$12</f>
        <v>61680000</v>
      </c>
    </row>
    <row r="4440" spans="1:4" ht="13.5" customHeight="1" x14ac:dyDescent="0.3">
      <c r="A4440" s="50">
        <v>4436</v>
      </c>
      <c r="B4440" s="51">
        <f t="shared" ca="1" si="69"/>
        <v>0.88567198120260071</v>
      </c>
      <c r="C4440" s="48">
        <f t="array" aca="1" ref="C4440" ca="1">MAX(0,ROUND(Inputs!$B$10*Inputs!$B$11+NORMSINV(B4440)*SQRT(Inputs!$B$10*Inputs!$B$11),0))</f>
        <v>527</v>
      </c>
      <c r="D4440" s="52">
        <f ca="1">C4440*Inputs!$B$12</f>
        <v>63240000</v>
      </c>
    </row>
    <row r="4441" spans="1:4" ht="13.5" customHeight="1" x14ac:dyDescent="0.3">
      <c r="A4441" s="46">
        <v>4437</v>
      </c>
      <c r="B4441" s="47">
        <f t="shared" ca="1" si="69"/>
        <v>0.65847835013223111</v>
      </c>
      <c r="C4441" s="48">
        <f t="array" aca="1" ref="C4441" ca="1">MAX(0,ROUND(Inputs!$B$10*Inputs!$B$11+NORMSINV(B4441)*SQRT(Inputs!$B$10*Inputs!$B$11),0))</f>
        <v>509</v>
      </c>
      <c r="D4441" s="49">
        <f ca="1">C4441*Inputs!$B$12</f>
        <v>61080000</v>
      </c>
    </row>
    <row r="4442" spans="1:4" ht="13.5" customHeight="1" x14ac:dyDescent="0.3">
      <c r="A4442" s="50">
        <v>4438</v>
      </c>
      <c r="B4442" s="51">
        <f t="shared" ca="1" si="69"/>
        <v>0.40132858276186834</v>
      </c>
      <c r="C4442" s="48">
        <f t="array" aca="1" ref="C4442" ca="1">MAX(0,ROUND(Inputs!$B$10*Inputs!$B$11+NORMSINV(B4442)*SQRT(Inputs!$B$10*Inputs!$B$11),0))</f>
        <v>494</v>
      </c>
      <c r="D4442" s="52">
        <f ca="1">C4442*Inputs!$B$12</f>
        <v>59280000</v>
      </c>
    </row>
    <row r="4443" spans="1:4" ht="13.5" customHeight="1" x14ac:dyDescent="0.3">
      <c r="A4443" s="46">
        <v>4439</v>
      </c>
      <c r="B4443" s="47">
        <f t="shared" ca="1" si="69"/>
        <v>0.20885456900931754</v>
      </c>
      <c r="C4443" s="48">
        <f t="array" aca="1" ref="C4443" ca="1">MAX(0,ROUND(Inputs!$B$10*Inputs!$B$11+NORMSINV(B4443)*SQRT(Inputs!$B$10*Inputs!$B$11),0))</f>
        <v>482</v>
      </c>
      <c r="D4443" s="49">
        <f ca="1">C4443*Inputs!$B$12</f>
        <v>57840000</v>
      </c>
    </row>
    <row r="4444" spans="1:4" ht="13.5" customHeight="1" x14ac:dyDescent="0.3">
      <c r="A4444" s="50">
        <v>4440</v>
      </c>
      <c r="B4444" s="51">
        <f t="shared" ca="1" si="69"/>
        <v>0.76335539670661079</v>
      </c>
      <c r="C4444" s="48">
        <f t="array" aca="1" ref="C4444" ca="1">MAX(0,ROUND(Inputs!$B$10*Inputs!$B$11+NORMSINV(B4444)*SQRT(Inputs!$B$10*Inputs!$B$11),0))</f>
        <v>516</v>
      </c>
      <c r="D4444" s="52">
        <f ca="1">C4444*Inputs!$B$12</f>
        <v>61920000</v>
      </c>
    </row>
    <row r="4445" spans="1:4" ht="13.5" customHeight="1" x14ac:dyDescent="0.3">
      <c r="A4445" s="46">
        <v>4441</v>
      </c>
      <c r="B4445" s="47">
        <f t="shared" ca="1" si="69"/>
        <v>0.8052074602401631</v>
      </c>
      <c r="C4445" s="48">
        <f t="array" aca="1" ref="C4445" ca="1">MAX(0,ROUND(Inputs!$B$10*Inputs!$B$11+NORMSINV(B4445)*SQRT(Inputs!$B$10*Inputs!$B$11),0))</f>
        <v>519</v>
      </c>
      <c r="D4445" s="49">
        <f ca="1">C4445*Inputs!$B$12</f>
        <v>62280000</v>
      </c>
    </row>
    <row r="4446" spans="1:4" ht="13.5" customHeight="1" x14ac:dyDescent="0.3">
      <c r="A4446" s="50">
        <v>4442</v>
      </c>
      <c r="B4446" s="51">
        <f t="shared" ca="1" si="69"/>
        <v>0.52632286755873803</v>
      </c>
      <c r="C4446" s="48">
        <f t="array" aca="1" ref="C4446" ca="1">MAX(0,ROUND(Inputs!$B$10*Inputs!$B$11+NORMSINV(B4446)*SQRT(Inputs!$B$10*Inputs!$B$11),0))</f>
        <v>501</v>
      </c>
      <c r="D4446" s="52">
        <f ca="1">C4446*Inputs!$B$12</f>
        <v>60120000</v>
      </c>
    </row>
    <row r="4447" spans="1:4" ht="13.5" customHeight="1" x14ac:dyDescent="0.3">
      <c r="A4447" s="46">
        <v>4443</v>
      </c>
      <c r="B4447" s="47">
        <f t="shared" ca="1" si="69"/>
        <v>0.78555529342286823</v>
      </c>
      <c r="C4447" s="48">
        <f t="array" aca="1" ref="C4447" ca="1">MAX(0,ROUND(Inputs!$B$10*Inputs!$B$11+NORMSINV(B4447)*SQRT(Inputs!$B$10*Inputs!$B$11),0))</f>
        <v>518</v>
      </c>
      <c r="D4447" s="49">
        <f ca="1">C4447*Inputs!$B$12</f>
        <v>62160000</v>
      </c>
    </row>
    <row r="4448" spans="1:4" ht="13.5" customHeight="1" x14ac:dyDescent="0.3">
      <c r="A4448" s="50">
        <v>4444</v>
      </c>
      <c r="B4448" s="51">
        <f t="shared" ca="1" si="69"/>
        <v>0.60011724744890038</v>
      </c>
      <c r="C4448" s="48">
        <f t="array" aca="1" ref="C4448" ca="1">MAX(0,ROUND(Inputs!$B$10*Inputs!$B$11+NORMSINV(B4448)*SQRT(Inputs!$B$10*Inputs!$B$11),0))</f>
        <v>506</v>
      </c>
      <c r="D4448" s="52">
        <f ca="1">C4448*Inputs!$B$12</f>
        <v>60720000</v>
      </c>
    </row>
    <row r="4449" spans="1:4" ht="13.5" customHeight="1" x14ac:dyDescent="0.3">
      <c r="A4449" s="46">
        <v>4445</v>
      </c>
      <c r="B4449" s="47">
        <f t="shared" ca="1" si="69"/>
        <v>0.7703212739417683</v>
      </c>
      <c r="C4449" s="48">
        <f t="array" aca="1" ref="C4449" ca="1">MAX(0,ROUND(Inputs!$B$10*Inputs!$B$11+NORMSINV(B4449)*SQRT(Inputs!$B$10*Inputs!$B$11),0))</f>
        <v>517</v>
      </c>
      <c r="D4449" s="49">
        <f ca="1">C4449*Inputs!$B$12</f>
        <v>62040000</v>
      </c>
    </row>
    <row r="4450" spans="1:4" ht="13.5" customHeight="1" x14ac:dyDescent="0.3">
      <c r="A4450" s="50">
        <v>4446</v>
      </c>
      <c r="B4450" s="51">
        <f t="shared" ca="1" si="69"/>
        <v>0.30261994727120611</v>
      </c>
      <c r="C4450" s="48">
        <f t="array" aca="1" ref="C4450" ca="1">MAX(0,ROUND(Inputs!$B$10*Inputs!$B$11+NORMSINV(B4450)*SQRT(Inputs!$B$10*Inputs!$B$11),0))</f>
        <v>488</v>
      </c>
      <c r="D4450" s="52">
        <f ca="1">C4450*Inputs!$B$12</f>
        <v>58560000</v>
      </c>
    </row>
    <row r="4451" spans="1:4" ht="13.5" customHeight="1" x14ac:dyDescent="0.3">
      <c r="A4451" s="46">
        <v>4447</v>
      </c>
      <c r="B4451" s="47">
        <f t="shared" ca="1" si="69"/>
        <v>0.63333567222579934</v>
      </c>
      <c r="C4451" s="48">
        <f t="array" aca="1" ref="C4451" ca="1">MAX(0,ROUND(Inputs!$B$10*Inputs!$B$11+NORMSINV(B4451)*SQRT(Inputs!$B$10*Inputs!$B$11),0))</f>
        <v>508</v>
      </c>
      <c r="D4451" s="49">
        <f ca="1">C4451*Inputs!$B$12</f>
        <v>60960000</v>
      </c>
    </row>
    <row r="4452" spans="1:4" ht="13.5" customHeight="1" x14ac:dyDescent="0.3">
      <c r="A4452" s="50">
        <v>4448</v>
      </c>
      <c r="B4452" s="51">
        <f t="shared" ca="1" si="69"/>
        <v>0.45053892901983683</v>
      </c>
      <c r="C4452" s="48">
        <f t="array" aca="1" ref="C4452" ca="1">MAX(0,ROUND(Inputs!$B$10*Inputs!$B$11+NORMSINV(B4452)*SQRT(Inputs!$B$10*Inputs!$B$11),0))</f>
        <v>497</v>
      </c>
      <c r="D4452" s="52">
        <f ca="1">C4452*Inputs!$B$12</f>
        <v>59640000</v>
      </c>
    </row>
    <row r="4453" spans="1:4" ht="13.5" customHeight="1" x14ac:dyDescent="0.3">
      <c r="A4453" s="46">
        <v>4449</v>
      </c>
      <c r="B4453" s="47">
        <f t="shared" ca="1" si="69"/>
        <v>0.11978486522290821</v>
      </c>
      <c r="C4453" s="48">
        <f t="array" aca="1" ref="C4453" ca="1">MAX(0,ROUND(Inputs!$B$10*Inputs!$B$11+NORMSINV(B4453)*SQRT(Inputs!$B$10*Inputs!$B$11),0))</f>
        <v>474</v>
      </c>
      <c r="D4453" s="49">
        <f ca="1">C4453*Inputs!$B$12</f>
        <v>56880000</v>
      </c>
    </row>
    <row r="4454" spans="1:4" ht="13.5" customHeight="1" x14ac:dyDescent="0.3">
      <c r="A4454" s="50">
        <v>4450</v>
      </c>
      <c r="B4454" s="51">
        <f t="shared" ca="1" si="69"/>
        <v>0.47111972591103357</v>
      </c>
      <c r="C4454" s="48">
        <f t="array" aca="1" ref="C4454" ca="1">MAX(0,ROUND(Inputs!$B$10*Inputs!$B$11+NORMSINV(B4454)*SQRT(Inputs!$B$10*Inputs!$B$11),0))</f>
        <v>498</v>
      </c>
      <c r="D4454" s="52">
        <f ca="1">C4454*Inputs!$B$12</f>
        <v>59760000</v>
      </c>
    </row>
    <row r="4455" spans="1:4" ht="13.5" customHeight="1" x14ac:dyDescent="0.3">
      <c r="A4455" s="46">
        <v>4451</v>
      </c>
      <c r="B4455" s="47">
        <f t="shared" ca="1" si="69"/>
        <v>0.85829280292238841</v>
      </c>
      <c r="C4455" s="48">
        <f t="array" aca="1" ref="C4455" ca="1">MAX(0,ROUND(Inputs!$B$10*Inputs!$B$11+NORMSINV(B4455)*SQRT(Inputs!$B$10*Inputs!$B$11),0))</f>
        <v>524</v>
      </c>
      <c r="D4455" s="49">
        <f ca="1">C4455*Inputs!$B$12</f>
        <v>62880000</v>
      </c>
    </row>
    <row r="4456" spans="1:4" ht="13.5" customHeight="1" x14ac:dyDescent="0.3">
      <c r="A4456" s="50">
        <v>4452</v>
      </c>
      <c r="B4456" s="51">
        <f t="shared" ca="1" si="69"/>
        <v>0.91554655836083754</v>
      </c>
      <c r="C4456" s="48">
        <f t="array" aca="1" ref="C4456" ca="1">MAX(0,ROUND(Inputs!$B$10*Inputs!$B$11+NORMSINV(B4456)*SQRT(Inputs!$B$10*Inputs!$B$11),0))</f>
        <v>531</v>
      </c>
      <c r="D4456" s="52">
        <f ca="1">C4456*Inputs!$B$12</f>
        <v>63720000</v>
      </c>
    </row>
    <row r="4457" spans="1:4" ht="13.5" customHeight="1" x14ac:dyDescent="0.3">
      <c r="A4457" s="46">
        <v>4453</v>
      </c>
      <c r="B4457" s="47">
        <f t="shared" ca="1" si="69"/>
        <v>0.97302853093075881</v>
      </c>
      <c r="C4457" s="48">
        <f t="array" aca="1" ref="C4457" ca="1">MAX(0,ROUND(Inputs!$B$10*Inputs!$B$11+NORMSINV(B4457)*SQRT(Inputs!$B$10*Inputs!$B$11),0))</f>
        <v>543</v>
      </c>
      <c r="D4457" s="49">
        <f ca="1">C4457*Inputs!$B$12</f>
        <v>65160000</v>
      </c>
    </row>
    <row r="4458" spans="1:4" ht="13.5" customHeight="1" x14ac:dyDescent="0.3">
      <c r="A4458" s="50">
        <v>4454</v>
      </c>
      <c r="B4458" s="51">
        <f t="shared" ca="1" si="69"/>
        <v>0.7818615106957425</v>
      </c>
      <c r="C4458" s="48">
        <f t="array" aca="1" ref="C4458" ca="1">MAX(0,ROUND(Inputs!$B$10*Inputs!$B$11+NORMSINV(B4458)*SQRT(Inputs!$B$10*Inputs!$B$11),0))</f>
        <v>517</v>
      </c>
      <c r="D4458" s="52">
        <f ca="1">C4458*Inputs!$B$12</f>
        <v>62040000</v>
      </c>
    </row>
    <row r="4459" spans="1:4" ht="13.5" customHeight="1" x14ac:dyDescent="0.3">
      <c r="A4459" s="46">
        <v>4455</v>
      </c>
      <c r="B4459" s="47">
        <f t="shared" ca="1" si="69"/>
        <v>0.93652761397355822</v>
      </c>
      <c r="C4459" s="48">
        <f t="array" aca="1" ref="C4459" ca="1">MAX(0,ROUND(Inputs!$B$10*Inputs!$B$11+NORMSINV(B4459)*SQRT(Inputs!$B$10*Inputs!$B$11),0))</f>
        <v>534</v>
      </c>
      <c r="D4459" s="49">
        <f ca="1">C4459*Inputs!$B$12</f>
        <v>64080000</v>
      </c>
    </row>
    <row r="4460" spans="1:4" ht="13.5" customHeight="1" x14ac:dyDescent="0.3">
      <c r="A4460" s="50">
        <v>4456</v>
      </c>
      <c r="B4460" s="51">
        <f t="shared" ca="1" si="69"/>
        <v>0.42842333500069651</v>
      </c>
      <c r="C4460" s="48">
        <f t="array" aca="1" ref="C4460" ca="1">MAX(0,ROUND(Inputs!$B$10*Inputs!$B$11+NORMSINV(B4460)*SQRT(Inputs!$B$10*Inputs!$B$11),0))</f>
        <v>496</v>
      </c>
      <c r="D4460" s="52">
        <f ca="1">C4460*Inputs!$B$12</f>
        <v>59520000</v>
      </c>
    </row>
    <row r="4461" spans="1:4" ht="13.5" customHeight="1" x14ac:dyDescent="0.3">
      <c r="A4461" s="46">
        <v>4457</v>
      </c>
      <c r="B4461" s="47">
        <f t="shared" ca="1" si="69"/>
        <v>0.82095568533894803</v>
      </c>
      <c r="C4461" s="48">
        <f t="array" aca="1" ref="C4461" ca="1">MAX(0,ROUND(Inputs!$B$10*Inputs!$B$11+NORMSINV(B4461)*SQRT(Inputs!$B$10*Inputs!$B$11),0))</f>
        <v>521</v>
      </c>
      <c r="D4461" s="49">
        <f ca="1">C4461*Inputs!$B$12</f>
        <v>62520000</v>
      </c>
    </row>
    <row r="4462" spans="1:4" ht="13.5" customHeight="1" x14ac:dyDescent="0.3">
      <c r="A4462" s="50">
        <v>4458</v>
      </c>
      <c r="B4462" s="51">
        <f t="shared" ca="1" si="69"/>
        <v>6.5534227444098425E-2</v>
      </c>
      <c r="C4462" s="48">
        <f t="array" aca="1" ref="C4462" ca="1">MAX(0,ROUND(Inputs!$B$10*Inputs!$B$11+NORMSINV(B4462)*SQRT(Inputs!$B$10*Inputs!$B$11),0))</f>
        <v>466</v>
      </c>
      <c r="D4462" s="52">
        <f ca="1">C4462*Inputs!$B$12</f>
        <v>55920000</v>
      </c>
    </row>
    <row r="4463" spans="1:4" ht="13.5" customHeight="1" x14ac:dyDescent="0.3">
      <c r="A4463" s="46">
        <v>4459</v>
      </c>
      <c r="B4463" s="47">
        <f t="shared" ca="1" si="69"/>
        <v>0.92092680420844908</v>
      </c>
      <c r="C4463" s="48">
        <f t="array" aca="1" ref="C4463" ca="1">MAX(0,ROUND(Inputs!$B$10*Inputs!$B$11+NORMSINV(B4463)*SQRT(Inputs!$B$10*Inputs!$B$11),0))</f>
        <v>532</v>
      </c>
      <c r="D4463" s="49">
        <f ca="1">C4463*Inputs!$B$12</f>
        <v>63840000</v>
      </c>
    </row>
    <row r="4464" spans="1:4" ht="13.5" customHeight="1" x14ac:dyDescent="0.3">
      <c r="A4464" s="50">
        <v>4460</v>
      </c>
      <c r="B4464" s="51">
        <f t="shared" ca="1" si="69"/>
        <v>0.41079581832786294</v>
      </c>
      <c r="C4464" s="48">
        <f t="array" aca="1" ref="C4464" ca="1">MAX(0,ROUND(Inputs!$B$10*Inputs!$B$11+NORMSINV(B4464)*SQRT(Inputs!$B$10*Inputs!$B$11),0))</f>
        <v>495</v>
      </c>
      <c r="D4464" s="52">
        <f ca="1">C4464*Inputs!$B$12</f>
        <v>59400000</v>
      </c>
    </row>
    <row r="4465" spans="1:4" ht="13.5" customHeight="1" x14ac:dyDescent="0.3">
      <c r="A4465" s="46">
        <v>4461</v>
      </c>
      <c r="B4465" s="47">
        <f t="shared" ca="1" si="69"/>
        <v>0.68975815269470009</v>
      </c>
      <c r="C4465" s="48">
        <f t="array" aca="1" ref="C4465" ca="1">MAX(0,ROUND(Inputs!$B$10*Inputs!$B$11+NORMSINV(B4465)*SQRT(Inputs!$B$10*Inputs!$B$11),0))</f>
        <v>511</v>
      </c>
      <c r="D4465" s="49">
        <f ca="1">C4465*Inputs!$B$12</f>
        <v>61320000</v>
      </c>
    </row>
    <row r="4466" spans="1:4" ht="13.5" customHeight="1" x14ac:dyDescent="0.3">
      <c r="A4466" s="50">
        <v>4462</v>
      </c>
      <c r="B4466" s="51">
        <f t="shared" ca="1" si="69"/>
        <v>0.76570227897768839</v>
      </c>
      <c r="C4466" s="48">
        <f t="array" aca="1" ref="C4466" ca="1">MAX(0,ROUND(Inputs!$B$10*Inputs!$B$11+NORMSINV(B4466)*SQRT(Inputs!$B$10*Inputs!$B$11),0))</f>
        <v>516</v>
      </c>
      <c r="D4466" s="52">
        <f ca="1">C4466*Inputs!$B$12</f>
        <v>61920000</v>
      </c>
    </row>
    <row r="4467" spans="1:4" ht="13.5" customHeight="1" x14ac:dyDescent="0.3">
      <c r="A4467" s="46">
        <v>4463</v>
      </c>
      <c r="B4467" s="47">
        <f t="shared" ca="1" si="69"/>
        <v>0.22214351433910473</v>
      </c>
      <c r="C4467" s="48">
        <f t="array" aca="1" ref="C4467" ca="1">MAX(0,ROUND(Inputs!$B$10*Inputs!$B$11+NORMSINV(B4467)*SQRT(Inputs!$B$10*Inputs!$B$11),0))</f>
        <v>483</v>
      </c>
      <c r="D4467" s="49">
        <f ca="1">C4467*Inputs!$B$12</f>
        <v>57960000</v>
      </c>
    </row>
    <row r="4468" spans="1:4" ht="13.5" customHeight="1" x14ac:dyDescent="0.3">
      <c r="A4468" s="50">
        <v>4464</v>
      </c>
      <c r="B4468" s="51">
        <f t="shared" ca="1" si="69"/>
        <v>0.77569905161299768</v>
      </c>
      <c r="C4468" s="48">
        <f t="array" aca="1" ref="C4468" ca="1">MAX(0,ROUND(Inputs!$B$10*Inputs!$B$11+NORMSINV(B4468)*SQRT(Inputs!$B$10*Inputs!$B$11),0))</f>
        <v>517</v>
      </c>
      <c r="D4468" s="52">
        <f ca="1">C4468*Inputs!$B$12</f>
        <v>62040000</v>
      </c>
    </row>
    <row r="4469" spans="1:4" ht="13.5" customHeight="1" x14ac:dyDescent="0.3">
      <c r="A4469" s="46">
        <v>4465</v>
      </c>
      <c r="B4469" s="47">
        <f t="shared" ca="1" si="69"/>
        <v>0.16690634393770465</v>
      </c>
      <c r="C4469" s="48">
        <f t="array" aca="1" ref="C4469" ca="1">MAX(0,ROUND(Inputs!$B$10*Inputs!$B$11+NORMSINV(B4469)*SQRT(Inputs!$B$10*Inputs!$B$11),0))</f>
        <v>478</v>
      </c>
      <c r="D4469" s="49">
        <f ca="1">C4469*Inputs!$B$12</f>
        <v>57360000</v>
      </c>
    </row>
    <row r="4470" spans="1:4" ht="13.5" customHeight="1" x14ac:dyDescent="0.3">
      <c r="A4470" s="50">
        <v>4466</v>
      </c>
      <c r="B4470" s="51">
        <f t="shared" ca="1" si="69"/>
        <v>0.5269728336962155</v>
      </c>
      <c r="C4470" s="48">
        <f t="array" aca="1" ref="C4470" ca="1">MAX(0,ROUND(Inputs!$B$10*Inputs!$B$11+NORMSINV(B4470)*SQRT(Inputs!$B$10*Inputs!$B$11),0))</f>
        <v>502</v>
      </c>
      <c r="D4470" s="52">
        <f ca="1">C4470*Inputs!$B$12</f>
        <v>60240000</v>
      </c>
    </row>
    <row r="4471" spans="1:4" ht="13.5" customHeight="1" x14ac:dyDescent="0.3">
      <c r="A4471" s="46">
        <v>4467</v>
      </c>
      <c r="B4471" s="47">
        <f t="shared" ca="1" si="69"/>
        <v>0.80647293366349637</v>
      </c>
      <c r="C4471" s="48">
        <f t="array" aca="1" ref="C4471" ca="1">MAX(0,ROUND(Inputs!$B$10*Inputs!$B$11+NORMSINV(B4471)*SQRT(Inputs!$B$10*Inputs!$B$11),0))</f>
        <v>519</v>
      </c>
      <c r="D4471" s="49">
        <f ca="1">C4471*Inputs!$B$12</f>
        <v>62280000</v>
      </c>
    </row>
    <row r="4472" spans="1:4" ht="13.5" customHeight="1" x14ac:dyDescent="0.3">
      <c r="A4472" s="50">
        <v>4468</v>
      </c>
      <c r="B4472" s="51">
        <f t="shared" ca="1" si="69"/>
        <v>2.0459320215723165E-2</v>
      </c>
      <c r="C4472" s="48">
        <f t="array" aca="1" ref="C4472" ca="1">MAX(0,ROUND(Inputs!$B$10*Inputs!$B$11+NORMSINV(B4472)*SQRT(Inputs!$B$10*Inputs!$B$11),0))</f>
        <v>454</v>
      </c>
      <c r="D4472" s="52">
        <f ca="1">C4472*Inputs!$B$12</f>
        <v>54480000</v>
      </c>
    </row>
    <row r="4473" spans="1:4" ht="13.5" customHeight="1" x14ac:dyDescent="0.3">
      <c r="A4473" s="46">
        <v>4469</v>
      </c>
      <c r="B4473" s="47">
        <f t="shared" ca="1" si="69"/>
        <v>7.0602659650730315E-3</v>
      </c>
      <c r="C4473" s="48">
        <f t="array" aca="1" ref="C4473" ca="1">MAX(0,ROUND(Inputs!$B$10*Inputs!$B$11+NORMSINV(B4473)*SQRT(Inputs!$B$10*Inputs!$B$11),0))</f>
        <v>445</v>
      </c>
      <c r="D4473" s="49">
        <f ca="1">C4473*Inputs!$B$12</f>
        <v>53400000</v>
      </c>
    </row>
    <row r="4474" spans="1:4" ht="13.5" customHeight="1" x14ac:dyDescent="0.3">
      <c r="A4474" s="50">
        <v>4470</v>
      </c>
      <c r="B4474" s="51">
        <f t="shared" ca="1" si="69"/>
        <v>0.67476905339249005</v>
      </c>
      <c r="C4474" s="48">
        <f t="array" aca="1" ref="C4474" ca="1">MAX(0,ROUND(Inputs!$B$10*Inputs!$B$11+NORMSINV(B4474)*SQRT(Inputs!$B$10*Inputs!$B$11),0))</f>
        <v>510</v>
      </c>
      <c r="D4474" s="52">
        <f ca="1">C4474*Inputs!$B$12</f>
        <v>61200000</v>
      </c>
    </row>
    <row r="4475" spans="1:4" ht="13.5" customHeight="1" x14ac:dyDescent="0.3">
      <c r="A4475" s="46">
        <v>4471</v>
      </c>
      <c r="B4475" s="47">
        <f t="shared" ca="1" si="69"/>
        <v>0.94241333000652172</v>
      </c>
      <c r="C4475" s="48">
        <f t="array" aca="1" ref="C4475" ca="1">MAX(0,ROUND(Inputs!$B$10*Inputs!$B$11+NORMSINV(B4475)*SQRT(Inputs!$B$10*Inputs!$B$11),0))</f>
        <v>535</v>
      </c>
      <c r="D4475" s="49">
        <f ca="1">C4475*Inputs!$B$12</f>
        <v>64200000</v>
      </c>
    </row>
    <row r="4476" spans="1:4" ht="13.5" customHeight="1" x14ac:dyDescent="0.3">
      <c r="A4476" s="50">
        <v>4472</v>
      </c>
      <c r="B4476" s="51">
        <f t="shared" ca="1" si="69"/>
        <v>0.27841141484191756</v>
      </c>
      <c r="C4476" s="48">
        <f t="array" aca="1" ref="C4476" ca="1">MAX(0,ROUND(Inputs!$B$10*Inputs!$B$11+NORMSINV(B4476)*SQRT(Inputs!$B$10*Inputs!$B$11),0))</f>
        <v>487</v>
      </c>
      <c r="D4476" s="52">
        <f ca="1">C4476*Inputs!$B$12</f>
        <v>58440000</v>
      </c>
    </row>
    <row r="4477" spans="1:4" ht="13.5" customHeight="1" x14ac:dyDescent="0.3">
      <c r="A4477" s="46">
        <v>4473</v>
      </c>
      <c r="B4477" s="47">
        <f t="shared" ca="1" si="69"/>
        <v>0.62431093013885419</v>
      </c>
      <c r="C4477" s="48">
        <f t="array" aca="1" ref="C4477" ca="1">MAX(0,ROUND(Inputs!$B$10*Inputs!$B$11+NORMSINV(B4477)*SQRT(Inputs!$B$10*Inputs!$B$11),0))</f>
        <v>507</v>
      </c>
      <c r="D4477" s="49">
        <f ca="1">C4477*Inputs!$B$12</f>
        <v>60840000</v>
      </c>
    </row>
    <row r="4478" spans="1:4" ht="13.5" customHeight="1" x14ac:dyDescent="0.3">
      <c r="A4478" s="50">
        <v>4474</v>
      </c>
      <c r="B4478" s="51">
        <f t="shared" ca="1" si="69"/>
        <v>0.97050355623473983</v>
      </c>
      <c r="C4478" s="48">
        <f t="array" aca="1" ref="C4478" ca="1">MAX(0,ROUND(Inputs!$B$10*Inputs!$B$11+NORMSINV(B4478)*SQRT(Inputs!$B$10*Inputs!$B$11),0))</f>
        <v>542</v>
      </c>
      <c r="D4478" s="52">
        <f ca="1">C4478*Inputs!$B$12</f>
        <v>65040000</v>
      </c>
    </row>
    <row r="4479" spans="1:4" ht="13.5" customHeight="1" x14ac:dyDescent="0.3">
      <c r="A4479" s="46">
        <v>4475</v>
      </c>
      <c r="B4479" s="47">
        <f t="shared" ca="1" si="69"/>
        <v>0.93402645571459997</v>
      </c>
      <c r="C4479" s="48">
        <f t="array" aca="1" ref="C4479" ca="1">MAX(0,ROUND(Inputs!$B$10*Inputs!$B$11+NORMSINV(B4479)*SQRT(Inputs!$B$10*Inputs!$B$11),0))</f>
        <v>534</v>
      </c>
      <c r="D4479" s="49">
        <f ca="1">C4479*Inputs!$B$12</f>
        <v>64080000</v>
      </c>
    </row>
    <row r="4480" spans="1:4" ht="13.5" customHeight="1" x14ac:dyDescent="0.3">
      <c r="A4480" s="50">
        <v>4476</v>
      </c>
      <c r="B4480" s="51">
        <f t="shared" ca="1" si="69"/>
        <v>0.77880177143188922</v>
      </c>
      <c r="C4480" s="48">
        <f t="array" aca="1" ref="C4480" ca="1">MAX(0,ROUND(Inputs!$B$10*Inputs!$B$11+NORMSINV(B4480)*SQRT(Inputs!$B$10*Inputs!$B$11),0))</f>
        <v>517</v>
      </c>
      <c r="D4480" s="52">
        <f ca="1">C4480*Inputs!$B$12</f>
        <v>62040000</v>
      </c>
    </row>
    <row r="4481" spans="1:4" ht="13.5" customHeight="1" x14ac:dyDescent="0.3">
      <c r="A4481" s="46">
        <v>4477</v>
      </c>
      <c r="B4481" s="47">
        <f t="shared" ca="1" si="69"/>
        <v>0.57832403714988556</v>
      </c>
      <c r="C4481" s="48">
        <f t="array" aca="1" ref="C4481" ca="1">MAX(0,ROUND(Inputs!$B$10*Inputs!$B$11+NORMSINV(B4481)*SQRT(Inputs!$B$10*Inputs!$B$11),0))</f>
        <v>504</v>
      </c>
      <c r="D4481" s="49">
        <f ca="1">C4481*Inputs!$B$12</f>
        <v>60480000</v>
      </c>
    </row>
    <row r="4482" spans="1:4" ht="13.5" customHeight="1" x14ac:dyDescent="0.3">
      <c r="A4482" s="50">
        <v>4478</v>
      </c>
      <c r="B4482" s="51">
        <f t="shared" ca="1" si="69"/>
        <v>9.7824173810567849E-3</v>
      </c>
      <c r="C4482" s="48">
        <f t="array" aca="1" ref="C4482" ca="1">MAX(0,ROUND(Inputs!$B$10*Inputs!$B$11+NORMSINV(B4482)*SQRT(Inputs!$B$10*Inputs!$B$11),0))</f>
        <v>448</v>
      </c>
      <c r="D4482" s="52">
        <f ca="1">C4482*Inputs!$B$12</f>
        <v>53760000</v>
      </c>
    </row>
    <row r="4483" spans="1:4" ht="13.5" customHeight="1" x14ac:dyDescent="0.3">
      <c r="A4483" s="46">
        <v>4479</v>
      </c>
      <c r="B4483" s="47">
        <f t="shared" ca="1" si="69"/>
        <v>0.38016032770457908</v>
      </c>
      <c r="C4483" s="48">
        <f t="array" aca="1" ref="C4483" ca="1">MAX(0,ROUND(Inputs!$B$10*Inputs!$B$11+NORMSINV(B4483)*SQRT(Inputs!$B$10*Inputs!$B$11),0))</f>
        <v>493</v>
      </c>
      <c r="D4483" s="49">
        <f ca="1">C4483*Inputs!$B$12</f>
        <v>59160000</v>
      </c>
    </row>
    <row r="4484" spans="1:4" ht="13.5" customHeight="1" x14ac:dyDescent="0.3">
      <c r="A4484" s="50">
        <v>4480</v>
      </c>
      <c r="B4484" s="51">
        <f t="shared" ca="1" si="69"/>
        <v>0.78033468533224615</v>
      </c>
      <c r="C4484" s="48">
        <f t="array" aca="1" ref="C4484" ca="1">MAX(0,ROUND(Inputs!$B$10*Inputs!$B$11+NORMSINV(B4484)*SQRT(Inputs!$B$10*Inputs!$B$11),0))</f>
        <v>517</v>
      </c>
      <c r="D4484" s="52">
        <f ca="1">C4484*Inputs!$B$12</f>
        <v>62040000</v>
      </c>
    </row>
    <row r="4485" spans="1:4" ht="13.5" customHeight="1" x14ac:dyDescent="0.3">
      <c r="A4485" s="46">
        <v>4481</v>
      </c>
      <c r="B4485" s="47">
        <f t="shared" ref="B4485:B4548" ca="1" si="70">RAND()</f>
        <v>0.96555109617949519</v>
      </c>
      <c r="C4485" s="48">
        <f t="array" aca="1" ref="C4485" ca="1">MAX(0,ROUND(Inputs!$B$10*Inputs!$B$11+NORMSINV(B4485)*SQRT(Inputs!$B$10*Inputs!$B$11),0))</f>
        <v>541</v>
      </c>
      <c r="D4485" s="49">
        <f ca="1">C4485*Inputs!$B$12</f>
        <v>64920000</v>
      </c>
    </row>
    <row r="4486" spans="1:4" ht="13.5" customHeight="1" x14ac:dyDescent="0.3">
      <c r="A4486" s="50">
        <v>4482</v>
      </c>
      <c r="B4486" s="51">
        <f t="shared" ca="1" si="70"/>
        <v>0.38033361355145778</v>
      </c>
      <c r="C4486" s="48">
        <f t="array" aca="1" ref="C4486" ca="1">MAX(0,ROUND(Inputs!$B$10*Inputs!$B$11+NORMSINV(B4486)*SQRT(Inputs!$B$10*Inputs!$B$11),0))</f>
        <v>493</v>
      </c>
      <c r="D4486" s="52">
        <f ca="1">C4486*Inputs!$B$12</f>
        <v>59160000</v>
      </c>
    </row>
    <row r="4487" spans="1:4" ht="13.5" customHeight="1" x14ac:dyDescent="0.3">
      <c r="A4487" s="46">
        <v>4483</v>
      </c>
      <c r="B4487" s="47">
        <f t="shared" ca="1" si="70"/>
        <v>0.79767355063665657</v>
      </c>
      <c r="C4487" s="48">
        <f t="array" aca="1" ref="C4487" ca="1">MAX(0,ROUND(Inputs!$B$10*Inputs!$B$11+NORMSINV(B4487)*SQRT(Inputs!$B$10*Inputs!$B$11),0))</f>
        <v>519</v>
      </c>
      <c r="D4487" s="49">
        <f ca="1">C4487*Inputs!$B$12</f>
        <v>62280000</v>
      </c>
    </row>
    <row r="4488" spans="1:4" ht="13.5" customHeight="1" x14ac:dyDescent="0.3">
      <c r="A4488" s="50">
        <v>4484</v>
      </c>
      <c r="B4488" s="51">
        <f t="shared" ca="1" si="70"/>
        <v>0.80148724490883372</v>
      </c>
      <c r="C4488" s="48">
        <f t="array" aca="1" ref="C4488" ca="1">MAX(0,ROUND(Inputs!$B$10*Inputs!$B$11+NORMSINV(B4488)*SQRT(Inputs!$B$10*Inputs!$B$11),0))</f>
        <v>519</v>
      </c>
      <c r="D4488" s="52">
        <f ca="1">C4488*Inputs!$B$12</f>
        <v>62280000</v>
      </c>
    </row>
    <row r="4489" spans="1:4" ht="13.5" customHeight="1" x14ac:dyDescent="0.3">
      <c r="A4489" s="46">
        <v>4485</v>
      </c>
      <c r="B4489" s="47">
        <f t="shared" ca="1" si="70"/>
        <v>0.20625704444404058</v>
      </c>
      <c r="C4489" s="48">
        <f t="array" aca="1" ref="C4489" ca="1">MAX(0,ROUND(Inputs!$B$10*Inputs!$B$11+NORMSINV(B4489)*SQRT(Inputs!$B$10*Inputs!$B$11),0))</f>
        <v>482</v>
      </c>
      <c r="D4489" s="49">
        <f ca="1">C4489*Inputs!$B$12</f>
        <v>57840000</v>
      </c>
    </row>
    <row r="4490" spans="1:4" ht="13.5" customHeight="1" x14ac:dyDescent="0.3">
      <c r="A4490" s="50">
        <v>4486</v>
      </c>
      <c r="B4490" s="51">
        <f t="shared" ca="1" si="70"/>
        <v>0.47100740089393878</v>
      </c>
      <c r="C4490" s="48">
        <f t="array" aca="1" ref="C4490" ca="1">MAX(0,ROUND(Inputs!$B$10*Inputs!$B$11+NORMSINV(B4490)*SQRT(Inputs!$B$10*Inputs!$B$11),0))</f>
        <v>498</v>
      </c>
      <c r="D4490" s="52">
        <f ca="1">C4490*Inputs!$B$12</f>
        <v>59760000</v>
      </c>
    </row>
    <row r="4491" spans="1:4" ht="13.5" customHeight="1" x14ac:dyDescent="0.3">
      <c r="A4491" s="46">
        <v>4487</v>
      </c>
      <c r="B4491" s="47">
        <f t="shared" ca="1" si="70"/>
        <v>0.53840843811468508</v>
      </c>
      <c r="C4491" s="48">
        <f t="array" aca="1" ref="C4491" ca="1">MAX(0,ROUND(Inputs!$B$10*Inputs!$B$11+NORMSINV(B4491)*SQRT(Inputs!$B$10*Inputs!$B$11),0))</f>
        <v>502</v>
      </c>
      <c r="D4491" s="49">
        <f ca="1">C4491*Inputs!$B$12</f>
        <v>60240000</v>
      </c>
    </row>
    <row r="4492" spans="1:4" ht="13.5" customHeight="1" x14ac:dyDescent="0.3">
      <c r="A4492" s="50">
        <v>4488</v>
      </c>
      <c r="B4492" s="51">
        <f t="shared" ca="1" si="70"/>
        <v>0.63335641907369244</v>
      </c>
      <c r="C4492" s="48">
        <f t="array" aca="1" ref="C4492" ca="1">MAX(0,ROUND(Inputs!$B$10*Inputs!$B$11+NORMSINV(B4492)*SQRT(Inputs!$B$10*Inputs!$B$11),0))</f>
        <v>508</v>
      </c>
      <c r="D4492" s="52">
        <f ca="1">C4492*Inputs!$B$12</f>
        <v>60960000</v>
      </c>
    </row>
    <row r="4493" spans="1:4" ht="13.5" customHeight="1" x14ac:dyDescent="0.3">
      <c r="A4493" s="46">
        <v>4489</v>
      </c>
      <c r="B4493" s="47">
        <f t="shared" ca="1" si="70"/>
        <v>0.53337450502108497</v>
      </c>
      <c r="C4493" s="48">
        <f t="array" aca="1" ref="C4493" ca="1">MAX(0,ROUND(Inputs!$B$10*Inputs!$B$11+NORMSINV(B4493)*SQRT(Inputs!$B$10*Inputs!$B$11),0))</f>
        <v>502</v>
      </c>
      <c r="D4493" s="49">
        <f ca="1">C4493*Inputs!$B$12</f>
        <v>60240000</v>
      </c>
    </row>
    <row r="4494" spans="1:4" ht="13.5" customHeight="1" x14ac:dyDescent="0.3">
      <c r="A4494" s="50">
        <v>4490</v>
      </c>
      <c r="B4494" s="51">
        <f t="shared" ca="1" si="70"/>
        <v>0.93864276608842701</v>
      </c>
      <c r="C4494" s="48">
        <f t="array" aca="1" ref="C4494" ca="1">MAX(0,ROUND(Inputs!$B$10*Inputs!$B$11+NORMSINV(B4494)*SQRT(Inputs!$B$10*Inputs!$B$11),0))</f>
        <v>535</v>
      </c>
      <c r="D4494" s="52">
        <f ca="1">C4494*Inputs!$B$12</f>
        <v>64200000</v>
      </c>
    </row>
    <row r="4495" spans="1:4" ht="13.5" customHeight="1" x14ac:dyDescent="0.3">
      <c r="A4495" s="46">
        <v>4491</v>
      </c>
      <c r="B4495" s="47">
        <f t="shared" ca="1" si="70"/>
        <v>0.97740372198117331</v>
      </c>
      <c r="C4495" s="48">
        <f t="array" aca="1" ref="C4495" ca="1">MAX(0,ROUND(Inputs!$B$10*Inputs!$B$11+NORMSINV(B4495)*SQRT(Inputs!$B$10*Inputs!$B$11),0))</f>
        <v>545</v>
      </c>
      <c r="D4495" s="49">
        <f ca="1">C4495*Inputs!$B$12</f>
        <v>65400000</v>
      </c>
    </row>
    <row r="4496" spans="1:4" ht="13.5" customHeight="1" x14ac:dyDescent="0.3">
      <c r="A4496" s="50">
        <v>4492</v>
      </c>
      <c r="B4496" s="51">
        <f t="shared" ca="1" si="70"/>
        <v>0.71162321283735797</v>
      </c>
      <c r="C4496" s="48">
        <f t="array" aca="1" ref="C4496" ca="1">MAX(0,ROUND(Inputs!$B$10*Inputs!$B$11+NORMSINV(B4496)*SQRT(Inputs!$B$10*Inputs!$B$11),0))</f>
        <v>512</v>
      </c>
      <c r="D4496" s="52">
        <f ca="1">C4496*Inputs!$B$12</f>
        <v>61440000</v>
      </c>
    </row>
    <row r="4497" spans="1:4" ht="13.5" customHeight="1" x14ac:dyDescent="0.3">
      <c r="A4497" s="46">
        <v>4493</v>
      </c>
      <c r="B4497" s="47">
        <f t="shared" ca="1" si="70"/>
        <v>0.17642027240517677</v>
      </c>
      <c r="C4497" s="48">
        <f t="array" aca="1" ref="C4497" ca="1">MAX(0,ROUND(Inputs!$B$10*Inputs!$B$11+NORMSINV(B4497)*SQRT(Inputs!$B$10*Inputs!$B$11),0))</f>
        <v>479</v>
      </c>
      <c r="D4497" s="49">
        <f ca="1">C4497*Inputs!$B$12</f>
        <v>57480000</v>
      </c>
    </row>
    <row r="4498" spans="1:4" ht="13.5" customHeight="1" x14ac:dyDescent="0.3">
      <c r="A4498" s="50">
        <v>4494</v>
      </c>
      <c r="B4498" s="51">
        <f t="shared" ca="1" si="70"/>
        <v>9.9362987723263796E-2</v>
      </c>
      <c r="C4498" s="48">
        <f t="array" aca="1" ref="C4498" ca="1">MAX(0,ROUND(Inputs!$B$10*Inputs!$B$11+NORMSINV(B4498)*SQRT(Inputs!$B$10*Inputs!$B$11),0))</f>
        <v>471</v>
      </c>
      <c r="D4498" s="52">
        <f ca="1">C4498*Inputs!$B$12</f>
        <v>56520000</v>
      </c>
    </row>
    <row r="4499" spans="1:4" ht="13.5" customHeight="1" x14ac:dyDescent="0.3">
      <c r="A4499" s="46">
        <v>4495</v>
      </c>
      <c r="B4499" s="47">
        <f t="shared" ca="1" si="70"/>
        <v>0.90104951521733367</v>
      </c>
      <c r="C4499" s="48">
        <f t="array" aca="1" ref="C4499" ca="1">MAX(0,ROUND(Inputs!$B$10*Inputs!$B$11+NORMSINV(B4499)*SQRT(Inputs!$B$10*Inputs!$B$11),0))</f>
        <v>529</v>
      </c>
      <c r="D4499" s="49">
        <f ca="1">C4499*Inputs!$B$12</f>
        <v>63480000</v>
      </c>
    </row>
    <row r="4500" spans="1:4" ht="13.5" customHeight="1" x14ac:dyDescent="0.3">
      <c r="A4500" s="50">
        <v>4496</v>
      </c>
      <c r="B4500" s="51">
        <f t="shared" ca="1" si="70"/>
        <v>0.16974599803689849</v>
      </c>
      <c r="C4500" s="48">
        <f t="array" aca="1" ref="C4500" ca="1">MAX(0,ROUND(Inputs!$B$10*Inputs!$B$11+NORMSINV(B4500)*SQRT(Inputs!$B$10*Inputs!$B$11),0))</f>
        <v>479</v>
      </c>
      <c r="D4500" s="52">
        <f ca="1">C4500*Inputs!$B$12</f>
        <v>57480000</v>
      </c>
    </row>
    <row r="4501" spans="1:4" ht="13.5" customHeight="1" x14ac:dyDescent="0.3">
      <c r="A4501" s="46">
        <v>4497</v>
      </c>
      <c r="B4501" s="47">
        <f t="shared" ca="1" si="70"/>
        <v>0.99468473739767171</v>
      </c>
      <c r="C4501" s="48">
        <f t="array" aca="1" ref="C4501" ca="1">MAX(0,ROUND(Inputs!$B$10*Inputs!$B$11+NORMSINV(B4501)*SQRT(Inputs!$B$10*Inputs!$B$11),0))</f>
        <v>557</v>
      </c>
      <c r="D4501" s="49">
        <f ca="1">C4501*Inputs!$B$12</f>
        <v>66840000</v>
      </c>
    </row>
    <row r="4502" spans="1:4" ht="13.5" customHeight="1" x14ac:dyDescent="0.3">
      <c r="A4502" s="50">
        <v>4498</v>
      </c>
      <c r="B4502" s="51">
        <f t="shared" ca="1" si="70"/>
        <v>0.23311159987426755</v>
      </c>
      <c r="C4502" s="48">
        <f t="array" aca="1" ref="C4502" ca="1">MAX(0,ROUND(Inputs!$B$10*Inputs!$B$11+NORMSINV(B4502)*SQRT(Inputs!$B$10*Inputs!$B$11),0))</f>
        <v>484</v>
      </c>
      <c r="D4502" s="52">
        <f ca="1">C4502*Inputs!$B$12</f>
        <v>58080000</v>
      </c>
    </row>
    <row r="4503" spans="1:4" ht="13.5" customHeight="1" x14ac:dyDescent="0.3">
      <c r="A4503" s="46">
        <v>4499</v>
      </c>
      <c r="B4503" s="47">
        <f t="shared" ca="1" si="70"/>
        <v>0.75711763937740684</v>
      </c>
      <c r="C4503" s="48">
        <f t="array" aca="1" ref="C4503" ca="1">MAX(0,ROUND(Inputs!$B$10*Inputs!$B$11+NORMSINV(B4503)*SQRT(Inputs!$B$10*Inputs!$B$11),0))</f>
        <v>516</v>
      </c>
      <c r="D4503" s="49">
        <f ca="1">C4503*Inputs!$B$12</f>
        <v>61920000</v>
      </c>
    </row>
    <row r="4504" spans="1:4" ht="13.5" customHeight="1" x14ac:dyDescent="0.3">
      <c r="A4504" s="50">
        <v>4500</v>
      </c>
      <c r="B4504" s="51">
        <f t="shared" ca="1" si="70"/>
        <v>0.74350086406523452</v>
      </c>
      <c r="C4504" s="48">
        <f t="array" aca="1" ref="C4504" ca="1">MAX(0,ROUND(Inputs!$B$10*Inputs!$B$11+NORMSINV(B4504)*SQRT(Inputs!$B$10*Inputs!$B$11),0))</f>
        <v>515</v>
      </c>
      <c r="D4504" s="52">
        <f ca="1">C4504*Inputs!$B$12</f>
        <v>61800000</v>
      </c>
    </row>
    <row r="4505" spans="1:4" ht="13.5" customHeight="1" x14ac:dyDescent="0.3">
      <c r="A4505" s="46">
        <v>4501</v>
      </c>
      <c r="B4505" s="47">
        <f t="shared" ca="1" si="70"/>
        <v>9.5443859496016414E-2</v>
      </c>
      <c r="C4505" s="48">
        <f t="array" aca="1" ref="C4505" ca="1">MAX(0,ROUND(Inputs!$B$10*Inputs!$B$11+NORMSINV(B4505)*SQRT(Inputs!$B$10*Inputs!$B$11),0))</f>
        <v>471</v>
      </c>
      <c r="D4505" s="49">
        <f ca="1">C4505*Inputs!$B$12</f>
        <v>56520000</v>
      </c>
    </row>
    <row r="4506" spans="1:4" ht="13.5" customHeight="1" x14ac:dyDescent="0.3">
      <c r="A4506" s="50">
        <v>4502</v>
      </c>
      <c r="B4506" s="51">
        <f t="shared" ca="1" si="70"/>
        <v>0.3809118323196129</v>
      </c>
      <c r="C4506" s="48">
        <f t="array" aca="1" ref="C4506" ca="1">MAX(0,ROUND(Inputs!$B$10*Inputs!$B$11+NORMSINV(B4506)*SQRT(Inputs!$B$10*Inputs!$B$11),0))</f>
        <v>493</v>
      </c>
      <c r="D4506" s="52">
        <f ca="1">C4506*Inputs!$B$12</f>
        <v>59160000</v>
      </c>
    </row>
    <row r="4507" spans="1:4" ht="13.5" customHeight="1" x14ac:dyDescent="0.3">
      <c r="A4507" s="46">
        <v>4503</v>
      </c>
      <c r="B4507" s="47">
        <f t="shared" ca="1" si="70"/>
        <v>0.33811406983242043</v>
      </c>
      <c r="C4507" s="48">
        <f t="array" aca="1" ref="C4507" ca="1">MAX(0,ROUND(Inputs!$B$10*Inputs!$B$11+NORMSINV(B4507)*SQRT(Inputs!$B$10*Inputs!$B$11),0))</f>
        <v>491</v>
      </c>
      <c r="D4507" s="49">
        <f ca="1">C4507*Inputs!$B$12</f>
        <v>58920000</v>
      </c>
    </row>
    <row r="4508" spans="1:4" ht="13.5" customHeight="1" x14ac:dyDescent="0.3">
      <c r="A4508" s="50">
        <v>4504</v>
      </c>
      <c r="B4508" s="51">
        <f t="shared" ca="1" si="70"/>
        <v>0.16087665504887527</v>
      </c>
      <c r="C4508" s="48">
        <f t="array" aca="1" ref="C4508" ca="1">MAX(0,ROUND(Inputs!$B$10*Inputs!$B$11+NORMSINV(B4508)*SQRT(Inputs!$B$10*Inputs!$B$11),0))</f>
        <v>478</v>
      </c>
      <c r="D4508" s="52">
        <f ca="1">C4508*Inputs!$B$12</f>
        <v>57360000</v>
      </c>
    </row>
    <row r="4509" spans="1:4" ht="13.5" customHeight="1" x14ac:dyDescent="0.3">
      <c r="A4509" s="46">
        <v>4505</v>
      </c>
      <c r="B4509" s="47">
        <f t="shared" ca="1" si="70"/>
        <v>0.75781595596543583</v>
      </c>
      <c r="C4509" s="48">
        <f t="array" aca="1" ref="C4509" ca="1">MAX(0,ROUND(Inputs!$B$10*Inputs!$B$11+NORMSINV(B4509)*SQRT(Inputs!$B$10*Inputs!$B$11),0))</f>
        <v>516</v>
      </c>
      <c r="D4509" s="49">
        <f ca="1">C4509*Inputs!$B$12</f>
        <v>61920000</v>
      </c>
    </row>
    <row r="4510" spans="1:4" ht="13.5" customHeight="1" x14ac:dyDescent="0.3">
      <c r="A4510" s="50">
        <v>4506</v>
      </c>
      <c r="B4510" s="51">
        <f t="shared" ca="1" si="70"/>
        <v>0.59686594904409151</v>
      </c>
      <c r="C4510" s="48">
        <f t="array" aca="1" ref="C4510" ca="1">MAX(0,ROUND(Inputs!$B$10*Inputs!$B$11+NORMSINV(B4510)*SQRT(Inputs!$B$10*Inputs!$B$11),0))</f>
        <v>505</v>
      </c>
      <c r="D4510" s="52">
        <f ca="1">C4510*Inputs!$B$12</f>
        <v>60600000</v>
      </c>
    </row>
    <row r="4511" spans="1:4" ht="13.5" customHeight="1" x14ac:dyDescent="0.3">
      <c r="A4511" s="46">
        <v>4507</v>
      </c>
      <c r="B4511" s="47">
        <f t="shared" ca="1" si="70"/>
        <v>0.49513352856704151</v>
      </c>
      <c r="C4511" s="48">
        <f t="array" aca="1" ref="C4511" ca="1">MAX(0,ROUND(Inputs!$B$10*Inputs!$B$11+NORMSINV(B4511)*SQRT(Inputs!$B$10*Inputs!$B$11),0))</f>
        <v>500</v>
      </c>
      <c r="D4511" s="49">
        <f ca="1">C4511*Inputs!$B$12</f>
        <v>60000000</v>
      </c>
    </row>
    <row r="4512" spans="1:4" ht="13.5" customHeight="1" x14ac:dyDescent="0.3">
      <c r="A4512" s="50">
        <v>4508</v>
      </c>
      <c r="B4512" s="51">
        <f t="shared" ca="1" si="70"/>
        <v>0.22426969719840839</v>
      </c>
      <c r="C4512" s="48">
        <f t="array" aca="1" ref="C4512" ca="1">MAX(0,ROUND(Inputs!$B$10*Inputs!$B$11+NORMSINV(B4512)*SQRT(Inputs!$B$10*Inputs!$B$11),0))</f>
        <v>483</v>
      </c>
      <c r="D4512" s="52">
        <f ca="1">C4512*Inputs!$B$12</f>
        <v>57960000</v>
      </c>
    </row>
    <row r="4513" spans="1:4" ht="13.5" customHeight="1" x14ac:dyDescent="0.3">
      <c r="A4513" s="46">
        <v>4509</v>
      </c>
      <c r="B4513" s="47">
        <f t="shared" ca="1" si="70"/>
        <v>3.925659503038359E-3</v>
      </c>
      <c r="C4513" s="48">
        <f t="array" aca="1" ref="C4513" ca="1">MAX(0,ROUND(Inputs!$B$10*Inputs!$B$11+NORMSINV(B4513)*SQRT(Inputs!$B$10*Inputs!$B$11),0))</f>
        <v>441</v>
      </c>
      <c r="D4513" s="49">
        <f ca="1">C4513*Inputs!$B$12</f>
        <v>52920000</v>
      </c>
    </row>
    <row r="4514" spans="1:4" ht="13.5" customHeight="1" x14ac:dyDescent="0.3">
      <c r="A4514" s="50">
        <v>4510</v>
      </c>
      <c r="B4514" s="51">
        <f t="shared" ca="1" si="70"/>
        <v>0.80875794857913108</v>
      </c>
      <c r="C4514" s="48">
        <f t="array" aca="1" ref="C4514" ca="1">MAX(0,ROUND(Inputs!$B$10*Inputs!$B$11+NORMSINV(B4514)*SQRT(Inputs!$B$10*Inputs!$B$11),0))</f>
        <v>520</v>
      </c>
      <c r="D4514" s="52">
        <f ca="1">C4514*Inputs!$B$12</f>
        <v>62400000</v>
      </c>
    </row>
    <row r="4515" spans="1:4" ht="13.5" customHeight="1" x14ac:dyDescent="0.3">
      <c r="A4515" s="46">
        <v>4511</v>
      </c>
      <c r="B4515" s="47">
        <f t="shared" ca="1" si="70"/>
        <v>0.51007724274253885</v>
      </c>
      <c r="C4515" s="48">
        <f t="array" aca="1" ref="C4515" ca="1">MAX(0,ROUND(Inputs!$B$10*Inputs!$B$11+NORMSINV(B4515)*SQRT(Inputs!$B$10*Inputs!$B$11),0))</f>
        <v>501</v>
      </c>
      <c r="D4515" s="49">
        <f ca="1">C4515*Inputs!$B$12</f>
        <v>60120000</v>
      </c>
    </row>
    <row r="4516" spans="1:4" ht="13.5" customHeight="1" x14ac:dyDescent="0.3">
      <c r="A4516" s="50">
        <v>4512</v>
      </c>
      <c r="B4516" s="51">
        <f t="shared" ca="1" si="70"/>
        <v>0.37415653813786376</v>
      </c>
      <c r="C4516" s="48">
        <f t="array" aca="1" ref="C4516" ca="1">MAX(0,ROUND(Inputs!$B$10*Inputs!$B$11+NORMSINV(B4516)*SQRT(Inputs!$B$10*Inputs!$B$11),0))</f>
        <v>493</v>
      </c>
      <c r="D4516" s="52">
        <f ca="1">C4516*Inputs!$B$12</f>
        <v>59160000</v>
      </c>
    </row>
    <row r="4517" spans="1:4" ht="13.5" customHeight="1" x14ac:dyDescent="0.3">
      <c r="A4517" s="46">
        <v>4513</v>
      </c>
      <c r="B4517" s="47">
        <f t="shared" ca="1" si="70"/>
        <v>0.64009843793279608</v>
      </c>
      <c r="C4517" s="48">
        <f t="array" aca="1" ref="C4517" ca="1">MAX(0,ROUND(Inputs!$B$10*Inputs!$B$11+NORMSINV(B4517)*SQRT(Inputs!$B$10*Inputs!$B$11),0))</f>
        <v>508</v>
      </c>
      <c r="D4517" s="49">
        <f ca="1">C4517*Inputs!$B$12</f>
        <v>60960000</v>
      </c>
    </row>
    <row r="4518" spans="1:4" ht="13.5" customHeight="1" x14ac:dyDescent="0.3">
      <c r="A4518" s="50">
        <v>4514</v>
      </c>
      <c r="B4518" s="51">
        <f t="shared" ca="1" si="70"/>
        <v>0.20078605048275033</v>
      </c>
      <c r="C4518" s="48">
        <f t="array" aca="1" ref="C4518" ca="1">MAX(0,ROUND(Inputs!$B$10*Inputs!$B$11+NORMSINV(B4518)*SQRT(Inputs!$B$10*Inputs!$B$11),0))</f>
        <v>481</v>
      </c>
      <c r="D4518" s="52">
        <f ca="1">C4518*Inputs!$B$12</f>
        <v>57720000</v>
      </c>
    </row>
    <row r="4519" spans="1:4" ht="13.5" customHeight="1" x14ac:dyDescent="0.3">
      <c r="A4519" s="46">
        <v>4515</v>
      </c>
      <c r="B4519" s="47">
        <f t="shared" ca="1" si="70"/>
        <v>0.83524140527704283</v>
      </c>
      <c r="C4519" s="48">
        <f t="array" aca="1" ref="C4519" ca="1">MAX(0,ROUND(Inputs!$B$10*Inputs!$B$11+NORMSINV(B4519)*SQRT(Inputs!$B$10*Inputs!$B$11),0))</f>
        <v>522</v>
      </c>
      <c r="D4519" s="49">
        <f ca="1">C4519*Inputs!$B$12</f>
        <v>62640000</v>
      </c>
    </row>
    <row r="4520" spans="1:4" ht="13.5" customHeight="1" x14ac:dyDescent="0.3">
      <c r="A4520" s="50">
        <v>4516</v>
      </c>
      <c r="B4520" s="51">
        <f t="shared" ca="1" si="70"/>
        <v>0.37435325305790912</v>
      </c>
      <c r="C4520" s="48">
        <f t="array" aca="1" ref="C4520" ca="1">MAX(0,ROUND(Inputs!$B$10*Inputs!$B$11+NORMSINV(B4520)*SQRT(Inputs!$B$10*Inputs!$B$11),0))</f>
        <v>493</v>
      </c>
      <c r="D4520" s="52">
        <f ca="1">C4520*Inputs!$B$12</f>
        <v>59160000</v>
      </c>
    </row>
    <row r="4521" spans="1:4" ht="13.5" customHeight="1" x14ac:dyDescent="0.3">
      <c r="A4521" s="46">
        <v>4517</v>
      </c>
      <c r="B4521" s="47">
        <f t="shared" ca="1" si="70"/>
        <v>0.29829309326009179</v>
      </c>
      <c r="C4521" s="48">
        <f t="array" aca="1" ref="C4521" ca="1">MAX(0,ROUND(Inputs!$B$10*Inputs!$B$11+NORMSINV(B4521)*SQRT(Inputs!$B$10*Inputs!$B$11),0))</f>
        <v>488</v>
      </c>
      <c r="D4521" s="49">
        <f ca="1">C4521*Inputs!$B$12</f>
        <v>58560000</v>
      </c>
    </row>
    <row r="4522" spans="1:4" ht="13.5" customHeight="1" x14ac:dyDescent="0.3">
      <c r="A4522" s="50">
        <v>4518</v>
      </c>
      <c r="B4522" s="51">
        <f t="shared" ca="1" si="70"/>
        <v>0.15168228472439893</v>
      </c>
      <c r="C4522" s="48">
        <f t="array" aca="1" ref="C4522" ca="1">MAX(0,ROUND(Inputs!$B$10*Inputs!$B$11+NORMSINV(B4522)*SQRT(Inputs!$B$10*Inputs!$B$11),0))</f>
        <v>477</v>
      </c>
      <c r="D4522" s="52">
        <f ca="1">C4522*Inputs!$B$12</f>
        <v>57240000</v>
      </c>
    </row>
    <row r="4523" spans="1:4" ht="13.5" customHeight="1" x14ac:dyDescent="0.3">
      <c r="A4523" s="46">
        <v>4519</v>
      </c>
      <c r="B4523" s="47">
        <f t="shared" ca="1" si="70"/>
        <v>0.37822814956322059</v>
      </c>
      <c r="C4523" s="48">
        <f t="array" aca="1" ref="C4523" ca="1">MAX(0,ROUND(Inputs!$B$10*Inputs!$B$11+NORMSINV(B4523)*SQRT(Inputs!$B$10*Inputs!$B$11),0))</f>
        <v>493</v>
      </c>
      <c r="D4523" s="49">
        <f ca="1">C4523*Inputs!$B$12</f>
        <v>59160000</v>
      </c>
    </row>
    <row r="4524" spans="1:4" ht="13.5" customHeight="1" x14ac:dyDescent="0.3">
      <c r="A4524" s="50">
        <v>4520</v>
      </c>
      <c r="B4524" s="51">
        <f t="shared" ca="1" si="70"/>
        <v>0.22543234159686631</v>
      </c>
      <c r="C4524" s="48">
        <f t="array" aca="1" ref="C4524" ca="1">MAX(0,ROUND(Inputs!$B$10*Inputs!$B$11+NORMSINV(B4524)*SQRT(Inputs!$B$10*Inputs!$B$11),0))</f>
        <v>483</v>
      </c>
      <c r="D4524" s="52">
        <f ca="1">C4524*Inputs!$B$12</f>
        <v>57960000</v>
      </c>
    </row>
    <row r="4525" spans="1:4" ht="13.5" customHeight="1" x14ac:dyDescent="0.3">
      <c r="A4525" s="46">
        <v>4521</v>
      </c>
      <c r="B4525" s="47">
        <f t="shared" ca="1" si="70"/>
        <v>0.57184240378661233</v>
      </c>
      <c r="C4525" s="48">
        <f t="array" aca="1" ref="C4525" ca="1">MAX(0,ROUND(Inputs!$B$10*Inputs!$B$11+NORMSINV(B4525)*SQRT(Inputs!$B$10*Inputs!$B$11),0))</f>
        <v>504</v>
      </c>
      <c r="D4525" s="49">
        <f ca="1">C4525*Inputs!$B$12</f>
        <v>60480000</v>
      </c>
    </row>
    <row r="4526" spans="1:4" ht="13.5" customHeight="1" x14ac:dyDescent="0.3">
      <c r="A4526" s="50">
        <v>4522</v>
      </c>
      <c r="B4526" s="51">
        <f t="shared" ca="1" si="70"/>
        <v>0.77105603899492525</v>
      </c>
      <c r="C4526" s="48">
        <f t="array" aca="1" ref="C4526" ca="1">MAX(0,ROUND(Inputs!$B$10*Inputs!$B$11+NORMSINV(B4526)*SQRT(Inputs!$B$10*Inputs!$B$11),0))</f>
        <v>517</v>
      </c>
      <c r="D4526" s="52">
        <f ca="1">C4526*Inputs!$B$12</f>
        <v>62040000</v>
      </c>
    </row>
    <row r="4527" spans="1:4" ht="13.5" customHeight="1" x14ac:dyDescent="0.3">
      <c r="A4527" s="46">
        <v>4523</v>
      </c>
      <c r="B4527" s="47">
        <f t="shared" ca="1" si="70"/>
        <v>0.40361208645783941</v>
      </c>
      <c r="C4527" s="48">
        <f t="array" aca="1" ref="C4527" ca="1">MAX(0,ROUND(Inputs!$B$10*Inputs!$B$11+NORMSINV(B4527)*SQRT(Inputs!$B$10*Inputs!$B$11),0))</f>
        <v>495</v>
      </c>
      <c r="D4527" s="49">
        <f ca="1">C4527*Inputs!$B$12</f>
        <v>59400000</v>
      </c>
    </row>
    <row r="4528" spans="1:4" ht="13.5" customHeight="1" x14ac:dyDescent="0.3">
      <c r="A4528" s="50">
        <v>4524</v>
      </c>
      <c r="B4528" s="51">
        <f t="shared" ca="1" si="70"/>
        <v>0.16506046763133853</v>
      </c>
      <c r="C4528" s="48">
        <f t="array" aca="1" ref="C4528" ca="1">MAX(0,ROUND(Inputs!$B$10*Inputs!$B$11+NORMSINV(B4528)*SQRT(Inputs!$B$10*Inputs!$B$11),0))</f>
        <v>478</v>
      </c>
      <c r="D4528" s="52">
        <f ca="1">C4528*Inputs!$B$12</f>
        <v>57360000</v>
      </c>
    </row>
    <row r="4529" spans="1:4" ht="13.5" customHeight="1" x14ac:dyDescent="0.3">
      <c r="A4529" s="46">
        <v>4525</v>
      </c>
      <c r="B4529" s="47">
        <f t="shared" ca="1" si="70"/>
        <v>0.69873072088546972</v>
      </c>
      <c r="C4529" s="48">
        <f t="array" aca="1" ref="C4529" ca="1">MAX(0,ROUND(Inputs!$B$10*Inputs!$B$11+NORMSINV(B4529)*SQRT(Inputs!$B$10*Inputs!$B$11),0))</f>
        <v>512</v>
      </c>
      <c r="D4529" s="49">
        <f ca="1">C4529*Inputs!$B$12</f>
        <v>61440000</v>
      </c>
    </row>
    <row r="4530" spans="1:4" ht="13.5" customHeight="1" x14ac:dyDescent="0.3">
      <c r="A4530" s="50">
        <v>4526</v>
      </c>
      <c r="B4530" s="51">
        <f t="shared" ca="1" si="70"/>
        <v>0.58707893321972304</v>
      </c>
      <c r="C4530" s="48">
        <f t="array" aca="1" ref="C4530" ca="1">MAX(0,ROUND(Inputs!$B$10*Inputs!$B$11+NORMSINV(B4530)*SQRT(Inputs!$B$10*Inputs!$B$11),0))</f>
        <v>505</v>
      </c>
      <c r="D4530" s="52">
        <f ca="1">C4530*Inputs!$B$12</f>
        <v>60600000</v>
      </c>
    </row>
    <row r="4531" spans="1:4" ht="13.5" customHeight="1" x14ac:dyDescent="0.3">
      <c r="A4531" s="46">
        <v>4527</v>
      </c>
      <c r="B4531" s="47">
        <f t="shared" ca="1" si="70"/>
        <v>0.61257652907243731</v>
      </c>
      <c r="C4531" s="48">
        <f t="array" aca="1" ref="C4531" ca="1">MAX(0,ROUND(Inputs!$B$10*Inputs!$B$11+NORMSINV(B4531)*SQRT(Inputs!$B$10*Inputs!$B$11),0))</f>
        <v>506</v>
      </c>
      <c r="D4531" s="49">
        <f ca="1">C4531*Inputs!$B$12</f>
        <v>60720000</v>
      </c>
    </row>
    <row r="4532" spans="1:4" ht="13.5" customHeight="1" x14ac:dyDescent="0.3">
      <c r="A4532" s="50">
        <v>4528</v>
      </c>
      <c r="B4532" s="51">
        <f t="shared" ca="1" si="70"/>
        <v>0.76048918339474925</v>
      </c>
      <c r="C4532" s="48">
        <f t="array" aca="1" ref="C4532" ca="1">MAX(0,ROUND(Inputs!$B$10*Inputs!$B$11+NORMSINV(B4532)*SQRT(Inputs!$B$10*Inputs!$B$11),0))</f>
        <v>516</v>
      </c>
      <c r="D4532" s="52">
        <f ca="1">C4532*Inputs!$B$12</f>
        <v>61920000</v>
      </c>
    </row>
    <row r="4533" spans="1:4" ht="13.5" customHeight="1" x14ac:dyDescent="0.3">
      <c r="A4533" s="46">
        <v>4529</v>
      </c>
      <c r="B4533" s="47">
        <f t="shared" ca="1" si="70"/>
        <v>1.455899149874873E-2</v>
      </c>
      <c r="C4533" s="48">
        <f t="array" aca="1" ref="C4533" ca="1">MAX(0,ROUND(Inputs!$B$10*Inputs!$B$11+NORMSINV(B4533)*SQRT(Inputs!$B$10*Inputs!$B$11),0))</f>
        <v>451</v>
      </c>
      <c r="D4533" s="49">
        <f ca="1">C4533*Inputs!$B$12</f>
        <v>54120000</v>
      </c>
    </row>
    <row r="4534" spans="1:4" ht="13.5" customHeight="1" x14ac:dyDescent="0.3">
      <c r="A4534" s="50">
        <v>4530</v>
      </c>
      <c r="B4534" s="51">
        <f t="shared" ca="1" si="70"/>
        <v>0.85123371890949495</v>
      </c>
      <c r="C4534" s="48">
        <f t="array" aca="1" ref="C4534" ca="1">MAX(0,ROUND(Inputs!$B$10*Inputs!$B$11+NORMSINV(B4534)*SQRT(Inputs!$B$10*Inputs!$B$11),0))</f>
        <v>523</v>
      </c>
      <c r="D4534" s="52">
        <f ca="1">C4534*Inputs!$B$12</f>
        <v>62760000</v>
      </c>
    </row>
    <row r="4535" spans="1:4" ht="13.5" customHeight="1" x14ac:dyDescent="0.3">
      <c r="A4535" s="46">
        <v>4531</v>
      </c>
      <c r="B4535" s="47">
        <f t="shared" ca="1" si="70"/>
        <v>0.80750058027269689</v>
      </c>
      <c r="C4535" s="48">
        <f t="array" aca="1" ref="C4535" ca="1">MAX(0,ROUND(Inputs!$B$10*Inputs!$B$11+NORMSINV(B4535)*SQRT(Inputs!$B$10*Inputs!$B$11),0))</f>
        <v>519</v>
      </c>
      <c r="D4535" s="49">
        <f ca="1">C4535*Inputs!$B$12</f>
        <v>62280000</v>
      </c>
    </row>
    <row r="4536" spans="1:4" ht="13.5" customHeight="1" x14ac:dyDescent="0.3">
      <c r="A4536" s="50">
        <v>4532</v>
      </c>
      <c r="B4536" s="51">
        <f t="shared" ca="1" si="70"/>
        <v>0.30122102644721582</v>
      </c>
      <c r="C4536" s="48">
        <f t="array" aca="1" ref="C4536" ca="1">MAX(0,ROUND(Inputs!$B$10*Inputs!$B$11+NORMSINV(B4536)*SQRT(Inputs!$B$10*Inputs!$B$11),0))</f>
        <v>488</v>
      </c>
      <c r="D4536" s="52">
        <f ca="1">C4536*Inputs!$B$12</f>
        <v>58560000</v>
      </c>
    </row>
    <row r="4537" spans="1:4" ht="13.5" customHeight="1" x14ac:dyDescent="0.3">
      <c r="A4537" s="46">
        <v>4533</v>
      </c>
      <c r="B4537" s="47">
        <f t="shared" ca="1" si="70"/>
        <v>0.37460794233367434</v>
      </c>
      <c r="C4537" s="48">
        <f t="array" aca="1" ref="C4537" ca="1">MAX(0,ROUND(Inputs!$B$10*Inputs!$B$11+NORMSINV(B4537)*SQRT(Inputs!$B$10*Inputs!$B$11),0))</f>
        <v>493</v>
      </c>
      <c r="D4537" s="49">
        <f ca="1">C4537*Inputs!$B$12</f>
        <v>59160000</v>
      </c>
    </row>
    <row r="4538" spans="1:4" ht="13.5" customHeight="1" x14ac:dyDescent="0.3">
      <c r="A4538" s="50">
        <v>4534</v>
      </c>
      <c r="B4538" s="51">
        <f t="shared" ca="1" si="70"/>
        <v>0.90661985498031961</v>
      </c>
      <c r="C4538" s="48">
        <f t="array" aca="1" ref="C4538" ca="1">MAX(0,ROUND(Inputs!$B$10*Inputs!$B$11+NORMSINV(B4538)*SQRT(Inputs!$B$10*Inputs!$B$11),0))</f>
        <v>530</v>
      </c>
      <c r="D4538" s="52">
        <f ca="1">C4538*Inputs!$B$12</f>
        <v>63600000</v>
      </c>
    </row>
    <row r="4539" spans="1:4" ht="13.5" customHeight="1" x14ac:dyDescent="0.3">
      <c r="A4539" s="46">
        <v>4535</v>
      </c>
      <c r="B4539" s="47">
        <f t="shared" ca="1" si="70"/>
        <v>0.60053438546182669</v>
      </c>
      <c r="C4539" s="48">
        <f t="array" aca="1" ref="C4539" ca="1">MAX(0,ROUND(Inputs!$B$10*Inputs!$B$11+NORMSINV(B4539)*SQRT(Inputs!$B$10*Inputs!$B$11),0))</f>
        <v>506</v>
      </c>
      <c r="D4539" s="49">
        <f ca="1">C4539*Inputs!$B$12</f>
        <v>60720000</v>
      </c>
    </row>
    <row r="4540" spans="1:4" ht="13.5" customHeight="1" x14ac:dyDescent="0.3">
      <c r="A4540" s="50">
        <v>4536</v>
      </c>
      <c r="B4540" s="51">
        <f t="shared" ca="1" si="70"/>
        <v>0.14130399663086279</v>
      </c>
      <c r="C4540" s="48">
        <f t="array" aca="1" ref="C4540" ca="1">MAX(0,ROUND(Inputs!$B$10*Inputs!$B$11+NORMSINV(B4540)*SQRT(Inputs!$B$10*Inputs!$B$11),0))</f>
        <v>476</v>
      </c>
      <c r="D4540" s="52">
        <f ca="1">C4540*Inputs!$B$12</f>
        <v>57120000</v>
      </c>
    </row>
    <row r="4541" spans="1:4" ht="13.5" customHeight="1" x14ac:dyDescent="0.3">
      <c r="A4541" s="46">
        <v>4537</v>
      </c>
      <c r="B4541" s="47">
        <f t="shared" ca="1" si="70"/>
        <v>0.95163430023514062</v>
      </c>
      <c r="C4541" s="48">
        <f t="array" aca="1" ref="C4541" ca="1">MAX(0,ROUND(Inputs!$B$10*Inputs!$B$11+NORMSINV(B4541)*SQRT(Inputs!$B$10*Inputs!$B$11),0))</f>
        <v>537</v>
      </c>
      <c r="D4541" s="49">
        <f ca="1">C4541*Inputs!$B$12</f>
        <v>64440000</v>
      </c>
    </row>
    <row r="4542" spans="1:4" ht="13.5" customHeight="1" x14ac:dyDescent="0.3">
      <c r="A4542" s="50">
        <v>4538</v>
      </c>
      <c r="B4542" s="51">
        <f t="shared" ca="1" si="70"/>
        <v>0.14175763797569563</v>
      </c>
      <c r="C4542" s="48">
        <f t="array" aca="1" ref="C4542" ca="1">MAX(0,ROUND(Inputs!$B$10*Inputs!$B$11+NORMSINV(B4542)*SQRT(Inputs!$B$10*Inputs!$B$11),0))</f>
        <v>476</v>
      </c>
      <c r="D4542" s="52">
        <f ca="1">C4542*Inputs!$B$12</f>
        <v>57120000</v>
      </c>
    </row>
    <row r="4543" spans="1:4" ht="13.5" customHeight="1" x14ac:dyDescent="0.3">
      <c r="A4543" s="46">
        <v>4539</v>
      </c>
      <c r="B4543" s="47">
        <f t="shared" ca="1" si="70"/>
        <v>0.13296288948559309</v>
      </c>
      <c r="C4543" s="48">
        <f t="array" aca="1" ref="C4543" ca="1">MAX(0,ROUND(Inputs!$B$10*Inputs!$B$11+NORMSINV(B4543)*SQRT(Inputs!$B$10*Inputs!$B$11),0))</f>
        <v>475</v>
      </c>
      <c r="D4543" s="49">
        <f ca="1">C4543*Inputs!$B$12</f>
        <v>57000000</v>
      </c>
    </row>
    <row r="4544" spans="1:4" ht="13.5" customHeight="1" x14ac:dyDescent="0.3">
      <c r="A4544" s="50">
        <v>4540</v>
      </c>
      <c r="B4544" s="51">
        <f t="shared" ca="1" si="70"/>
        <v>0.97922246473823926</v>
      </c>
      <c r="C4544" s="48">
        <f t="array" aca="1" ref="C4544" ca="1">MAX(0,ROUND(Inputs!$B$10*Inputs!$B$11+NORMSINV(B4544)*SQRT(Inputs!$B$10*Inputs!$B$11),0))</f>
        <v>546</v>
      </c>
      <c r="D4544" s="52">
        <f ca="1">C4544*Inputs!$B$12</f>
        <v>65520000</v>
      </c>
    </row>
    <row r="4545" spans="1:4" ht="13.5" customHeight="1" x14ac:dyDescent="0.3">
      <c r="A4545" s="46">
        <v>4541</v>
      </c>
      <c r="B4545" s="47">
        <f t="shared" ca="1" si="70"/>
        <v>0.58701405549826835</v>
      </c>
      <c r="C4545" s="48">
        <f t="array" aca="1" ref="C4545" ca="1">MAX(0,ROUND(Inputs!$B$10*Inputs!$B$11+NORMSINV(B4545)*SQRT(Inputs!$B$10*Inputs!$B$11),0))</f>
        <v>505</v>
      </c>
      <c r="D4545" s="49">
        <f ca="1">C4545*Inputs!$B$12</f>
        <v>60600000</v>
      </c>
    </row>
    <row r="4546" spans="1:4" ht="13.5" customHeight="1" x14ac:dyDescent="0.3">
      <c r="A4546" s="50">
        <v>4542</v>
      </c>
      <c r="B4546" s="51">
        <f t="shared" ca="1" si="70"/>
        <v>0.12019754797158011</v>
      </c>
      <c r="C4546" s="48">
        <f t="array" aca="1" ref="C4546" ca="1">MAX(0,ROUND(Inputs!$B$10*Inputs!$B$11+NORMSINV(B4546)*SQRT(Inputs!$B$10*Inputs!$B$11),0))</f>
        <v>474</v>
      </c>
      <c r="D4546" s="52">
        <f ca="1">C4546*Inputs!$B$12</f>
        <v>56880000</v>
      </c>
    </row>
    <row r="4547" spans="1:4" ht="13.5" customHeight="1" x14ac:dyDescent="0.3">
      <c r="A4547" s="46">
        <v>4543</v>
      </c>
      <c r="B4547" s="47">
        <f t="shared" ca="1" si="70"/>
        <v>0.32424795662740957</v>
      </c>
      <c r="C4547" s="48">
        <f t="array" aca="1" ref="C4547" ca="1">MAX(0,ROUND(Inputs!$B$10*Inputs!$B$11+NORMSINV(B4547)*SQRT(Inputs!$B$10*Inputs!$B$11),0))</f>
        <v>490</v>
      </c>
      <c r="D4547" s="49">
        <f ca="1">C4547*Inputs!$B$12</f>
        <v>58800000</v>
      </c>
    </row>
    <row r="4548" spans="1:4" ht="13.5" customHeight="1" x14ac:dyDescent="0.3">
      <c r="A4548" s="50">
        <v>4544</v>
      </c>
      <c r="B4548" s="51">
        <f t="shared" ca="1" si="70"/>
        <v>0.78150143874041722</v>
      </c>
      <c r="C4548" s="48">
        <f t="array" aca="1" ref="C4548" ca="1">MAX(0,ROUND(Inputs!$B$10*Inputs!$B$11+NORMSINV(B4548)*SQRT(Inputs!$B$10*Inputs!$B$11),0))</f>
        <v>517</v>
      </c>
      <c r="D4548" s="52">
        <f ca="1">C4548*Inputs!$B$12</f>
        <v>62040000</v>
      </c>
    </row>
    <row r="4549" spans="1:4" ht="13.5" customHeight="1" x14ac:dyDescent="0.3">
      <c r="A4549" s="46">
        <v>4545</v>
      </c>
      <c r="B4549" s="47">
        <f t="shared" ref="B4549:B4612" ca="1" si="71">RAND()</f>
        <v>0.30943417321072331</v>
      </c>
      <c r="C4549" s="48">
        <f t="array" aca="1" ref="C4549" ca="1">MAX(0,ROUND(Inputs!$B$10*Inputs!$B$11+NORMSINV(B4549)*SQRT(Inputs!$B$10*Inputs!$B$11),0))</f>
        <v>489</v>
      </c>
      <c r="D4549" s="49">
        <f ca="1">C4549*Inputs!$B$12</f>
        <v>58680000</v>
      </c>
    </row>
    <row r="4550" spans="1:4" ht="13.5" customHeight="1" x14ac:dyDescent="0.3">
      <c r="A4550" s="50">
        <v>4546</v>
      </c>
      <c r="B4550" s="51">
        <f t="shared" ca="1" si="71"/>
        <v>0.49182168650051739</v>
      </c>
      <c r="C4550" s="48">
        <f t="array" aca="1" ref="C4550" ca="1">MAX(0,ROUND(Inputs!$B$10*Inputs!$B$11+NORMSINV(B4550)*SQRT(Inputs!$B$10*Inputs!$B$11),0))</f>
        <v>500</v>
      </c>
      <c r="D4550" s="52">
        <f ca="1">C4550*Inputs!$B$12</f>
        <v>60000000</v>
      </c>
    </row>
    <row r="4551" spans="1:4" ht="13.5" customHeight="1" x14ac:dyDescent="0.3">
      <c r="A4551" s="46">
        <v>4547</v>
      </c>
      <c r="B4551" s="47">
        <f t="shared" ca="1" si="71"/>
        <v>0.65325309231086248</v>
      </c>
      <c r="C4551" s="48">
        <f t="array" aca="1" ref="C4551" ca="1">MAX(0,ROUND(Inputs!$B$10*Inputs!$B$11+NORMSINV(B4551)*SQRT(Inputs!$B$10*Inputs!$B$11),0))</f>
        <v>509</v>
      </c>
      <c r="D4551" s="49">
        <f ca="1">C4551*Inputs!$B$12</f>
        <v>61080000</v>
      </c>
    </row>
    <row r="4552" spans="1:4" ht="13.5" customHeight="1" x14ac:dyDescent="0.3">
      <c r="A4552" s="50">
        <v>4548</v>
      </c>
      <c r="B4552" s="51">
        <f t="shared" ca="1" si="71"/>
        <v>0.41632651017523481</v>
      </c>
      <c r="C4552" s="48">
        <f t="array" aca="1" ref="C4552" ca="1">MAX(0,ROUND(Inputs!$B$10*Inputs!$B$11+NORMSINV(B4552)*SQRT(Inputs!$B$10*Inputs!$B$11),0))</f>
        <v>495</v>
      </c>
      <c r="D4552" s="52">
        <f ca="1">C4552*Inputs!$B$12</f>
        <v>59400000</v>
      </c>
    </row>
    <row r="4553" spans="1:4" ht="13.5" customHeight="1" x14ac:dyDescent="0.3">
      <c r="A4553" s="46">
        <v>4549</v>
      </c>
      <c r="B4553" s="47">
        <f t="shared" ca="1" si="71"/>
        <v>0.8675981030554315</v>
      </c>
      <c r="C4553" s="48">
        <f t="array" aca="1" ref="C4553" ca="1">MAX(0,ROUND(Inputs!$B$10*Inputs!$B$11+NORMSINV(B4553)*SQRT(Inputs!$B$10*Inputs!$B$11),0))</f>
        <v>525</v>
      </c>
      <c r="D4553" s="49">
        <f ca="1">C4553*Inputs!$B$12</f>
        <v>63000000</v>
      </c>
    </row>
    <row r="4554" spans="1:4" ht="13.5" customHeight="1" x14ac:dyDescent="0.3">
      <c r="A4554" s="50">
        <v>4550</v>
      </c>
      <c r="B4554" s="51">
        <f t="shared" ca="1" si="71"/>
        <v>0.71967022920857004</v>
      </c>
      <c r="C4554" s="48">
        <f t="array" aca="1" ref="C4554" ca="1">MAX(0,ROUND(Inputs!$B$10*Inputs!$B$11+NORMSINV(B4554)*SQRT(Inputs!$B$10*Inputs!$B$11),0))</f>
        <v>513</v>
      </c>
      <c r="D4554" s="52">
        <f ca="1">C4554*Inputs!$B$12</f>
        <v>61560000</v>
      </c>
    </row>
    <row r="4555" spans="1:4" ht="13.5" customHeight="1" x14ac:dyDescent="0.3">
      <c r="A4555" s="46">
        <v>4551</v>
      </c>
      <c r="B4555" s="47">
        <f t="shared" ca="1" si="71"/>
        <v>0.97807460417404268</v>
      </c>
      <c r="C4555" s="48">
        <f t="array" aca="1" ref="C4555" ca="1">MAX(0,ROUND(Inputs!$B$10*Inputs!$B$11+NORMSINV(B4555)*SQRT(Inputs!$B$10*Inputs!$B$11),0))</f>
        <v>545</v>
      </c>
      <c r="D4555" s="49">
        <f ca="1">C4555*Inputs!$B$12</f>
        <v>65400000</v>
      </c>
    </row>
    <row r="4556" spans="1:4" ht="13.5" customHeight="1" x14ac:dyDescent="0.3">
      <c r="A4556" s="50">
        <v>4552</v>
      </c>
      <c r="B4556" s="51">
        <f t="shared" ca="1" si="71"/>
        <v>0.85865670703340635</v>
      </c>
      <c r="C4556" s="48">
        <f t="array" aca="1" ref="C4556" ca="1">MAX(0,ROUND(Inputs!$B$10*Inputs!$B$11+NORMSINV(B4556)*SQRT(Inputs!$B$10*Inputs!$B$11),0))</f>
        <v>524</v>
      </c>
      <c r="D4556" s="52">
        <f ca="1">C4556*Inputs!$B$12</f>
        <v>62880000</v>
      </c>
    </row>
    <row r="4557" spans="1:4" ht="13.5" customHeight="1" x14ac:dyDescent="0.3">
      <c r="A4557" s="46">
        <v>4553</v>
      </c>
      <c r="B4557" s="47">
        <f t="shared" ca="1" si="71"/>
        <v>0.15292908319278087</v>
      </c>
      <c r="C4557" s="48">
        <f t="array" aca="1" ref="C4557" ca="1">MAX(0,ROUND(Inputs!$B$10*Inputs!$B$11+NORMSINV(B4557)*SQRT(Inputs!$B$10*Inputs!$B$11),0))</f>
        <v>477</v>
      </c>
      <c r="D4557" s="49">
        <f ca="1">C4557*Inputs!$B$12</f>
        <v>57240000</v>
      </c>
    </row>
    <row r="4558" spans="1:4" ht="13.5" customHeight="1" x14ac:dyDescent="0.3">
      <c r="A4558" s="50">
        <v>4554</v>
      </c>
      <c r="B4558" s="51">
        <f t="shared" ca="1" si="71"/>
        <v>0.59328603388974255</v>
      </c>
      <c r="C4558" s="48">
        <f t="array" aca="1" ref="C4558" ca="1">MAX(0,ROUND(Inputs!$B$10*Inputs!$B$11+NORMSINV(B4558)*SQRT(Inputs!$B$10*Inputs!$B$11),0))</f>
        <v>505</v>
      </c>
      <c r="D4558" s="52">
        <f ca="1">C4558*Inputs!$B$12</f>
        <v>60600000</v>
      </c>
    </row>
    <row r="4559" spans="1:4" ht="13.5" customHeight="1" x14ac:dyDescent="0.3">
      <c r="A4559" s="46">
        <v>4555</v>
      </c>
      <c r="B4559" s="47">
        <f t="shared" ca="1" si="71"/>
        <v>0.74619302696717515</v>
      </c>
      <c r="C4559" s="48">
        <f t="array" aca="1" ref="C4559" ca="1">MAX(0,ROUND(Inputs!$B$10*Inputs!$B$11+NORMSINV(B4559)*SQRT(Inputs!$B$10*Inputs!$B$11),0))</f>
        <v>515</v>
      </c>
      <c r="D4559" s="49">
        <f ca="1">C4559*Inputs!$B$12</f>
        <v>61800000</v>
      </c>
    </row>
    <row r="4560" spans="1:4" ht="13.5" customHeight="1" x14ac:dyDescent="0.3">
      <c r="A4560" s="50">
        <v>4556</v>
      </c>
      <c r="B4560" s="51">
        <f t="shared" ca="1" si="71"/>
        <v>0.44928668465292876</v>
      </c>
      <c r="C4560" s="48">
        <f t="array" aca="1" ref="C4560" ca="1">MAX(0,ROUND(Inputs!$B$10*Inputs!$B$11+NORMSINV(B4560)*SQRT(Inputs!$B$10*Inputs!$B$11),0))</f>
        <v>497</v>
      </c>
      <c r="D4560" s="52">
        <f ca="1">C4560*Inputs!$B$12</f>
        <v>59640000</v>
      </c>
    </row>
    <row r="4561" spans="1:4" ht="13.5" customHeight="1" x14ac:dyDescent="0.3">
      <c r="A4561" s="46">
        <v>4557</v>
      </c>
      <c r="B4561" s="47">
        <f t="shared" ca="1" si="71"/>
        <v>8.7187489907309179E-2</v>
      </c>
      <c r="C4561" s="48">
        <f t="array" aca="1" ref="C4561" ca="1">MAX(0,ROUND(Inputs!$B$10*Inputs!$B$11+NORMSINV(B4561)*SQRT(Inputs!$B$10*Inputs!$B$11),0))</f>
        <v>470</v>
      </c>
      <c r="D4561" s="49">
        <f ca="1">C4561*Inputs!$B$12</f>
        <v>56400000</v>
      </c>
    </row>
    <row r="4562" spans="1:4" ht="13.5" customHeight="1" x14ac:dyDescent="0.3">
      <c r="A4562" s="50">
        <v>4558</v>
      </c>
      <c r="B4562" s="51">
        <f t="shared" ca="1" si="71"/>
        <v>0.90876019659647811</v>
      </c>
      <c r="C4562" s="48">
        <f t="array" aca="1" ref="C4562" ca="1">MAX(0,ROUND(Inputs!$B$10*Inputs!$B$11+NORMSINV(B4562)*SQRT(Inputs!$B$10*Inputs!$B$11),0))</f>
        <v>530</v>
      </c>
      <c r="D4562" s="52">
        <f ca="1">C4562*Inputs!$B$12</f>
        <v>63600000</v>
      </c>
    </row>
    <row r="4563" spans="1:4" ht="13.5" customHeight="1" x14ac:dyDescent="0.3">
      <c r="A4563" s="46">
        <v>4559</v>
      </c>
      <c r="B4563" s="47">
        <f t="shared" ca="1" si="71"/>
        <v>0.76915920829496798</v>
      </c>
      <c r="C4563" s="48">
        <f t="array" aca="1" ref="C4563" ca="1">MAX(0,ROUND(Inputs!$B$10*Inputs!$B$11+NORMSINV(B4563)*SQRT(Inputs!$B$10*Inputs!$B$11),0))</f>
        <v>516</v>
      </c>
      <c r="D4563" s="49">
        <f ca="1">C4563*Inputs!$B$12</f>
        <v>61920000</v>
      </c>
    </row>
    <row r="4564" spans="1:4" ht="13.5" customHeight="1" x14ac:dyDescent="0.3">
      <c r="A4564" s="50">
        <v>4560</v>
      </c>
      <c r="B4564" s="51">
        <f t="shared" ca="1" si="71"/>
        <v>6.6864931487892521E-2</v>
      </c>
      <c r="C4564" s="48">
        <f t="array" aca="1" ref="C4564" ca="1">MAX(0,ROUND(Inputs!$B$10*Inputs!$B$11+NORMSINV(B4564)*SQRT(Inputs!$B$10*Inputs!$B$11),0))</f>
        <v>466</v>
      </c>
      <c r="D4564" s="52">
        <f ca="1">C4564*Inputs!$B$12</f>
        <v>55920000</v>
      </c>
    </row>
    <row r="4565" spans="1:4" ht="13.5" customHeight="1" x14ac:dyDescent="0.3">
      <c r="A4565" s="46">
        <v>4561</v>
      </c>
      <c r="B4565" s="47">
        <f t="shared" ca="1" si="71"/>
        <v>0.55432061463920723</v>
      </c>
      <c r="C4565" s="48">
        <f t="array" aca="1" ref="C4565" ca="1">MAX(0,ROUND(Inputs!$B$10*Inputs!$B$11+NORMSINV(B4565)*SQRT(Inputs!$B$10*Inputs!$B$11),0))</f>
        <v>503</v>
      </c>
      <c r="D4565" s="49">
        <f ca="1">C4565*Inputs!$B$12</f>
        <v>60360000</v>
      </c>
    </row>
    <row r="4566" spans="1:4" ht="13.5" customHeight="1" x14ac:dyDescent="0.3">
      <c r="A4566" s="50">
        <v>4562</v>
      </c>
      <c r="B4566" s="51">
        <f t="shared" ca="1" si="71"/>
        <v>0.41096586400245438</v>
      </c>
      <c r="C4566" s="48">
        <f t="array" aca="1" ref="C4566" ca="1">MAX(0,ROUND(Inputs!$B$10*Inputs!$B$11+NORMSINV(B4566)*SQRT(Inputs!$B$10*Inputs!$B$11),0))</f>
        <v>495</v>
      </c>
      <c r="D4566" s="52">
        <f ca="1">C4566*Inputs!$B$12</f>
        <v>59400000</v>
      </c>
    </row>
    <row r="4567" spans="1:4" ht="13.5" customHeight="1" x14ac:dyDescent="0.3">
      <c r="A4567" s="46">
        <v>4563</v>
      </c>
      <c r="B4567" s="47">
        <f t="shared" ca="1" si="71"/>
        <v>0.58644419324673014</v>
      </c>
      <c r="C4567" s="48">
        <f t="array" aca="1" ref="C4567" ca="1">MAX(0,ROUND(Inputs!$B$10*Inputs!$B$11+NORMSINV(B4567)*SQRT(Inputs!$B$10*Inputs!$B$11),0))</f>
        <v>505</v>
      </c>
      <c r="D4567" s="49">
        <f ca="1">C4567*Inputs!$B$12</f>
        <v>60600000</v>
      </c>
    </row>
    <row r="4568" spans="1:4" ht="13.5" customHeight="1" x14ac:dyDescent="0.3">
      <c r="A4568" s="50">
        <v>4564</v>
      </c>
      <c r="B4568" s="51">
        <f t="shared" ca="1" si="71"/>
        <v>0.6562554257912443</v>
      </c>
      <c r="C4568" s="48">
        <f t="array" aca="1" ref="C4568" ca="1">MAX(0,ROUND(Inputs!$B$10*Inputs!$B$11+NORMSINV(B4568)*SQRT(Inputs!$B$10*Inputs!$B$11),0))</f>
        <v>509</v>
      </c>
      <c r="D4568" s="52">
        <f ca="1">C4568*Inputs!$B$12</f>
        <v>61080000</v>
      </c>
    </row>
    <row r="4569" spans="1:4" ht="13.5" customHeight="1" x14ac:dyDescent="0.3">
      <c r="A4569" s="46">
        <v>4565</v>
      </c>
      <c r="B4569" s="47">
        <f t="shared" ca="1" si="71"/>
        <v>0.22022013420845821</v>
      </c>
      <c r="C4569" s="48">
        <f t="array" aca="1" ref="C4569" ca="1">MAX(0,ROUND(Inputs!$B$10*Inputs!$B$11+NORMSINV(B4569)*SQRT(Inputs!$B$10*Inputs!$B$11),0))</f>
        <v>483</v>
      </c>
      <c r="D4569" s="49">
        <f ca="1">C4569*Inputs!$B$12</f>
        <v>57960000</v>
      </c>
    </row>
    <row r="4570" spans="1:4" ht="13.5" customHeight="1" x14ac:dyDescent="0.3">
      <c r="A4570" s="50">
        <v>4566</v>
      </c>
      <c r="B4570" s="51">
        <f t="shared" ca="1" si="71"/>
        <v>0.58327574528921222</v>
      </c>
      <c r="C4570" s="48">
        <f t="array" aca="1" ref="C4570" ca="1">MAX(0,ROUND(Inputs!$B$10*Inputs!$B$11+NORMSINV(B4570)*SQRT(Inputs!$B$10*Inputs!$B$11),0))</f>
        <v>505</v>
      </c>
      <c r="D4570" s="52">
        <f ca="1">C4570*Inputs!$B$12</f>
        <v>60600000</v>
      </c>
    </row>
    <row r="4571" spans="1:4" ht="13.5" customHeight="1" x14ac:dyDescent="0.3">
      <c r="A4571" s="46">
        <v>4567</v>
      </c>
      <c r="B4571" s="47">
        <f t="shared" ca="1" si="71"/>
        <v>0.58248188374773224</v>
      </c>
      <c r="C4571" s="48">
        <f t="array" aca="1" ref="C4571" ca="1">MAX(0,ROUND(Inputs!$B$10*Inputs!$B$11+NORMSINV(B4571)*SQRT(Inputs!$B$10*Inputs!$B$11),0))</f>
        <v>505</v>
      </c>
      <c r="D4571" s="49">
        <f ca="1">C4571*Inputs!$B$12</f>
        <v>60600000</v>
      </c>
    </row>
    <row r="4572" spans="1:4" ht="13.5" customHeight="1" x14ac:dyDescent="0.3">
      <c r="A4572" s="50">
        <v>4568</v>
      </c>
      <c r="B4572" s="51">
        <f t="shared" ca="1" si="71"/>
        <v>0.54365394503605846</v>
      </c>
      <c r="C4572" s="48">
        <f t="array" aca="1" ref="C4572" ca="1">MAX(0,ROUND(Inputs!$B$10*Inputs!$B$11+NORMSINV(B4572)*SQRT(Inputs!$B$10*Inputs!$B$11),0))</f>
        <v>502</v>
      </c>
      <c r="D4572" s="52">
        <f ca="1">C4572*Inputs!$B$12</f>
        <v>60240000</v>
      </c>
    </row>
    <row r="4573" spans="1:4" ht="13.5" customHeight="1" x14ac:dyDescent="0.3">
      <c r="A4573" s="46">
        <v>4569</v>
      </c>
      <c r="B4573" s="47">
        <f t="shared" ca="1" si="71"/>
        <v>0.95063573338564011</v>
      </c>
      <c r="C4573" s="48">
        <f t="array" aca="1" ref="C4573" ca="1">MAX(0,ROUND(Inputs!$B$10*Inputs!$B$11+NORMSINV(B4573)*SQRT(Inputs!$B$10*Inputs!$B$11),0))</f>
        <v>537</v>
      </c>
      <c r="D4573" s="49">
        <f ca="1">C4573*Inputs!$B$12</f>
        <v>64440000</v>
      </c>
    </row>
    <row r="4574" spans="1:4" ht="13.5" customHeight="1" x14ac:dyDescent="0.3">
      <c r="A4574" s="50">
        <v>4570</v>
      </c>
      <c r="B4574" s="51">
        <f t="shared" ca="1" si="71"/>
        <v>0.96150346784897522</v>
      </c>
      <c r="C4574" s="48">
        <f t="array" aca="1" ref="C4574" ca="1">MAX(0,ROUND(Inputs!$B$10*Inputs!$B$11+NORMSINV(B4574)*SQRT(Inputs!$B$10*Inputs!$B$11),0))</f>
        <v>540</v>
      </c>
      <c r="D4574" s="52">
        <f ca="1">C4574*Inputs!$B$12</f>
        <v>64800000</v>
      </c>
    </row>
    <row r="4575" spans="1:4" ht="13.5" customHeight="1" x14ac:dyDescent="0.3">
      <c r="A4575" s="46">
        <v>4571</v>
      </c>
      <c r="B4575" s="47">
        <f t="shared" ca="1" si="71"/>
        <v>0.71562659117342575</v>
      </c>
      <c r="C4575" s="48">
        <f t="array" aca="1" ref="C4575" ca="1">MAX(0,ROUND(Inputs!$B$10*Inputs!$B$11+NORMSINV(B4575)*SQRT(Inputs!$B$10*Inputs!$B$11),0))</f>
        <v>513</v>
      </c>
      <c r="D4575" s="49">
        <f ca="1">C4575*Inputs!$B$12</f>
        <v>61560000</v>
      </c>
    </row>
    <row r="4576" spans="1:4" ht="13.5" customHeight="1" x14ac:dyDescent="0.3">
      <c r="A4576" s="50">
        <v>4572</v>
      </c>
      <c r="B4576" s="51">
        <f t="shared" ca="1" si="71"/>
        <v>0.19323829361481648</v>
      </c>
      <c r="C4576" s="48">
        <f t="array" aca="1" ref="C4576" ca="1">MAX(0,ROUND(Inputs!$B$10*Inputs!$B$11+NORMSINV(B4576)*SQRT(Inputs!$B$10*Inputs!$B$11),0))</f>
        <v>481</v>
      </c>
      <c r="D4576" s="52">
        <f ca="1">C4576*Inputs!$B$12</f>
        <v>57720000</v>
      </c>
    </row>
    <row r="4577" spans="1:4" ht="13.5" customHeight="1" x14ac:dyDescent="0.3">
      <c r="A4577" s="46">
        <v>4573</v>
      </c>
      <c r="B4577" s="47">
        <f t="shared" ca="1" si="71"/>
        <v>0.68268601760237402</v>
      </c>
      <c r="C4577" s="48">
        <f t="array" aca="1" ref="C4577" ca="1">MAX(0,ROUND(Inputs!$B$10*Inputs!$B$11+NORMSINV(B4577)*SQRT(Inputs!$B$10*Inputs!$B$11),0))</f>
        <v>511</v>
      </c>
      <c r="D4577" s="49">
        <f ca="1">C4577*Inputs!$B$12</f>
        <v>61320000</v>
      </c>
    </row>
    <row r="4578" spans="1:4" ht="13.5" customHeight="1" x14ac:dyDescent="0.3">
      <c r="A4578" s="50">
        <v>4574</v>
      </c>
      <c r="B4578" s="51">
        <f t="shared" ca="1" si="71"/>
        <v>0.50875808414745205</v>
      </c>
      <c r="C4578" s="48">
        <f t="array" aca="1" ref="C4578" ca="1">MAX(0,ROUND(Inputs!$B$10*Inputs!$B$11+NORMSINV(B4578)*SQRT(Inputs!$B$10*Inputs!$B$11),0))</f>
        <v>500</v>
      </c>
      <c r="D4578" s="52">
        <f ca="1">C4578*Inputs!$B$12</f>
        <v>60000000</v>
      </c>
    </row>
    <row r="4579" spans="1:4" ht="13.5" customHeight="1" x14ac:dyDescent="0.3">
      <c r="A4579" s="46">
        <v>4575</v>
      </c>
      <c r="B4579" s="47">
        <f t="shared" ca="1" si="71"/>
        <v>0.90573833706668005</v>
      </c>
      <c r="C4579" s="48">
        <f t="array" aca="1" ref="C4579" ca="1">MAX(0,ROUND(Inputs!$B$10*Inputs!$B$11+NORMSINV(B4579)*SQRT(Inputs!$B$10*Inputs!$B$11),0))</f>
        <v>529</v>
      </c>
      <c r="D4579" s="49">
        <f ca="1">C4579*Inputs!$B$12</f>
        <v>63480000</v>
      </c>
    </row>
    <row r="4580" spans="1:4" ht="13.5" customHeight="1" x14ac:dyDescent="0.3">
      <c r="A4580" s="50">
        <v>4576</v>
      </c>
      <c r="B4580" s="51">
        <f t="shared" ca="1" si="71"/>
        <v>0.90737258928089082</v>
      </c>
      <c r="C4580" s="48">
        <f t="array" aca="1" ref="C4580" ca="1">MAX(0,ROUND(Inputs!$B$10*Inputs!$B$11+NORMSINV(B4580)*SQRT(Inputs!$B$10*Inputs!$B$11),0))</f>
        <v>530</v>
      </c>
      <c r="D4580" s="52">
        <f ca="1">C4580*Inputs!$B$12</f>
        <v>63600000</v>
      </c>
    </row>
    <row r="4581" spans="1:4" ht="13.5" customHeight="1" x14ac:dyDescent="0.3">
      <c r="A4581" s="46">
        <v>4577</v>
      </c>
      <c r="B4581" s="47">
        <f t="shared" ca="1" si="71"/>
        <v>0.86055277883187464</v>
      </c>
      <c r="C4581" s="48">
        <f t="array" aca="1" ref="C4581" ca="1">MAX(0,ROUND(Inputs!$B$10*Inputs!$B$11+NORMSINV(B4581)*SQRT(Inputs!$B$10*Inputs!$B$11),0))</f>
        <v>524</v>
      </c>
      <c r="D4581" s="49">
        <f ca="1">C4581*Inputs!$B$12</f>
        <v>62880000</v>
      </c>
    </row>
    <row r="4582" spans="1:4" ht="13.5" customHeight="1" x14ac:dyDescent="0.3">
      <c r="A4582" s="50">
        <v>4578</v>
      </c>
      <c r="B4582" s="51">
        <f t="shared" ca="1" si="71"/>
        <v>0.36830074272453861</v>
      </c>
      <c r="C4582" s="48">
        <f t="array" aca="1" ref="C4582" ca="1">MAX(0,ROUND(Inputs!$B$10*Inputs!$B$11+NORMSINV(B4582)*SQRT(Inputs!$B$10*Inputs!$B$11),0))</f>
        <v>492</v>
      </c>
      <c r="D4582" s="52">
        <f ca="1">C4582*Inputs!$B$12</f>
        <v>59040000</v>
      </c>
    </row>
    <row r="4583" spans="1:4" ht="13.5" customHeight="1" x14ac:dyDescent="0.3">
      <c r="A4583" s="46">
        <v>4579</v>
      </c>
      <c r="B4583" s="47">
        <f t="shared" ca="1" si="71"/>
        <v>0.22320140905790231</v>
      </c>
      <c r="C4583" s="48">
        <f t="array" aca="1" ref="C4583" ca="1">MAX(0,ROUND(Inputs!$B$10*Inputs!$B$11+NORMSINV(B4583)*SQRT(Inputs!$B$10*Inputs!$B$11),0))</f>
        <v>483</v>
      </c>
      <c r="D4583" s="49">
        <f ca="1">C4583*Inputs!$B$12</f>
        <v>57960000</v>
      </c>
    </row>
    <row r="4584" spans="1:4" ht="13.5" customHeight="1" x14ac:dyDescent="0.3">
      <c r="A4584" s="50">
        <v>4580</v>
      </c>
      <c r="B4584" s="51">
        <f t="shared" ca="1" si="71"/>
        <v>0.49376685383287189</v>
      </c>
      <c r="C4584" s="48">
        <f t="array" aca="1" ref="C4584" ca="1">MAX(0,ROUND(Inputs!$B$10*Inputs!$B$11+NORMSINV(B4584)*SQRT(Inputs!$B$10*Inputs!$B$11),0))</f>
        <v>500</v>
      </c>
      <c r="D4584" s="52">
        <f ca="1">C4584*Inputs!$B$12</f>
        <v>60000000</v>
      </c>
    </row>
    <row r="4585" spans="1:4" ht="13.5" customHeight="1" x14ac:dyDescent="0.3">
      <c r="A4585" s="46">
        <v>4581</v>
      </c>
      <c r="B4585" s="47">
        <f t="shared" ca="1" si="71"/>
        <v>0.69395599258626539</v>
      </c>
      <c r="C4585" s="48">
        <f t="array" aca="1" ref="C4585" ca="1">MAX(0,ROUND(Inputs!$B$10*Inputs!$B$11+NORMSINV(B4585)*SQRT(Inputs!$B$10*Inputs!$B$11),0))</f>
        <v>511</v>
      </c>
      <c r="D4585" s="49">
        <f ca="1">C4585*Inputs!$B$12</f>
        <v>61320000</v>
      </c>
    </row>
    <row r="4586" spans="1:4" ht="13.5" customHeight="1" x14ac:dyDescent="0.3">
      <c r="A4586" s="50">
        <v>4582</v>
      </c>
      <c r="B4586" s="51">
        <f t="shared" ca="1" si="71"/>
        <v>0.13269869398784384</v>
      </c>
      <c r="C4586" s="48">
        <f t="array" aca="1" ref="C4586" ca="1">MAX(0,ROUND(Inputs!$B$10*Inputs!$B$11+NORMSINV(B4586)*SQRT(Inputs!$B$10*Inputs!$B$11),0))</f>
        <v>475</v>
      </c>
      <c r="D4586" s="52">
        <f ca="1">C4586*Inputs!$B$12</f>
        <v>57000000</v>
      </c>
    </row>
    <row r="4587" spans="1:4" ht="13.5" customHeight="1" x14ac:dyDescent="0.3">
      <c r="A4587" s="46">
        <v>4583</v>
      </c>
      <c r="B4587" s="47">
        <f t="shared" ca="1" si="71"/>
        <v>4.917593700236067E-2</v>
      </c>
      <c r="C4587" s="48">
        <f t="array" aca="1" ref="C4587" ca="1">MAX(0,ROUND(Inputs!$B$10*Inputs!$B$11+NORMSINV(B4587)*SQRT(Inputs!$B$10*Inputs!$B$11),0))</f>
        <v>463</v>
      </c>
      <c r="D4587" s="49">
        <f ca="1">C4587*Inputs!$B$12</f>
        <v>55560000</v>
      </c>
    </row>
    <row r="4588" spans="1:4" ht="13.5" customHeight="1" x14ac:dyDescent="0.3">
      <c r="A4588" s="50">
        <v>4584</v>
      </c>
      <c r="B4588" s="51">
        <f t="shared" ca="1" si="71"/>
        <v>0.14968574949907687</v>
      </c>
      <c r="C4588" s="48">
        <f t="array" aca="1" ref="C4588" ca="1">MAX(0,ROUND(Inputs!$B$10*Inputs!$B$11+NORMSINV(B4588)*SQRT(Inputs!$B$10*Inputs!$B$11),0))</f>
        <v>477</v>
      </c>
      <c r="D4588" s="52">
        <f ca="1">C4588*Inputs!$B$12</f>
        <v>57240000</v>
      </c>
    </row>
    <row r="4589" spans="1:4" ht="13.5" customHeight="1" x14ac:dyDescent="0.3">
      <c r="A4589" s="46">
        <v>4585</v>
      </c>
      <c r="B4589" s="47">
        <f t="shared" ca="1" si="71"/>
        <v>0.54943807360009367</v>
      </c>
      <c r="C4589" s="48">
        <f t="array" aca="1" ref="C4589" ca="1">MAX(0,ROUND(Inputs!$B$10*Inputs!$B$11+NORMSINV(B4589)*SQRT(Inputs!$B$10*Inputs!$B$11),0))</f>
        <v>503</v>
      </c>
      <c r="D4589" s="49">
        <f ca="1">C4589*Inputs!$B$12</f>
        <v>60360000</v>
      </c>
    </row>
    <row r="4590" spans="1:4" ht="13.5" customHeight="1" x14ac:dyDescent="0.3">
      <c r="A4590" s="50">
        <v>4586</v>
      </c>
      <c r="B4590" s="51">
        <f t="shared" ca="1" si="71"/>
        <v>0.794088388658721</v>
      </c>
      <c r="C4590" s="48">
        <f t="array" aca="1" ref="C4590" ca="1">MAX(0,ROUND(Inputs!$B$10*Inputs!$B$11+NORMSINV(B4590)*SQRT(Inputs!$B$10*Inputs!$B$11),0))</f>
        <v>518</v>
      </c>
      <c r="D4590" s="52">
        <f ca="1">C4590*Inputs!$B$12</f>
        <v>62160000</v>
      </c>
    </row>
    <row r="4591" spans="1:4" ht="13.5" customHeight="1" x14ac:dyDescent="0.3">
      <c r="A4591" s="46">
        <v>4587</v>
      </c>
      <c r="B4591" s="47">
        <f t="shared" ca="1" si="71"/>
        <v>0.13164933849264959</v>
      </c>
      <c r="C4591" s="48">
        <f t="array" aca="1" ref="C4591" ca="1">MAX(0,ROUND(Inputs!$B$10*Inputs!$B$11+NORMSINV(B4591)*SQRT(Inputs!$B$10*Inputs!$B$11),0))</f>
        <v>475</v>
      </c>
      <c r="D4591" s="49">
        <f ca="1">C4591*Inputs!$B$12</f>
        <v>57000000</v>
      </c>
    </row>
    <row r="4592" spans="1:4" ht="13.5" customHeight="1" x14ac:dyDescent="0.3">
      <c r="A4592" s="50">
        <v>4588</v>
      </c>
      <c r="B4592" s="51">
        <f t="shared" ca="1" si="71"/>
        <v>0.78042017639025363</v>
      </c>
      <c r="C4592" s="48">
        <f t="array" aca="1" ref="C4592" ca="1">MAX(0,ROUND(Inputs!$B$10*Inputs!$B$11+NORMSINV(B4592)*SQRT(Inputs!$B$10*Inputs!$B$11),0))</f>
        <v>517</v>
      </c>
      <c r="D4592" s="52">
        <f ca="1">C4592*Inputs!$B$12</f>
        <v>62040000</v>
      </c>
    </row>
    <row r="4593" spans="1:4" ht="13.5" customHeight="1" x14ac:dyDescent="0.3">
      <c r="A4593" s="46">
        <v>4589</v>
      </c>
      <c r="B4593" s="47">
        <f t="shared" ca="1" si="71"/>
        <v>4.1326976529669768E-2</v>
      </c>
      <c r="C4593" s="48">
        <f t="array" aca="1" ref="C4593" ca="1">MAX(0,ROUND(Inputs!$B$10*Inputs!$B$11+NORMSINV(B4593)*SQRT(Inputs!$B$10*Inputs!$B$11),0))</f>
        <v>461</v>
      </c>
      <c r="D4593" s="49">
        <f ca="1">C4593*Inputs!$B$12</f>
        <v>55320000</v>
      </c>
    </row>
    <row r="4594" spans="1:4" ht="13.5" customHeight="1" x14ac:dyDescent="0.3">
      <c r="A4594" s="50">
        <v>4590</v>
      </c>
      <c r="B4594" s="51">
        <f t="shared" ca="1" si="71"/>
        <v>0.77022916964936672</v>
      </c>
      <c r="C4594" s="48">
        <f t="array" aca="1" ref="C4594" ca="1">MAX(0,ROUND(Inputs!$B$10*Inputs!$B$11+NORMSINV(B4594)*SQRT(Inputs!$B$10*Inputs!$B$11),0))</f>
        <v>517</v>
      </c>
      <c r="D4594" s="52">
        <f ca="1">C4594*Inputs!$B$12</f>
        <v>62040000</v>
      </c>
    </row>
    <row r="4595" spans="1:4" ht="13.5" customHeight="1" x14ac:dyDescent="0.3">
      <c r="A4595" s="46">
        <v>4591</v>
      </c>
      <c r="B4595" s="47">
        <f t="shared" ca="1" si="71"/>
        <v>0.40317977596483778</v>
      </c>
      <c r="C4595" s="48">
        <f t="array" aca="1" ref="C4595" ca="1">MAX(0,ROUND(Inputs!$B$10*Inputs!$B$11+NORMSINV(B4595)*SQRT(Inputs!$B$10*Inputs!$B$11),0))</f>
        <v>495</v>
      </c>
      <c r="D4595" s="49">
        <f ca="1">C4595*Inputs!$B$12</f>
        <v>59400000</v>
      </c>
    </row>
    <row r="4596" spans="1:4" ht="13.5" customHeight="1" x14ac:dyDescent="0.3">
      <c r="A4596" s="50">
        <v>4592</v>
      </c>
      <c r="B4596" s="51">
        <f t="shared" ca="1" si="71"/>
        <v>0.71531241962555348</v>
      </c>
      <c r="C4596" s="48">
        <f t="array" aca="1" ref="C4596" ca="1">MAX(0,ROUND(Inputs!$B$10*Inputs!$B$11+NORMSINV(B4596)*SQRT(Inputs!$B$10*Inputs!$B$11),0))</f>
        <v>513</v>
      </c>
      <c r="D4596" s="52">
        <f ca="1">C4596*Inputs!$B$12</f>
        <v>61560000</v>
      </c>
    </row>
    <row r="4597" spans="1:4" ht="13.5" customHeight="1" x14ac:dyDescent="0.3">
      <c r="A4597" s="46">
        <v>4593</v>
      </c>
      <c r="B4597" s="47">
        <f t="shared" ca="1" si="71"/>
        <v>0.72568314689296098</v>
      </c>
      <c r="C4597" s="48">
        <f t="array" aca="1" ref="C4597" ca="1">MAX(0,ROUND(Inputs!$B$10*Inputs!$B$11+NORMSINV(B4597)*SQRT(Inputs!$B$10*Inputs!$B$11),0))</f>
        <v>513</v>
      </c>
      <c r="D4597" s="49">
        <f ca="1">C4597*Inputs!$B$12</f>
        <v>61560000</v>
      </c>
    </row>
    <row r="4598" spans="1:4" ht="13.5" customHeight="1" x14ac:dyDescent="0.3">
      <c r="A4598" s="50">
        <v>4594</v>
      </c>
      <c r="B4598" s="51">
        <f t="shared" ca="1" si="71"/>
        <v>0.21618745853578902</v>
      </c>
      <c r="C4598" s="48">
        <f t="array" aca="1" ref="C4598" ca="1">MAX(0,ROUND(Inputs!$B$10*Inputs!$B$11+NORMSINV(B4598)*SQRT(Inputs!$B$10*Inputs!$B$11),0))</f>
        <v>482</v>
      </c>
      <c r="D4598" s="52">
        <f ca="1">C4598*Inputs!$B$12</f>
        <v>57840000</v>
      </c>
    </row>
    <row r="4599" spans="1:4" ht="13.5" customHeight="1" x14ac:dyDescent="0.3">
      <c r="A4599" s="46">
        <v>4595</v>
      </c>
      <c r="B4599" s="47">
        <f t="shared" ca="1" si="71"/>
        <v>0.14545555801571131</v>
      </c>
      <c r="C4599" s="48">
        <f t="array" aca="1" ref="C4599" ca="1">MAX(0,ROUND(Inputs!$B$10*Inputs!$B$11+NORMSINV(B4599)*SQRT(Inputs!$B$10*Inputs!$B$11),0))</f>
        <v>476</v>
      </c>
      <c r="D4599" s="49">
        <f ca="1">C4599*Inputs!$B$12</f>
        <v>57120000</v>
      </c>
    </row>
    <row r="4600" spans="1:4" ht="13.5" customHeight="1" x14ac:dyDescent="0.3">
      <c r="A4600" s="50">
        <v>4596</v>
      </c>
      <c r="B4600" s="51">
        <f t="shared" ca="1" si="71"/>
        <v>0.6621900781985165</v>
      </c>
      <c r="C4600" s="48">
        <f t="array" aca="1" ref="C4600" ca="1">MAX(0,ROUND(Inputs!$B$10*Inputs!$B$11+NORMSINV(B4600)*SQRT(Inputs!$B$10*Inputs!$B$11),0))</f>
        <v>509</v>
      </c>
      <c r="D4600" s="52">
        <f ca="1">C4600*Inputs!$B$12</f>
        <v>61080000</v>
      </c>
    </row>
    <row r="4601" spans="1:4" ht="13.5" customHeight="1" x14ac:dyDescent="0.3">
      <c r="A4601" s="46">
        <v>4597</v>
      </c>
      <c r="B4601" s="47">
        <f t="shared" ca="1" si="71"/>
        <v>0.83193990756847314</v>
      </c>
      <c r="C4601" s="48">
        <f t="array" aca="1" ref="C4601" ca="1">MAX(0,ROUND(Inputs!$B$10*Inputs!$B$11+NORMSINV(B4601)*SQRT(Inputs!$B$10*Inputs!$B$11),0))</f>
        <v>522</v>
      </c>
      <c r="D4601" s="49">
        <f ca="1">C4601*Inputs!$B$12</f>
        <v>62640000</v>
      </c>
    </row>
    <row r="4602" spans="1:4" ht="13.5" customHeight="1" x14ac:dyDescent="0.3">
      <c r="A4602" s="50">
        <v>4598</v>
      </c>
      <c r="B4602" s="51">
        <f t="shared" ca="1" si="71"/>
        <v>0.94920894668319289</v>
      </c>
      <c r="C4602" s="48">
        <f t="array" aca="1" ref="C4602" ca="1">MAX(0,ROUND(Inputs!$B$10*Inputs!$B$11+NORMSINV(B4602)*SQRT(Inputs!$B$10*Inputs!$B$11),0))</f>
        <v>537</v>
      </c>
      <c r="D4602" s="52">
        <f ca="1">C4602*Inputs!$B$12</f>
        <v>64440000</v>
      </c>
    </row>
    <row r="4603" spans="1:4" ht="13.5" customHeight="1" x14ac:dyDescent="0.3">
      <c r="A4603" s="46">
        <v>4599</v>
      </c>
      <c r="B4603" s="47">
        <f t="shared" ca="1" si="71"/>
        <v>0.77426778333462432</v>
      </c>
      <c r="C4603" s="48">
        <f t="array" aca="1" ref="C4603" ca="1">MAX(0,ROUND(Inputs!$B$10*Inputs!$B$11+NORMSINV(B4603)*SQRT(Inputs!$B$10*Inputs!$B$11),0))</f>
        <v>517</v>
      </c>
      <c r="D4603" s="49">
        <f ca="1">C4603*Inputs!$B$12</f>
        <v>62040000</v>
      </c>
    </row>
    <row r="4604" spans="1:4" ht="13.5" customHeight="1" x14ac:dyDescent="0.3">
      <c r="A4604" s="50">
        <v>4600</v>
      </c>
      <c r="B4604" s="51">
        <f t="shared" ca="1" si="71"/>
        <v>0.77144758593473706</v>
      </c>
      <c r="C4604" s="48">
        <f t="array" aca="1" ref="C4604" ca="1">MAX(0,ROUND(Inputs!$B$10*Inputs!$B$11+NORMSINV(B4604)*SQRT(Inputs!$B$10*Inputs!$B$11),0))</f>
        <v>517</v>
      </c>
      <c r="D4604" s="52">
        <f ca="1">C4604*Inputs!$B$12</f>
        <v>62040000</v>
      </c>
    </row>
    <row r="4605" spans="1:4" ht="13.5" customHeight="1" x14ac:dyDescent="0.3">
      <c r="A4605" s="46">
        <v>4601</v>
      </c>
      <c r="B4605" s="47">
        <f t="shared" ca="1" si="71"/>
        <v>0.2769014534063875</v>
      </c>
      <c r="C4605" s="48">
        <f t="array" aca="1" ref="C4605" ca="1">MAX(0,ROUND(Inputs!$B$10*Inputs!$B$11+NORMSINV(B4605)*SQRT(Inputs!$B$10*Inputs!$B$11),0))</f>
        <v>487</v>
      </c>
      <c r="D4605" s="49">
        <f ca="1">C4605*Inputs!$B$12</f>
        <v>58440000</v>
      </c>
    </row>
    <row r="4606" spans="1:4" ht="13.5" customHeight="1" x14ac:dyDescent="0.3">
      <c r="A4606" s="50">
        <v>4602</v>
      </c>
      <c r="B4606" s="51">
        <f t="shared" ca="1" si="71"/>
        <v>0.6725555939624227</v>
      </c>
      <c r="C4606" s="48">
        <f t="array" aca="1" ref="C4606" ca="1">MAX(0,ROUND(Inputs!$B$10*Inputs!$B$11+NORMSINV(B4606)*SQRT(Inputs!$B$10*Inputs!$B$11),0))</f>
        <v>510</v>
      </c>
      <c r="D4606" s="52">
        <f ca="1">C4606*Inputs!$B$12</f>
        <v>61200000</v>
      </c>
    </row>
    <row r="4607" spans="1:4" ht="13.5" customHeight="1" x14ac:dyDescent="0.3">
      <c r="A4607" s="46">
        <v>4603</v>
      </c>
      <c r="B4607" s="47">
        <f t="shared" ca="1" si="71"/>
        <v>0.86147006353087063</v>
      </c>
      <c r="C4607" s="48">
        <f t="array" aca="1" ref="C4607" ca="1">MAX(0,ROUND(Inputs!$B$10*Inputs!$B$11+NORMSINV(B4607)*SQRT(Inputs!$B$10*Inputs!$B$11),0))</f>
        <v>524</v>
      </c>
      <c r="D4607" s="49">
        <f ca="1">C4607*Inputs!$B$12</f>
        <v>62880000</v>
      </c>
    </row>
    <row r="4608" spans="1:4" ht="13.5" customHeight="1" x14ac:dyDescent="0.3">
      <c r="A4608" s="50">
        <v>4604</v>
      </c>
      <c r="B4608" s="51">
        <f t="shared" ca="1" si="71"/>
        <v>0.33030700934728918</v>
      </c>
      <c r="C4608" s="48">
        <f t="array" aca="1" ref="C4608" ca="1">MAX(0,ROUND(Inputs!$B$10*Inputs!$B$11+NORMSINV(B4608)*SQRT(Inputs!$B$10*Inputs!$B$11),0))</f>
        <v>490</v>
      </c>
      <c r="D4608" s="52">
        <f ca="1">C4608*Inputs!$B$12</f>
        <v>58800000</v>
      </c>
    </row>
    <row r="4609" spans="1:4" ht="13.5" customHeight="1" x14ac:dyDescent="0.3">
      <c r="A4609" s="46">
        <v>4605</v>
      </c>
      <c r="B4609" s="47">
        <f t="shared" ca="1" si="71"/>
        <v>0.1592582311625812</v>
      </c>
      <c r="C4609" s="48">
        <f t="array" aca="1" ref="C4609" ca="1">MAX(0,ROUND(Inputs!$B$10*Inputs!$B$11+NORMSINV(B4609)*SQRT(Inputs!$B$10*Inputs!$B$11),0))</f>
        <v>478</v>
      </c>
      <c r="D4609" s="49">
        <f ca="1">C4609*Inputs!$B$12</f>
        <v>57360000</v>
      </c>
    </row>
    <row r="4610" spans="1:4" ht="13.5" customHeight="1" x14ac:dyDescent="0.3">
      <c r="A4610" s="50">
        <v>4606</v>
      </c>
      <c r="B4610" s="51">
        <f t="shared" ca="1" si="71"/>
        <v>0.81176128779844603</v>
      </c>
      <c r="C4610" s="48">
        <f t="array" aca="1" ref="C4610" ca="1">MAX(0,ROUND(Inputs!$B$10*Inputs!$B$11+NORMSINV(B4610)*SQRT(Inputs!$B$10*Inputs!$B$11),0))</f>
        <v>520</v>
      </c>
      <c r="D4610" s="52">
        <f ca="1">C4610*Inputs!$B$12</f>
        <v>62400000</v>
      </c>
    </row>
    <row r="4611" spans="1:4" ht="13.5" customHeight="1" x14ac:dyDescent="0.3">
      <c r="A4611" s="46">
        <v>4607</v>
      </c>
      <c r="B4611" s="47">
        <f t="shared" ca="1" si="71"/>
        <v>0.57907730280960068</v>
      </c>
      <c r="C4611" s="48">
        <f t="array" aca="1" ref="C4611" ca="1">MAX(0,ROUND(Inputs!$B$10*Inputs!$B$11+NORMSINV(B4611)*SQRT(Inputs!$B$10*Inputs!$B$11),0))</f>
        <v>504</v>
      </c>
      <c r="D4611" s="49">
        <f ca="1">C4611*Inputs!$B$12</f>
        <v>60480000</v>
      </c>
    </row>
    <row r="4612" spans="1:4" ht="13.5" customHeight="1" x14ac:dyDescent="0.3">
      <c r="A4612" s="50">
        <v>4608</v>
      </c>
      <c r="B4612" s="51">
        <f t="shared" ca="1" si="71"/>
        <v>0.811115865440315</v>
      </c>
      <c r="C4612" s="48">
        <f t="array" aca="1" ref="C4612" ca="1">MAX(0,ROUND(Inputs!$B$10*Inputs!$B$11+NORMSINV(B4612)*SQRT(Inputs!$B$10*Inputs!$B$11),0))</f>
        <v>520</v>
      </c>
      <c r="D4612" s="52">
        <f ca="1">C4612*Inputs!$B$12</f>
        <v>62400000</v>
      </c>
    </row>
    <row r="4613" spans="1:4" ht="13.5" customHeight="1" x14ac:dyDescent="0.3">
      <c r="A4613" s="46">
        <v>4609</v>
      </c>
      <c r="B4613" s="47">
        <f t="shared" ref="B4613:B4676" ca="1" si="72">RAND()</f>
        <v>0.41220154030338618</v>
      </c>
      <c r="C4613" s="48">
        <f t="array" aca="1" ref="C4613" ca="1">MAX(0,ROUND(Inputs!$B$10*Inputs!$B$11+NORMSINV(B4613)*SQRT(Inputs!$B$10*Inputs!$B$11),0))</f>
        <v>495</v>
      </c>
      <c r="D4613" s="49">
        <f ca="1">C4613*Inputs!$B$12</f>
        <v>59400000</v>
      </c>
    </row>
    <row r="4614" spans="1:4" ht="13.5" customHeight="1" x14ac:dyDescent="0.3">
      <c r="A4614" s="50">
        <v>4610</v>
      </c>
      <c r="B4614" s="51">
        <f t="shared" ca="1" si="72"/>
        <v>0.44101436891399881</v>
      </c>
      <c r="C4614" s="48">
        <f t="array" aca="1" ref="C4614" ca="1">MAX(0,ROUND(Inputs!$B$10*Inputs!$B$11+NORMSINV(B4614)*SQRT(Inputs!$B$10*Inputs!$B$11),0))</f>
        <v>497</v>
      </c>
      <c r="D4614" s="52">
        <f ca="1">C4614*Inputs!$B$12</f>
        <v>59640000</v>
      </c>
    </row>
    <row r="4615" spans="1:4" ht="13.5" customHeight="1" x14ac:dyDescent="0.3">
      <c r="A4615" s="46">
        <v>4611</v>
      </c>
      <c r="B4615" s="47">
        <f t="shared" ca="1" si="72"/>
        <v>0.31063351613252388</v>
      </c>
      <c r="C4615" s="48">
        <f t="array" aca="1" ref="C4615" ca="1">MAX(0,ROUND(Inputs!$B$10*Inputs!$B$11+NORMSINV(B4615)*SQRT(Inputs!$B$10*Inputs!$B$11),0))</f>
        <v>489</v>
      </c>
      <c r="D4615" s="49">
        <f ca="1">C4615*Inputs!$B$12</f>
        <v>58680000</v>
      </c>
    </row>
    <row r="4616" spans="1:4" ht="13.5" customHeight="1" x14ac:dyDescent="0.3">
      <c r="A4616" s="50">
        <v>4612</v>
      </c>
      <c r="B4616" s="51">
        <f t="shared" ca="1" si="72"/>
        <v>0.34830034970354251</v>
      </c>
      <c r="C4616" s="48">
        <f t="array" aca="1" ref="C4616" ca="1">MAX(0,ROUND(Inputs!$B$10*Inputs!$B$11+NORMSINV(B4616)*SQRT(Inputs!$B$10*Inputs!$B$11),0))</f>
        <v>491</v>
      </c>
      <c r="D4616" s="52">
        <f ca="1">C4616*Inputs!$B$12</f>
        <v>58920000</v>
      </c>
    </row>
    <row r="4617" spans="1:4" ht="13.5" customHeight="1" x14ac:dyDescent="0.3">
      <c r="A4617" s="46">
        <v>4613</v>
      </c>
      <c r="B4617" s="47">
        <f t="shared" ca="1" si="72"/>
        <v>0.70406018150228467</v>
      </c>
      <c r="C4617" s="48">
        <f t="array" aca="1" ref="C4617" ca="1">MAX(0,ROUND(Inputs!$B$10*Inputs!$B$11+NORMSINV(B4617)*SQRT(Inputs!$B$10*Inputs!$B$11),0))</f>
        <v>512</v>
      </c>
      <c r="D4617" s="49">
        <f ca="1">C4617*Inputs!$B$12</f>
        <v>61440000</v>
      </c>
    </row>
    <row r="4618" spans="1:4" ht="13.5" customHeight="1" x14ac:dyDescent="0.3">
      <c r="A4618" s="50">
        <v>4614</v>
      </c>
      <c r="B4618" s="51">
        <f t="shared" ca="1" si="72"/>
        <v>6.4841842005139316E-2</v>
      </c>
      <c r="C4618" s="48">
        <f t="array" aca="1" ref="C4618" ca="1">MAX(0,ROUND(Inputs!$B$10*Inputs!$B$11+NORMSINV(B4618)*SQRT(Inputs!$B$10*Inputs!$B$11),0))</f>
        <v>466</v>
      </c>
      <c r="D4618" s="52">
        <f ca="1">C4618*Inputs!$B$12</f>
        <v>55920000</v>
      </c>
    </row>
    <row r="4619" spans="1:4" ht="13.5" customHeight="1" x14ac:dyDescent="0.3">
      <c r="A4619" s="46">
        <v>4615</v>
      </c>
      <c r="B4619" s="47">
        <f t="shared" ca="1" si="72"/>
        <v>0.43710787191246581</v>
      </c>
      <c r="C4619" s="48">
        <f t="array" aca="1" ref="C4619" ca="1">MAX(0,ROUND(Inputs!$B$10*Inputs!$B$11+NORMSINV(B4619)*SQRT(Inputs!$B$10*Inputs!$B$11),0))</f>
        <v>496</v>
      </c>
      <c r="D4619" s="49">
        <f ca="1">C4619*Inputs!$B$12</f>
        <v>59520000</v>
      </c>
    </row>
    <row r="4620" spans="1:4" ht="13.5" customHeight="1" x14ac:dyDescent="0.3">
      <c r="A4620" s="50">
        <v>4616</v>
      </c>
      <c r="B4620" s="51">
        <f t="shared" ca="1" si="72"/>
        <v>0.90352685536139365</v>
      </c>
      <c r="C4620" s="48">
        <f t="array" aca="1" ref="C4620" ca="1">MAX(0,ROUND(Inputs!$B$10*Inputs!$B$11+NORMSINV(B4620)*SQRT(Inputs!$B$10*Inputs!$B$11),0))</f>
        <v>529</v>
      </c>
      <c r="D4620" s="52">
        <f ca="1">C4620*Inputs!$B$12</f>
        <v>63480000</v>
      </c>
    </row>
    <row r="4621" spans="1:4" ht="13.5" customHeight="1" x14ac:dyDescent="0.3">
      <c r="A4621" s="46">
        <v>4617</v>
      </c>
      <c r="B4621" s="47">
        <f t="shared" ca="1" si="72"/>
        <v>0.51205074120273208</v>
      </c>
      <c r="C4621" s="48">
        <f t="array" aca="1" ref="C4621" ca="1">MAX(0,ROUND(Inputs!$B$10*Inputs!$B$11+NORMSINV(B4621)*SQRT(Inputs!$B$10*Inputs!$B$11),0))</f>
        <v>501</v>
      </c>
      <c r="D4621" s="49">
        <f ca="1">C4621*Inputs!$B$12</f>
        <v>60120000</v>
      </c>
    </row>
    <row r="4622" spans="1:4" ht="13.5" customHeight="1" x14ac:dyDescent="0.3">
      <c r="A4622" s="50">
        <v>4618</v>
      </c>
      <c r="B4622" s="51">
        <f t="shared" ca="1" si="72"/>
        <v>4.9769788098712464E-3</v>
      </c>
      <c r="C4622" s="48">
        <f t="array" aca="1" ref="C4622" ca="1">MAX(0,ROUND(Inputs!$B$10*Inputs!$B$11+NORMSINV(B4622)*SQRT(Inputs!$B$10*Inputs!$B$11),0))</f>
        <v>442</v>
      </c>
      <c r="D4622" s="52">
        <f ca="1">C4622*Inputs!$B$12</f>
        <v>53040000</v>
      </c>
    </row>
    <row r="4623" spans="1:4" ht="13.5" customHeight="1" x14ac:dyDescent="0.3">
      <c r="A4623" s="46">
        <v>4619</v>
      </c>
      <c r="B4623" s="47">
        <f t="shared" ca="1" si="72"/>
        <v>0.17193616241786269</v>
      </c>
      <c r="C4623" s="48">
        <f t="array" aca="1" ref="C4623" ca="1">MAX(0,ROUND(Inputs!$B$10*Inputs!$B$11+NORMSINV(B4623)*SQRT(Inputs!$B$10*Inputs!$B$11),0))</f>
        <v>479</v>
      </c>
      <c r="D4623" s="49">
        <f ca="1">C4623*Inputs!$B$12</f>
        <v>57480000</v>
      </c>
    </row>
    <row r="4624" spans="1:4" ht="13.5" customHeight="1" x14ac:dyDescent="0.3">
      <c r="A4624" s="50">
        <v>4620</v>
      </c>
      <c r="B4624" s="51">
        <f t="shared" ca="1" si="72"/>
        <v>0.2981635213534618</v>
      </c>
      <c r="C4624" s="48">
        <f t="array" aca="1" ref="C4624" ca="1">MAX(0,ROUND(Inputs!$B$10*Inputs!$B$11+NORMSINV(B4624)*SQRT(Inputs!$B$10*Inputs!$B$11),0))</f>
        <v>488</v>
      </c>
      <c r="D4624" s="52">
        <f ca="1">C4624*Inputs!$B$12</f>
        <v>58560000</v>
      </c>
    </row>
    <row r="4625" spans="1:4" ht="13.5" customHeight="1" x14ac:dyDescent="0.3">
      <c r="A4625" s="46">
        <v>4621</v>
      </c>
      <c r="B4625" s="47">
        <f t="shared" ca="1" si="72"/>
        <v>0.20362623260113222</v>
      </c>
      <c r="C4625" s="48">
        <f t="array" aca="1" ref="C4625" ca="1">MAX(0,ROUND(Inputs!$B$10*Inputs!$B$11+NORMSINV(B4625)*SQRT(Inputs!$B$10*Inputs!$B$11),0))</f>
        <v>481</v>
      </c>
      <c r="D4625" s="49">
        <f ca="1">C4625*Inputs!$B$12</f>
        <v>57720000</v>
      </c>
    </row>
    <row r="4626" spans="1:4" ht="13.5" customHeight="1" x14ac:dyDescent="0.3">
      <c r="A4626" s="50">
        <v>4622</v>
      </c>
      <c r="B4626" s="51">
        <f t="shared" ca="1" si="72"/>
        <v>0.9011553601246105</v>
      </c>
      <c r="C4626" s="48">
        <f t="array" aca="1" ref="C4626" ca="1">MAX(0,ROUND(Inputs!$B$10*Inputs!$B$11+NORMSINV(B4626)*SQRT(Inputs!$B$10*Inputs!$B$11),0))</f>
        <v>529</v>
      </c>
      <c r="D4626" s="52">
        <f ca="1">C4626*Inputs!$B$12</f>
        <v>63480000</v>
      </c>
    </row>
    <row r="4627" spans="1:4" ht="13.5" customHeight="1" x14ac:dyDescent="0.3">
      <c r="A4627" s="46">
        <v>4623</v>
      </c>
      <c r="B4627" s="47">
        <f t="shared" ca="1" si="72"/>
        <v>0.21379020364246071</v>
      </c>
      <c r="C4627" s="48">
        <f t="array" aca="1" ref="C4627" ca="1">MAX(0,ROUND(Inputs!$B$10*Inputs!$B$11+NORMSINV(B4627)*SQRT(Inputs!$B$10*Inputs!$B$11),0))</f>
        <v>482</v>
      </c>
      <c r="D4627" s="49">
        <f ca="1">C4627*Inputs!$B$12</f>
        <v>57840000</v>
      </c>
    </row>
    <row r="4628" spans="1:4" ht="13.5" customHeight="1" x14ac:dyDescent="0.3">
      <c r="A4628" s="50">
        <v>4624</v>
      </c>
      <c r="B4628" s="51">
        <f t="shared" ca="1" si="72"/>
        <v>4.8719944765714507E-2</v>
      </c>
      <c r="C4628" s="48">
        <f t="array" aca="1" ref="C4628" ca="1">MAX(0,ROUND(Inputs!$B$10*Inputs!$B$11+NORMSINV(B4628)*SQRT(Inputs!$B$10*Inputs!$B$11),0))</f>
        <v>463</v>
      </c>
      <c r="D4628" s="52">
        <f ca="1">C4628*Inputs!$B$12</f>
        <v>55560000</v>
      </c>
    </row>
    <row r="4629" spans="1:4" ht="13.5" customHeight="1" x14ac:dyDescent="0.3">
      <c r="A4629" s="46">
        <v>4625</v>
      </c>
      <c r="B4629" s="47">
        <f t="shared" ca="1" si="72"/>
        <v>0.24631095964905825</v>
      </c>
      <c r="C4629" s="48">
        <f t="array" aca="1" ref="C4629" ca="1">MAX(0,ROUND(Inputs!$B$10*Inputs!$B$11+NORMSINV(B4629)*SQRT(Inputs!$B$10*Inputs!$B$11),0))</f>
        <v>485</v>
      </c>
      <c r="D4629" s="49">
        <f ca="1">C4629*Inputs!$B$12</f>
        <v>58200000</v>
      </c>
    </row>
    <row r="4630" spans="1:4" ht="13.5" customHeight="1" x14ac:dyDescent="0.3">
      <c r="A4630" s="50">
        <v>4626</v>
      </c>
      <c r="B4630" s="51">
        <f t="shared" ca="1" si="72"/>
        <v>0.17656327671824779</v>
      </c>
      <c r="C4630" s="48">
        <f t="array" aca="1" ref="C4630" ca="1">MAX(0,ROUND(Inputs!$B$10*Inputs!$B$11+NORMSINV(B4630)*SQRT(Inputs!$B$10*Inputs!$B$11),0))</f>
        <v>479</v>
      </c>
      <c r="D4630" s="52">
        <f ca="1">C4630*Inputs!$B$12</f>
        <v>57480000</v>
      </c>
    </row>
    <row r="4631" spans="1:4" ht="13.5" customHeight="1" x14ac:dyDescent="0.3">
      <c r="A4631" s="46">
        <v>4627</v>
      </c>
      <c r="B4631" s="47">
        <f t="shared" ca="1" si="72"/>
        <v>0.78828736372141639</v>
      </c>
      <c r="C4631" s="48">
        <f t="array" aca="1" ref="C4631" ca="1">MAX(0,ROUND(Inputs!$B$10*Inputs!$B$11+NORMSINV(B4631)*SQRT(Inputs!$B$10*Inputs!$B$11),0))</f>
        <v>518</v>
      </c>
      <c r="D4631" s="49">
        <f ca="1">C4631*Inputs!$B$12</f>
        <v>62160000</v>
      </c>
    </row>
    <row r="4632" spans="1:4" ht="13.5" customHeight="1" x14ac:dyDescent="0.3">
      <c r="A4632" s="50">
        <v>4628</v>
      </c>
      <c r="B4632" s="51">
        <f t="shared" ca="1" si="72"/>
        <v>0.87656865239730453</v>
      </c>
      <c r="C4632" s="48">
        <f t="array" aca="1" ref="C4632" ca="1">MAX(0,ROUND(Inputs!$B$10*Inputs!$B$11+NORMSINV(B4632)*SQRT(Inputs!$B$10*Inputs!$B$11),0))</f>
        <v>526</v>
      </c>
      <c r="D4632" s="52">
        <f ca="1">C4632*Inputs!$B$12</f>
        <v>63120000</v>
      </c>
    </row>
    <row r="4633" spans="1:4" ht="13.5" customHeight="1" x14ac:dyDescent="0.3">
      <c r="A4633" s="46">
        <v>4629</v>
      </c>
      <c r="B4633" s="47">
        <f t="shared" ca="1" si="72"/>
        <v>0.71352707841205343</v>
      </c>
      <c r="C4633" s="48">
        <f t="array" aca="1" ref="C4633" ca="1">MAX(0,ROUND(Inputs!$B$10*Inputs!$B$11+NORMSINV(B4633)*SQRT(Inputs!$B$10*Inputs!$B$11),0))</f>
        <v>513</v>
      </c>
      <c r="D4633" s="49">
        <f ca="1">C4633*Inputs!$B$12</f>
        <v>61560000</v>
      </c>
    </row>
    <row r="4634" spans="1:4" ht="13.5" customHeight="1" x14ac:dyDescent="0.3">
      <c r="A4634" s="50">
        <v>4630</v>
      </c>
      <c r="B4634" s="51">
        <f t="shared" ca="1" si="72"/>
        <v>0.72055283792159086</v>
      </c>
      <c r="C4634" s="48">
        <f t="array" aca="1" ref="C4634" ca="1">MAX(0,ROUND(Inputs!$B$10*Inputs!$B$11+NORMSINV(B4634)*SQRT(Inputs!$B$10*Inputs!$B$11),0))</f>
        <v>513</v>
      </c>
      <c r="D4634" s="52">
        <f ca="1">C4634*Inputs!$B$12</f>
        <v>61560000</v>
      </c>
    </row>
    <row r="4635" spans="1:4" ht="13.5" customHeight="1" x14ac:dyDescent="0.3">
      <c r="A4635" s="46">
        <v>4631</v>
      </c>
      <c r="B4635" s="47">
        <f t="shared" ca="1" si="72"/>
        <v>0.38186498664078983</v>
      </c>
      <c r="C4635" s="48">
        <f t="array" aca="1" ref="C4635" ca="1">MAX(0,ROUND(Inputs!$B$10*Inputs!$B$11+NORMSINV(B4635)*SQRT(Inputs!$B$10*Inputs!$B$11),0))</f>
        <v>493</v>
      </c>
      <c r="D4635" s="49">
        <f ca="1">C4635*Inputs!$B$12</f>
        <v>59160000</v>
      </c>
    </row>
    <row r="4636" spans="1:4" ht="13.5" customHeight="1" x14ac:dyDescent="0.3">
      <c r="A4636" s="50">
        <v>4632</v>
      </c>
      <c r="B4636" s="51">
        <f t="shared" ca="1" si="72"/>
        <v>0.37900101609734194</v>
      </c>
      <c r="C4636" s="48">
        <f t="array" aca="1" ref="C4636" ca="1">MAX(0,ROUND(Inputs!$B$10*Inputs!$B$11+NORMSINV(B4636)*SQRT(Inputs!$B$10*Inputs!$B$11),0))</f>
        <v>493</v>
      </c>
      <c r="D4636" s="52">
        <f ca="1">C4636*Inputs!$B$12</f>
        <v>59160000</v>
      </c>
    </row>
    <row r="4637" spans="1:4" ht="13.5" customHeight="1" x14ac:dyDescent="0.3">
      <c r="A4637" s="46">
        <v>4633</v>
      </c>
      <c r="B4637" s="47">
        <f t="shared" ca="1" si="72"/>
        <v>0.69790130719186561</v>
      </c>
      <c r="C4637" s="48">
        <f t="array" aca="1" ref="C4637" ca="1">MAX(0,ROUND(Inputs!$B$10*Inputs!$B$11+NORMSINV(B4637)*SQRT(Inputs!$B$10*Inputs!$B$11),0))</f>
        <v>512</v>
      </c>
      <c r="D4637" s="49">
        <f ca="1">C4637*Inputs!$B$12</f>
        <v>61440000</v>
      </c>
    </row>
    <row r="4638" spans="1:4" ht="13.5" customHeight="1" x14ac:dyDescent="0.3">
      <c r="A4638" s="50">
        <v>4634</v>
      </c>
      <c r="B4638" s="51">
        <f t="shared" ca="1" si="72"/>
        <v>7.1893900392411281E-3</v>
      </c>
      <c r="C4638" s="48">
        <f t="array" aca="1" ref="C4638" ca="1">MAX(0,ROUND(Inputs!$B$10*Inputs!$B$11+NORMSINV(B4638)*SQRT(Inputs!$B$10*Inputs!$B$11),0))</f>
        <v>445</v>
      </c>
      <c r="D4638" s="52">
        <f ca="1">C4638*Inputs!$B$12</f>
        <v>53400000</v>
      </c>
    </row>
    <row r="4639" spans="1:4" ht="13.5" customHeight="1" x14ac:dyDescent="0.3">
      <c r="A4639" s="46">
        <v>4635</v>
      </c>
      <c r="B4639" s="47">
        <f t="shared" ca="1" si="72"/>
        <v>0.11469082964834287</v>
      </c>
      <c r="C4639" s="48">
        <f t="array" aca="1" ref="C4639" ca="1">MAX(0,ROUND(Inputs!$B$10*Inputs!$B$11+NORMSINV(B4639)*SQRT(Inputs!$B$10*Inputs!$B$11),0))</f>
        <v>473</v>
      </c>
      <c r="D4639" s="49">
        <f ca="1">C4639*Inputs!$B$12</f>
        <v>56760000</v>
      </c>
    </row>
    <row r="4640" spans="1:4" ht="13.5" customHeight="1" x14ac:dyDescent="0.3">
      <c r="A4640" s="50">
        <v>4636</v>
      </c>
      <c r="B4640" s="51">
        <f t="shared" ca="1" si="72"/>
        <v>0.64621978282722825</v>
      </c>
      <c r="C4640" s="48">
        <f t="array" aca="1" ref="C4640" ca="1">MAX(0,ROUND(Inputs!$B$10*Inputs!$B$11+NORMSINV(B4640)*SQRT(Inputs!$B$10*Inputs!$B$11),0))</f>
        <v>508</v>
      </c>
      <c r="D4640" s="52">
        <f ca="1">C4640*Inputs!$B$12</f>
        <v>60960000</v>
      </c>
    </row>
    <row r="4641" spans="1:4" ht="13.5" customHeight="1" x14ac:dyDescent="0.3">
      <c r="A4641" s="46">
        <v>4637</v>
      </c>
      <c r="B4641" s="47">
        <f t="shared" ca="1" si="72"/>
        <v>4.1695120367120975E-2</v>
      </c>
      <c r="C4641" s="48">
        <f t="array" aca="1" ref="C4641" ca="1">MAX(0,ROUND(Inputs!$B$10*Inputs!$B$11+NORMSINV(B4641)*SQRT(Inputs!$B$10*Inputs!$B$11),0))</f>
        <v>461</v>
      </c>
      <c r="D4641" s="49">
        <f ca="1">C4641*Inputs!$B$12</f>
        <v>55320000</v>
      </c>
    </row>
    <row r="4642" spans="1:4" ht="13.5" customHeight="1" x14ac:dyDescent="0.3">
      <c r="A4642" s="50">
        <v>4638</v>
      </c>
      <c r="B4642" s="51">
        <f t="shared" ca="1" si="72"/>
        <v>0.13436077731446872</v>
      </c>
      <c r="C4642" s="48">
        <f t="array" aca="1" ref="C4642" ca="1">MAX(0,ROUND(Inputs!$B$10*Inputs!$B$11+NORMSINV(B4642)*SQRT(Inputs!$B$10*Inputs!$B$11),0))</f>
        <v>475</v>
      </c>
      <c r="D4642" s="52">
        <f ca="1">C4642*Inputs!$B$12</f>
        <v>57000000</v>
      </c>
    </row>
    <row r="4643" spans="1:4" ht="13.5" customHeight="1" x14ac:dyDescent="0.3">
      <c r="A4643" s="46">
        <v>4639</v>
      </c>
      <c r="B4643" s="47">
        <f t="shared" ca="1" si="72"/>
        <v>0.65175678611362386</v>
      </c>
      <c r="C4643" s="48">
        <f t="array" aca="1" ref="C4643" ca="1">MAX(0,ROUND(Inputs!$B$10*Inputs!$B$11+NORMSINV(B4643)*SQRT(Inputs!$B$10*Inputs!$B$11),0))</f>
        <v>509</v>
      </c>
      <c r="D4643" s="49">
        <f ca="1">C4643*Inputs!$B$12</f>
        <v>61080000</v>
      </c>
    </row>
    <row r="4644" spans="1:4" ht="13.5" customHeight="1" x14ac:dyDescent="0.3">
      <c r="A4644" s="50">
        <v>4640</v>
      </c>
      <c r="B4644" s="51">
        <f t="shared" ca="1" si="72"/>
        <v>0.10970873825820937</v>
      </c>
      <c r="C4644" s="48">
        <f t="array" aca="1" ref="C4644" ca="1">MAX(0,ROUND(Inputs!$B$10*Inputs!$B$11+NORMSINV(B4644)*SQRT(Inputs!$B$10*Inputs!$B$11),0))</f>
        <v>473</v>
      </c>
      <c r="D4644" s="52">
        <f ca="1">C4644*Inputs!$B$12</f>
        <v>56760000</v>
      </c>
    </row>
    <row r="4645" spans="1:4" ht="13.5" customHeight="1" x14ac:dyDescent="0.3">
      <c r="A4645" s="46">
        <v>4641</v>
      </c>
      <c r="B4645" s="47">
        <f t="shared" ca="1" si="72"/>
        <v>0.56022336334771883</v>
      </c>
      <c r="C4645" s="48">
        <f t="array" aca="1" ref="C4645" ca="1">MAX(0,ROUND(Inputs!$B$10*Inputs!$B$11+NORMSINV(B4645)*SQRT(Inputs!$B$10*Inputs!$B$11),0))</f>
        <v>503</v>
      </c>
      <c r="D4645" s="49">
        <f ca="1">C4645*Inputs!$B$12</f>
        <v>60360000</v>
      </c>
    </row>
    <row r="4646" spans="1:4" ht="13.5" customHeight="1" x14ac:dyDescent="0.3">
      <c r="A4646" s="50">
        <v>4642</v>
      </c>
      <c r="B4646" s="51">
        <f t="shared" ca="1" si="72"/>
        <v>0.59102151160849759</v>
      </c>
      <c r="C4646" s="48">
        <f t="array" aca="1" ref="C4646" ca="1">MAX(0,ROUND(Inputs!$B$10*Inputs!$B$11+NORMSINV(B4646)*SQRT(Inputs!$B$10*Inputs!$B$11),0))</f>
        <v>505</v>
      </c>
      <c r="D4646" s="52">
        <f ca="1">C4646*Inputs!$B$12</f>
        <v>60600000</v>
      </c>
    </row>
    <row r="4647" spans="1:4" ht="13.5" customHeight="1" x14ac:dyDescent="0.3">
      <c r="A4647" s="46">
        <v>4643</v>
      </c>
      <c r="B4647" s="47">
        <f t="shared" ca="1" si="72"/>
        <v>0.94374809863955844</v>
      </c>
      <c r="C4647" s="48">
        <f t="array" aca="1" ref="C4647" ca="1">MAX(0,ROUND(Inputs!$B$10*Inputs!$B$11+NORMSINV(B4647)*SQRT(Inputs!$B$10*Inputs!$B$11),0))</f>
        <v>535</v>
      </c>
      <c r="D4647" s="49">
        <f ca="1">C4647*Inputs!$B$12</f>
        <v>64200000</v>
      </c>
    </row>
    <row r="4648" spans="1:4" ht="13.5" customHeight="1" x14ac:dyDescent="0.3">
      <c r="A4648" s="50">
        <v>4644</v>
      </c>
      <c r="B4648" s="51">
        <f t="shared" ca="1" si="72"/>
        <v>0.81593025028360333</v>
      </c>
      <c r="C4648" s="48">
        <f t="array" aca="1" ref="C4648" ca="1">MAX(0,ROUND(Inputs!$B$10*Inputs!$B$11+NORMSINV(B4648)*SQRT(Inputs!$B$10*Inputs!$B$11),0))</f>
        <v>520</v>
      </c>
      <c r="D4648" s="52">
        <f ca="1">C4648*Inputs!$B$12</f>
        <v>62400000</v>
      </c>
    </row>
    <row r="4649" spans="1:4" ht="13.5" customHeight="1" x14ac:dyDescent="0.3">
      <c r="A4649" s="46">
        <v>4645</v>
      </c>
      <c r="B4649" s="47">
        <f t="shared" ca="1" si="72"/>
        <v>1.6457424230894691E-2</v>
      </c>
      <c r="C4649" s="48">
        <f t="array" aca="1" ref="C4649" ca="1">MAX(0,ROUND(Inputs!$B$10*Inputs!$B$11+NORMSINV(B4649)*SQRT(Inputs!$B$10*Inputs!$B$11),0))</f>
        <v>452</v>
      </c>
      <c r="D4649" s="49">
        <f ca="1">C4649*Inputs!$B$12</f>
        <v>54240000</v>
      </c>
    </row>
    <row r="4650" spans="1:4" ht="13.5" customHeight="1" x14ac:dyDescent="0.3">
      <c r="A4650" s="50">
        <v>4646</v>
      </c>
      <c r="B4650" s="51">
        <f t="shared" ca="1" si="72"/>
        <v>5.5847536265246855E-2</v>
      </c>
      <c r="C4650" s="48">
        <f t="array" aca="1" ref="C4650" ca="1">MAX(0,ROUND(Inputs!$B$10*Inputs!$B$11+NORMSINV(B4650)*SQRT(Inputs!$B$10*Inputs!$B$11),0))</f>
        <v>464</v>
      </c>
      <c r="D4650" s="52">
        <f ca="1">C4650*Inputs!$B$12</f>
        <v>55680000</v>
      </c>
    </row>
    <row r="4651" spans="1:4" ht="13.5" customHeight="1" x14ac:dyDescent="0.3">
      <c r="A4651" s="46">
        <v>4647</v>
      </c>
      <c r="B4651" s="47">
        <f t="shared" ca="1" si="72"/>
        <v>0.50572077794423498</v>
      </c>
      <c r="C4651" s="48">
        <f t="array" aca="1" ref="C4651" ca="1">MAX(0,ROUND(Inputs!$B$10*Inputs!$B$11+NORMSINV(B4651)*SQRT(Inputs!$B$10*Inputs!$B$11),0))</f>
        <v>500</v>
      </c>
      <c r="D4651" s="49">
        <f ca="1">C4651*Inputs!$B$12</f>
        <v>60000000</v>
      </c>
    </row>
    <row r="4652" spans="1:4" ht="13.5" customHeight="1" x14ac:dyDescent="0.3">
      <c r="A4652" s="50">
        <v>4648</v>
      </c>
      <c r="B4652" s="51">
        <f t="shared" ca="1" si="72"/>
        <v>2.6501024372310167E-2</v>
      </c>
      <c r="C4652" s="48">
        <f t="array" aca="1" ref="C4652" ca="1">MAX(0,ROUND(Inputs!$B$10*Inputs!$B$11+NORMSINV(B4652)*SQRT(Inputs!$B$10*Inputs!$B$11),0))</f>
        <v>457</v>
      </c>
      <c r="D4652" s="52">
        <f ca="1">C4652*Inputs!$B$12</f>
        <v>54840000</v>
      </c>
    </row>
    <row r="4653" spans="1:4" ht="13.5" customHeight="1" x14ac:dyDescent="0.3">
      <c r="A4653" s="46">
        <v>4649</v>
      </c>
      <c r="B4653" s="47">
        <f t="shared" ca="1" si="72"/>
        <v>7.6015497661737541E-2</v>
      </c>
      <c r="C4653" s="48">
        <f t="array" aca="1" ref="C4653" ca="1">MAX(0,ROUND(Inputs!$B$10*Inputs!$B$11+NORMSINV(B4653)*SQRT(Inputs!$B$10*Inputs!$B$11),0))</f>
        <v>468</v>
      </c>
      <c r="D4653" s="49">
        <f ca="1">C4653*Inputs!$B$12</f>
        <v>56160000</v>
      </c>
    </row>
    <row r="4654" spans="1:4" ht="13.5" customHeight="1" x14ac:dyDescent="0.3">
      <c r="A4654" s="50">
        <v>4650</v>
      </c>
      <c r="B4654" s="51">
        <f t="shared" ca="1" si="72"/>
        <v>0.49427634635815465</v>
      </c>
      <c r="C4654" s="48">
        <f t="array" aca="1" ref="C4654" ca="1">MAX(0,ROUND(Inputs!$B$10*Inputs!$B$11+NORMSINV(B4654)*SQRT(Inputs!$B$10*Inputs!$B$11),0))</f>
        <v>500</v>
      </c>
      <c r="D4654" s="52">
        <f ca="1">C4654*Inputs!$B$12</f>
        <v>60000000</v>
      </c>
    </row>
    <row r="4655" spans="1:4" ht="13.5" customHeight="1" x14ac:dyDescent="0.3">
      <c r="A4655" s="46">
        <v>4651</v>
      </c>
      <c r="B4655" s="47">
        <f t="shared" ca="1" si="72"/>
        <v>0.76823951423758297</v>
      </c>
      <c r="C4655" s="48">
        <f t="array" aca="1" ref="C4655" ca="1">MAX(0,ROUND(Inputs!$B$10*Inputs!$B$11+NORMSINV(B4655)*SQRT(Inputs!$B$10*Inputs!$B$11),0))</f>
        <v>516</v>
      </c>
      <c r="D4655" s="49">
        <f ca="1">C4655*Inputs!$B$12</f>
        <v>61920000</v>
      </c>
    </row>
    <row r="4656" spans="1:4" ht="13.5" customHeight="1" x14ac:dyDescent="0.3">
      <c r="A4656" s="50">
        <v>4652</v>
      </c>
      <c r="B4656" s="51">
        <f t="shared" ca="1" si="72"/>
        <v>0.86729063786103033</v>
      </c>
      <c r="C4656" s="48">
        <f t="array" aca="1" ref="C4656" ca="1">MAX(0,ROUND(Inputs!$B$10*Inputs!$B$11+NORMSINV(B4656)*SQRT(Inputs!$B$10*Inputs!$B$11),0))</f>
        <v>525</v>
      </c>
      <c r="D4656" s="52">
        <f ca="1">C4656*Inputs!$B$12</f>
        <v>63000000</v>
      </c>
    </row>
    <row r="4657" spans="1:4" ht="13.5" customHeight="1" x14ac:dyDescent="0.3">
      <c r="A4657" s="46">
        <v>4653</v>
      </c>
      <c r="B4657" s="47">
        <f t="shared" ca="1" si="72"/>
        <v>0.98197147427061982</v>
      </c>
      <c r="C4657" s="48">
        <f t="array" aca="1" ref="C4657" ca="1">MAX(0,ROUND(Inputs!$B$10*Inputs!$B$11+NORMSINV(B4657)*SQRT(Inputs!$B$10*Inputs!$B$11),0))</f>
        <v>547</v>
      </c>
      <c r="D4657" s="49">
        <f ca="1">C4657*Inputs!$B$12</f>
        <v>65640000</v>
      </c>
    </row>
    <row r="4658" spans="1:4" ht="13.5" customHeight="1" x14ac:dyDescent="0.3">
      <c r="A4658" s="50">
        <v>4654</v>
      </c>
      <c r="B4658" s="51">
        <f t="shared" ca="1" si="72"/>
        <v>0.16816385095180308</v>
      </c>
      <c r="C4658" s="48">
        <f t="array" aca="1" ref="C4658" ca="1">MAX(0,ROUND(Inputs!$B$10*Inputs!$B$11+NORMSINV(B4658)*SQRT(Inputs!$B$10*Inputs!$B$11),0))</f>
        <v>479</v>
      </c>
      <c r="D4658" s="52">
        <f ca="1">C4658*Inputs!$B$12</f>
        <v>57480000</v>
      </c>
    </row>
    <row r="4659" spans="1:4" ht="13.5" customHeight="1" x14ac:dyDescent="0.3">
      <c r="A4659" s="46">
        <v>4655</v>
      </c>
      <c r="B4659" s="47">
        <f t="shared" ca="1" si="72"/>
        <v>0.50122401135277994</v>
      </c>
      <c r="C4659" s="48">
        <f t="array" aca="1" ref="C4659" ca="1">MAX(0,ROUND(Inputs!$B$10*Inputs!$B$11+NORMSINV(B4659)*SQRT(Inputs!$B$10*Inputs!$B$11),0))</f>
        <v>500</v>
      </c>
      <c r="D4659" s="49">
        <f ca="1">C4659*Inputs!$B$12</f>
        <v>60000000</v>
      </c>
    </row>
    <row r="4660" spans="1:4" ht="13.5" customHeight="1" x14ac:dyDescent="0.3">
      <c r="A4660" s="50">
        <v>4656</v>
      </c>
      <c r="B4660" s="51">
        <f t="shared" ca="1" si="72"/>
        <v>2.781740017164569E-2</v>
      </c>
      <c r="C4660" s="48">
        <f t="array" aca="1" ref="C4660" ca="1">MAX(0,ROUND(Inputs!$B$10*Inputs!$B$11+NORMSINV(B4660)*SQRT(Inputs!$B$10*Inputs!$B$11),0))</f>
        <v>457</v>
      </c>
      <c r="D4660" s="52">
        <f ca="1">C4660*Inputs!$B$12</f>
        <v>54840000</v>
      </c>
    </row>
    <row r="4661" spans="1:4" ht="13.5" customHeight="1" x14ac:dyDescent="0.3">
      <c r="A4661" s="46">
        <v>4657</v>
      </c>
      <c r="B4661" s="47">
        <f t="shared" ca="1" si="72"/>
        <v>0.47268021458373854</v>
      </c>
      <c r="C4661" s="48">
        <f t="array" aca="1" ref="C4661" ca="1">MAX(0,ROUND(Inputs!$B$10*Inputs!$B$11+NORMSINV(B4661)*SQRT(Inputs!$B$10*Inputs!$B$11),0))</f>
        <v>498</v>
      </c>
      <c r="D4661" s="49">
        <f ca="1">C4661*Inputs!$B$12</f>
        <v>59760000</v>
      </c>
    </row>
    <row r="4662" spans="1:4" ht="13.5" customHeight="1" x14ac:dyDescent="0.3">
      <c r="A4662" s="50">
        <v>4658</v>
      </c>
      <c r="B4662" s="51">
        <f t="shared" ca="1" si="72"/>
        <v>0.17270074193062002</v>
      </c>
      <c r="C4662" s="48">
        <f t="array" aca="1" ref="C4662" ca="1">MAX(0,ROUND(Inputs!$B$10*Inputs!$B$11+NORMSINV(B4662)*SQRT(Inputs!$B$10*Inputs!$B$11),0))</f>
        <v>479</v>
      </c>
      <c r="D4662" s="52">
        <f ca="1">C4662*Inputs!$B$12</f>
        <v>57480000</v>
      </c>
    </row>
    <row r="4663" spans="1:4" ht="13.5" customHeight="1" x14ac:dyDescent="0.3">
      <c r="A4663" s="46">
        <v>4659</v>
      </c>
      <c r="B4663" s="47">
        <f t="shared" ca="1" si="72"/>
        <v>0.56594737719752031</v>
      </c>
      <c r="C4663" s="48">
        <f t="array" aca="1" ref="C4663" ca="1">MAX(0,ROUND(Inputs!$B$10*Inputs!$B$11+NORMSINV(B4663)*SQRT(Inputs!$B$10*Inputs!$B$11),0))</f>
        <v>504</v>
      </c>
      <c r="D4663" s="49">
        <f ca="1">C4663*Inputs!$B$12</f>
        <v>60480000</v>
      </c>
    </row>
    <row r="4664" spans="1:4" ht="13.5" customHeight="1" x14ac:dyDescent="0.3">
      <c r="A4664" s="50">
        <v>4660</v>
      </c>
      <c r="B4664" s="51">
        <f t="shared" ca="1" si="72"/>
        <v>0.55422914054162864</v>
      </c>
      <c r="C4664" s="48">
        <f t="array" aca="1" ref="C4664" ca="1">MAX(0,ROUND(Inputs!$B$10*Inputs!$B$11+NORMSINV(B4664)*SQRT(Inputs!$B$10*Inputs!$B$11),0))</f>
        <v>503</v>
      </c>
      <c r="D4664" s="52">
        <f ca="1">C4664*Inputs!$B$12</f>
        <v>60360000</v>
      </c>
    </row>
    <row r="4665" spans="1:4" ht="13.5" customHeight="1" x14ac:dyDescent="0.3">
      <c r="A4665" s="46">
        <v>4661</v>
      </c>
      <c r="B4665" s="47">
        <f t="shared" ca="1" si="72"/>
        <v>0.79983318764498568</v>
      </c>
      <c r="C4665" s="48">
        <f t="array" aca="1" ref="C4665" ca="1">MAX(0,ROUND(Inputs!$B$10*Inputs!$B$11+NORMSINV(B4665)*SQRT(Inputs!$B$10*Inputs!$B$11),0))</f>
        <v>519</v>
      </c>
      <c r="D4665" s="49">
        <f ca="1">C4665*Inputs!$B$12</f>
        <v>62280000</v>
      </c>
    </row>
    <row r="4666" spans="1:4" ht="13.5" customHeight="1" x14ac:dyDescent="0.3">
      <c r="A4666" s="50">
        <v>4662</v>
      </c>
      <c r="B4666" s="51">
        <f t="shared" ca="1" si="72"/>
        <v>0.34156821359125</v>
      </c>
      <c r="C4666" s="48">
        <f t="array" aca="1" ref="C4666" ca="1">MAX(0,ROUND(Inputs!$B$10*Inputs!$B$11+NORMSINV(B4666)*SQRT(Inputs!$B$10*Inputs!$B$11),0))</f>
        <v>491</v>
      </c>
      <c r="D4666" s="52">
        <f ca="1">C4666*Inputs!$B$12</f>
        <v>58920000</v>
      </c>
    </row>
    <row r="4667" spans="1:4" ht="13.5" customHeight="1" x14ac:dyDescent="0.3">
      <c r="A4667" s="46">
        <v>4663</v>
      </c>
      <c r="B4667" s="47">
        <f t="shared" ca="1" si="72"/>
        <v>0.36223984326047876</v>
      </c>
      <c r="C4667" s="48">
        <f t="array" aca="1" ref="C4667" ca="1">MAX(0,ROUND(Inputs!$B$10*Inputs!$B$11+NORMSINV(B4667)*SQRT(Inputs!$B$10*Inputs!$B$11),0))</f>
        <v>492</v>
      </c>
      <c r="D4667" s="49">
        <f ca="1">C4667*Inputs!$B$12</f>
        <v>59040000</v>
      </c>
    </row>
    <row r="4668" spans="1:4" ht="13.5" customHeight="1" x14ac:dyDescent="0.3">
      <c r="A4668" s="50">
        <v>4664</v>
      </c>
      <c r="B4668" s="51">
        <f t="shared" ca="1" si="72"/>
        <v>0.40659024449032155</v>
      </c>
      <c r="C4668" s="48">
        <f t="array" aca="1" ref="C4668" ca="1">MAX(0,ROUND(Inputs!$B$10*Inputs!$B$11+NORMSINV(B4668)*SQRT(Inputs!$B$10*Inputs!$B$11),0))</f>
        <v>495</v>
      </c>
      <c r="D4668" s="52">
        <f ca="1">C4668*Inputs!$B$12</f>
        <v>59400000</v>
      </c>
    </row>
    <row r="4669" spans="1:4" ht="13.5" customHeight="1" x14ac:dyDescent="0.3">
      <c r="A4669" s="46">
        <v>4665</v>
      </c>
      <c r="B4669" s="47">
        <f t="shared" ca="1" si="72"/>
        <v>0.57590902942141642</v>
      </c>
      <c r="C4669" s="48">
        <f t="array" aca="1" ref="C4669" ca="1">MAX(0,ROUND(Inputs!$B$10*Inputs!$B$11+NORMSINV(B4669)*SQRT(Inputs!$B$10*Inputs!$B$11),0))</f>
        <v>504</v>
      </c>
      <c r="D4669" s="49">
        <f ca="1">C4669*Inputs!$B$12</f>
        <v>60480000</v>
      </c>
    </row>
    <row r="4670" spans="1:4" ht="13.5" customHeight="1" x14ac:dyDescent="0.3">
      <c r="A4670" s="50">
        <v>4666</v>
      </c>
      <c r="B4670" s="51">
        <f t="shared" ca="1" si="72"/>
        <v>0.58917372055428685</v>
      </c>
      <c r="C4670" s="48">
        <f t="array" aca="1" ref="C4670" ca="1">MAX(0,ROUND(Inputs!$B$10*Inputs!$B$11+NORMSINV(B4670)*SQRT(Inputs!$B$10*Inputs!$B$11),0))</f>
        <v>505</v>
      </c>
      <c r="D4670" s="52">
        <f ca="1">C4670*Inputs!$B$12</f>
        <v>60600000</v>
      </c>
    </row>
    <row r="4671" spans="1:4" ht="13.5" customHeight="1" x14ac:dyDescent="0.3">
      <c r="A4671" s="46">
        <v>4667</v>
      </c>
      <c r="B4671" s="47">
        <f t="shared" ca="1" si="72"/>
        <v>0.87109056122390682</v>
      </c>
      <c r="C4671" s="48">
        <f t="array" aca="1" ref="C4671" ca="1">MAX(0,ROUND(Inputs!$B$10*Inputs!$B$11+NORMSINV(B4671)*SQRT(Inputs!$B$10*Inputs!$B$11),0))</f>
        <v>525</v>
      </c>
      <c r="D4671" s="49">
        <f ca="1">C4671*Inputs!$B$12</f>
        <v>63000000</v>
      </c>
    </row>
    <row r="4672" spans="1:4" ht="13.5" customHeight="1" x14ac:dyDescent="0.3">
      <c r="A4672" s="50">
        <v>4668</v>
      </c>
      <c r="B4672" s="51">
        <f t="shared" ca="1" si="72"/>
        <v>0.3243484129608839</v>
      </c>
      <c r="C4672" s="48">
        <f t="array" aca="1" ref="C4672" ca="1">MAX(0,ROUND(Inputs!$B$10*Inputs!$B$11+NORMSINV(B4672)*SQRT(Inputs!$B$10*Inputs!$B$11),0))</f>
        <v>490</v>
      </c>
      <c r="D4672" s="52">
        <f ca="1">C4672*Inputs!$B$12</f>
        <v>58800000</v>
      </c>
    </row>
    <row r="4673" spans="1:4" ht="13.5" customHeight="1" x14ac:dyDescent="0.3">
      <c r="A4673" s="46">
        <v>4669</v>
      </c>
      <c r="B4673" s="47">
        <f t="shared" ca="1" si="72"/>
        <v>0.38475589828018686</v>
      </c>
      <c r="C4673" s="48">
        <f t="array" aca="1" ref="C4673" ca="1">MAX(0,ROUND(Inputs!$B$10*Inputs!$B$11+NORMSINV(B4673)*SQRT(Inputs!$B$10*Inputs!$B$11),0))</f>
        <v>493</v>
      </c>
      <c r="D4673" s="49">
        <f ca="1">C4673*Inputs!$B$12</f>
        <v>59160000</v>
      </c>
    </row>
    <row r="4674" spans="1:4" ht="13.5" customHeight="1" x14ac:dyDescent="0.3">
      <c r="A4674" s="50">
        <v>4670</v>
      </c>
      <c r="B4674" s="51">
        <f t="shared" ca="1" si="72"/>
        <v>0.50849766080539349</v>
      </c>
      <c r="C4674" s="48">
        <f t="array" aca="1" ref="C4674" ca="1">MAX(0,ROUND(Inputs!$B$10*Inputs!$B$11+NORMSINV(B4674)*SQRT(Inputs!$B$10*Inputs!$B$11),0))</f>
        <v>500</v>
      </c>
      <c r="D4674" s="52">
        <f ca="1">C4674*Inputs!$B$12</f>
        <v>60000000</v>
      </c>
    </row>
    <row r="4675" spans="1:4" ht="13.5" customHeight="1" x14ac:dyDescent="0.3">
      <c r="A4675" s="46">
        <v>4671</v>
      </c>
      <c r="B4675" s="47">
        <f t="shared" ca="1" si="72"/>
        <v>2.620502252473933E-2</v>
      </c>
      <c r="C4675" s="48">
        <f t="array" aca="1" ref="C4675" ca="1">MAX(0,ROUND(Inputs!$B$10*Inputs!$B$11+NORMSINV(B4675)*SQRT(Inputs!$B$10*Inputs!$B$11),0))</f>
        <v>457</v>
      </c>
      <c r="D4675" s="49">
        <f ca="1">C4675*Inputs!$B$12</f>
        <v>54840000</v>
      </c>
    </row>
    <row r="4676" spans="1:4" ht="13.5" customHeight="1" x14ac:dyDescent="0.3">
      <c r="A4676" s="50">
        <v>4672</v>
      </c>
      <c r="B4676" s="51">
        <f t="shared" ca="1" si="72"/>
        <v>0.28317462701440554</v>
      </c>
      <c r="C4676" s="48">
        <f t="array" aca="1" ref="C4676" ca="1">MAX(0,ROUND(Inputs!$B$10*Inputs!$B$11+NORMSINV(B4676)*SQRT(Inputs!$B$10*Inputs!$B$11),0))</f>
        <v>487</v>
      </c>
      <c r="D4676" s="52">
        <f ca="1">C4676*Inputs!$B$12</f>
        <v>58440000</v>
      </c>
    </row>
    <row r="4677" spans="1:4" ht="13.5" customHeight="1" x14ac:dyDescent="0.3">
      <c r="A4677" s="46">
        <v>4673</v>
      </c>
      <c r="B4677" s="47">
        <f t="shared" ref="B4677:B4740" ca="1" si="73">RAND()</f>
        <v>0.44862887664291407</v>
      </c>
      <c r="C4677" s="48">
        <f t="array" aca="1" ref="C4677" ca="1">MAX(0,ROUND(Inputs!$B$10*Inputs!$B$11+NORMSINV(B4677)*SQRT(Inputs!$B$10*Inputs!$B$11),0))</f>
        <v>497</v>
      </c>
      <c r="D4677" s="49">
        <f ca="1">C4677*Inputs!$B$12</f>
        <v>59640000</v>
      </c>
    </row>
    <row r="4678" spans="1:4" ht="13.5" customHeight="1" x14ac:dyDescent="0.3">
      <c r="A4678" s="50">
        <v>4674</v>
      </c>
      <c r="B4678" s="51">
        <f t="shared" ca="1" si="73"/>
        <v>0.10723916379092246</v>
      </c>
      <c r="C4678" s="48">
        <f t="array" aca="1" ref="C4678" ca="1">MAX(0,ROUND(Inputs!$B$10*Inputs!$B$11+NORMSINV(B4678)*SQRT(Inputs!$B$10*Inputs!$B$11),0))</f>
        <v>472</v>
      </c>
      <c r="D4678" s="52">
        <f ca="1">C4678*Inputs!$B$12</f>
        <v>56640000</v>
      </c>
    </row>
    <row r="4679" spans="1:4" ht="13.5" customHeight="1" x14ac:dyDescent="0.3">
      <c r="A4679" s="46">
        <v>4675</v>
      </c>
      <c r="B4679" s="47">
        <f t="shared" ca="1" si="73"/>
        <v>0.43918912798331666</v>
      </c>
      <c r="C4679" s="48">
        <f t="array" aca="1" ref="C4679" ca="1">MAX(0,ROUND(Inputs!$B$10*Inputs!$B$11+NORMSINV(B4679)*SQRT(Inputs!$B$10*Inputs!$B$11),0))</f>
        <v>497</v>
      </c>
      <c r="D4679" s="49">
        <f ca="1">C4679*Inputs!$B$12</f>
        <v>59640000</v>
      </c>
    </row>
    <row r="4680" spans="1:4" ht="13.5" customHeight="1" x14ac:dyDescent="0.3">
      <c r="A4680" s="50">
        <v>4676</v>
      </c>
      <c r="B4680" s="51">
        <f t="shared" ca="1" si="73"/>
        <v>0.95727733948833893</v>
      </c>
      <c r="C4680" s="48">
        <f t="array" aca="1" ref="C4680" ca="1">MAX(0,ROUND(Inputs!$B$10*Inputs!$B$11+NORMSINV(B4680)*SQRT(Inputs!$B$10*Inputs!$B$11),0))</f>
        <v>538</v>
      </c>
      <c r="D4680" s="52">
        <f ca="1">C4680*Inputs!$B$12</f>
        <v>64560000</v>
      </c>
    </row>
    <row r="4681" spans="1:4" ht="13.5" customHeight="1" x14ac:dyDescent="0.3">
      <c r="A4681" s="46">
        <v>4677</v>
      </c>
      <c r="B4681" s="47">
        <f t="shared" ca="1" si="73"/>
        <v>0.32766550957576024</v>
      </c>
      <c r="C4681" s="48">
        <f t="array" aca="1" ref="C4681" ca="1">MAX(0,ROUND(Inputs!$B$10*Inputs!$B$11+NORMSINV(B4681)*SQRT(Inputs!$B$10*Inputs!$B$11),0))</f>
        <v>490</v>
      </c>
      <c r="D4681" s="49">
        <f ca="1">C4681*Inputs!$B$12</f>
        <v>58800000</v>
      </c>
    </row>
    <row r="4682" spans="1:4" ht="13.5" customHeight="1" x14ac:dyDescent="0.3">
      <c r="A4682" s="50">
        <v>4678</v>
      </c>
      <c r="B4682" s="51">
        <f t="shared" ca="1" si="73"/>
        <v>0.28737617008915362</v>
      </c>
      <c r="C4682" s="48">
        <f t="array" aca="1" ref="C4682" ca="1">MAX(0,ROUND(Inputs!$B$10*Inputs!$B$11+NORMSINV(B4682)*SQRT(Inputs!$B$10*Inputs!$B$11),0))</f>
        <v>487</v>
      </c>
      <c r="D4682" s="52">
        <f ca="1">C4682*Inputs!$B$12</f>
        <v>58440000</v>
      </c>
    </row>
    <row r="4683" spans="1:4" ht="13.5" customHeight="1" x14ac:dyDescent="0.3">
      <c r="A4683" s="46">
        <v>4679</v>
      </c>
      <c r="B4683" s="47">
        <f t="shared" ca="1" si="73"/>
        <v>9.5577174335705561E-2</v>
      </c>
      <c r="C4683" s="48">
        <f t="array" aca="1" ref="C4683" ca="1">MAX(0,ROUND(Inputs!$B$10*Inputs!$B$11+NORMSINV(B4683)*SQRT(Inputs!$B$10*Inputs!$B$11),0))</f>
        <v>471</v>
      </c>
      <c r="D4683" s="49">
        <f ca="1">C4683*Inputs!$B$12</f>
        <v>56520000</v>
      </c>
    </row>
    <row r="4684" spans="1:4" ht="13.5" customHeight="1" x14ac:dyDescent="0.3">
      <c r="A4684" s="50">
        <v>4680</v>
      </c>
      <c r="B4684" s="51">
        <f t="shared" ca="1" si="73"/>
        <v>0.22722031265935427</v>
      </c>
      <c r="C4684" s="48">
        <f t="array" aca="1" ref="C4684" ca="1">MAX(0,ROUND(Inputs!$B$10*Inputs!$B$11+NORMSINV(B4684)*SQRT(Inputs!$B$10*Inputs!$B$11),0))</f>
        <v>483</v>
      </c>
      <c r="D4684" s="52">
        <f ca="1">C4684*Inputs!$B$12</f>
        <v>57960000</v>
      </c>
    </row>
    <row r="4685" spans="1:4" ht="13.5" customHeight="1" x14ac:dyDescent="0.3">
      <c r="A4685" s="46">
        <v>4681</v>
      </c>
      <c r="B4685" s="47">
        <f t="shared" ca="1" si="73"/>
        <v>0.90856225148856795</v>
      </c>
      <c r="C4685" s="48">
        <f t="array" aca="1" ref="C4685" ca="1">MAX(0,ROUND(Inputs!$B$10*Inputs!$B$11+NORMSINV(B4685)*SQRT(Inputs!$B$10*Inputs!$B$11),0))</f>
        <v>530</v>
      </c>
      <c r="D4685" s="49">
        <f ca="1">C4685*Inputs!$B$12</f>
        <v>63600000</v>
      </c>
    </row>
    <row r="4686" spans="1:4" ht="13.5" customHeight="1" x14ac:dyDescent="0.3">
      <c r="A4686" s="50">
        <v>4682</v>
      </c>
      <c r="B4686" s="51">
        <f t="shared" ca="1" si="73"/>
        <v>0.50311262623488218</v>
      </c>
      <c r="C4686" s="48">
        <f t="array" aca="1" ref="C4686" ca="1">MAX(0,ROUND(Inputs!$B$10*Inputs!$B$11+NORMSINV(B4686)*SQRT(Inputs!$B$10*Inputs!$B$11),0))</f>
        <v>500</v>
      </c>
      <c r="D4686" s="52">
        <f ca="1">C4686*Inputs!$B$12</f>
        <v>60000000</v>
      </c>
    </row>
    <row r="4687" spans="1:4" ht="13.5" customHeight="1" x14ac:dyDescent="0.3">
      <c r="A4687" s="46">
        <v>4683</v>
      </c>
      <c r="B4687" s="47">
        <f t="shared" ca="1" si="73"/>
        <v>0.63013190970375177</v>
      </c>
      <c r="C4687" s="48">
        <f t="array" aca="1" ref="C4687" ca="1">MAX(0,ROUND(Inputs!$B$10*Inputs!$B$11+NORMSINV(B4687)*SQRT(Inputs!$B$10*Inputs!$B$11),0))</f>
        <v>507</v>
      </c>
      <c r="D4687" s="49">
        <f ca="1">C4687*Inputs!$B$12</f>
        <v>60840000</v>
      </c>
    </row>
    <row r="4688" spans="1:4" ht="13.5" customHeight="1" x14ac:dyDescent="0.3">
      <c r="A4688" s="50">
        <v>4684</v>
      </c>
      <c r="B4688" s="51">
        <f t="shared" ca="1" si="73"/>
        <v>0.67273883659891431</v>
      </c>
      <c r="C4688" s="48">
        <f t="array" aca="1" ref="C4688" ca="1">MAX(0,ROUND(Inputs!$B$10*Inputs!$B$11+NORMSINV(B4688)*SQRT(Inputs!$B$10*Inputs!$B$11),0))</f>
        <v>510</v>
      </c>
      <c r="D4688" s="52">
        <f ca="1">C4688*Inputs!$B$12</f>
        <v>61200000</v>
      </c>
    </row>
    <row r="4689" spans="1:4" ht="13.5" customHeight="1" x14ac:dyDescent="0.3">
      <c r="A4689" s="46">
        <v>4685</v>
      </c>
      <c r="B4689" s="47">
        <f t="shared" ca="1" si="73"/>
        <v>0.3217638535596441</v>
      </c>
      <c r="C4689" s="48">
        <f t="array" aca="1" ref="C4689" ca="1">MAX(0,ROUND(Inputs!$B$10*Inputs!$B$11+NORMSINV(B4689)*SQRT(Inputs!$B$10*Inputs!$B$11),0))</f>
        <v>490</v>
      </c>
      <c r="D4689" s="49">
        <f ca="1">C4689*Inputs!$B$12</f>
        <v>58800000</v>
      </c>
    </row>
    <row r="4690" spans="1:4" ht="13.5" customHeight="1" x14ac:dyDescent="0.3">
      <c r="A4690" s="50">
        <v>4686</v>
      </c>
      <c r="B4690" s="51">
        <f t="shared" ca="1" si="73"/>
        <v>6.8421118021640193E-2</v>
      </c>
      <c r="C4690" s="48">
        <f t="array" aca="1" ref="C4690" ca="1">MAX(0,ROUND(Inputs!$B$10*Inputs!$B$11+NORMSINV(B4690)*SQRT(Inputs!$B$10*Inputs!$B$11),0))</f>
        <v>467</v>
      </c>
      <c r="D4690" s="52">
        <f ca="1">C4690*Inputs!$B$12</f>
        <v>56040000</v>
      </c>
    </row>
    <row r="4691" spans="1:4" ht="13.5" customHeight="1" x14ac:dyDescent="0.3">
      <c r="A4691" s="46">
        <v>4687</v>
      </c>
      <c r="B4691" s="47">
        <f t="shared" ca="1" si="73"/>
        <v>0.14167457492851432</v>
      </c>
      <c r="C4691" s="48">
        <f t="array" aca="1" ref="C4691" ca="1">MAX(0,ROUND(Inputs!$B$10*Inputs!$B$11+NORMSINV(B4691)*SQRT(Inputs!$B$10*Inputs!$B$11),0))</f>
        <v>476</v>
      </c>
      <c r="D4691" s="49">
        <f ca="1">C4691*Inputs!$B$12</f>
        <v>57120000</v>
      </c>
    </row>
    <row r="4692" spans="1:4" ht="13.5" customHeight="1" x14ac:dyDescent="0.3">
      <c r="A4692" s="50">
        <v>4688</v>
      </c>
      <c r="B4692" s="51">
        <f t="shared" ca="1" si="73"/>
        <v>0.29513114922932349</v>
      </c>
      <c r="C4692" s="48">
        <f t="array" aca="1" ref="C4692" ca="1">MAX(0,ROUND(Inputs!$B$10*Inputs!$B$11+NORMSINV(B4692)*SQRT(Inputs!$B$10*Inputs!$B$11),0))</f>
        <v>488</v>
      </c>
      <c r="D4692" s="52">
        <f ca="1">C4692*Inputs!$B$12</f>
        <v>58560000</v>
      </c>
    </row>
    <row r="4693" spans="1:4" ht="13.5" customHeight="1" x14ac:dyDescent="0.3">
      <c r="A4693" s="46">
        <v>4689</v>
      </c>
      <c r="B4693" s="47">
        <f t="shared" ca="1" si="73"/>
        <v>0.52016436454730131</v>
      </c>
      <c r="C4693" s="48">
        <f t="array" aca="1" ref="C4693" ca="1">MAX(0,ROUND(Inputs!$B$10*Inputs!$B$11+NORMSINV(B4693)*SQRT(Inputs!$B$10*Inputs!$B$11),0))</f>
        <v>501</v>
      </c>
      <c r="D4693" s="49">
        <f ca="1">C4693*Inputs!$B$12</f>
        <v>60120000</v>
      </c>
    </row>
    <row r="4694" spans="1:4" ht="13.5" customHeight="1" x14ac:dyDescent="0.3">
      <c r="A4694" s="50">
        <v>4690</v>
      </c>
      <c r="B4694" s="51">
        <f t="shared" ca="1" si="73"/>
        <v>0.6899475529776572</v>
      </c>
      <c r="C4694" s="48">
        <f t="array" aca="1" ref="C4694" ca="1">MAX(0,ROUND(Inputs!$B$10*Inputs!$B$11+NORMSINV(B4694)*SQRT(Inputs!$B$10*Inputs!$B$11),0))</f>
        <v>511</v>
      </c>
      <c r="D4694" s="52">
        <f ca="1">C4694*Inputs!$B$12</f>
        <v>61320000</v>
      </c>
    </row>
    <row r="4695" spans="1:4" ht="13.5" customHeight="1" x14ac:dyDescent="0.3">
      <c r="A4695" s="46">
        <v>4691</v>
      </c>
      <c r="B4695" s="47">
        <f t="shared" ca="1" si="73"/>
        <v>0.21825165836662863</v>
      </c>
      <c r="C4695" s="48">
        <f t="array" aca="1" ref="C4695" ca="1">MAX(0,ROUND(Inputs!$B$10*Inputs!$B$11+NORMSINV(B4695)*SQRT(Inputs!$B$10*Inputs!$B$11),0))</f>
        <v>483</v>
      </c>
      <c r="D4695" s="49">
        <f ca="1">C4695*Inputs!$B$12</f>
        <v>57960000</v>
      </c>
    </row>
    <row r="4696" spans="1:4" ht="13.5" customHeight="1" x14ac:dyDescent="0.3">
      <c r="A4696" s="50">
        <v>4692</v>
      </c>
      <c r="B4696" s="51">
        <f t="shared" ca="1" si="73"/>
        <v>0.46989474567132894</v>
      </c>
      <c r="C4696" s="48">
        <f t="array" aca="1" ref="C4696" ca="1">MAX(0,ROUND(Inputs!$B$10*Inputs!$B$11+NORMSINV(B4696)*SQRT(Inputs!$B$10*Inputs!$B$11),0))</f>
        <v>498</v>
      </c>
      <c r="D4696" s="52">
        <f ca="1">C4696*Inputs!$B$12</f>
        <v>59760000</v>
      </c>
    </row>
    <row r="4697" spans="1:4" ht="13.5" customHeight="1" x14ac:dyDescent="0.3">
      <c r="A4697" s="46">
        <v>4693</v>
      </c>
      <c r="B4697" s="47">
        <f t="shared" ca="1" si="73"/>
        <v>0.8896244729107059</v>
      </c>
      <c r="C4697" s="48">
        <f t="array" aca="1" ref="C4697" ca="1">MAX(0,ROUND(Inputs!$B$10*Inputs!$B$11+NORMSINV(B4697)*SQRT(Inputs!$B$10*Inputs!$B$11),0))</f>
        <v>527</v>
      </c>
      <c r="D4697" s="49">
        <f ca="1">C4697*Inputs!$B$12</f>
        <v>63240000</v>
      </c>
    </row>
    <row r="4698" spans="1:4" ht="13.5" customHeight="1" x14ac:dyDescent="0.3">
      <c r="A4698" s="50">
        <v>4694</v>
      </c>
      <c r="B4698" s="51">
        <f t="shared" ca="1" si="73"/>
        <v>0.25936457030156868</v>
      </c>
      <c r="C4698" s="48">
        <f t="array" aca="1" ref="C4698" ca="1">MAX(0,ROUND(Inputs!$B$10*Inputs!$B$11+NORMSINV(B4698)*SQRT(Inputs!$B$10*Inputs!$B$11),0))</f>
        <v>486</v>
      </c>
      <c r="D4698" s="52">
        <f ca="1">C4698*Inputs!$B$12</f>
        <v>58320000</v>
      </c>
    </row>
    <row r="4699" spans="1:4" ht="13.5" customHeight="1" x14ac:dyDescent="0.3">
      <c r="A4699" s="46">
        <v>4695</v>
      </c>
      <c r="B4699" s="47">
        <f t="shared" ca="1" si="73"/>
        <v>0.67371985002336154</v>
      </c>
      <c r="C4699" s="48">
        <f t="array" aca="1" ref="C4699" ca="1">MAX(0,ROUND(Inputs!$B$10*Inputs!$B$11+NORMSINV(B4699)*SQRT(Inputs!$B$10*Inputs!$B$11),0))</f>
        <v>510</v>
      </c>
      <c r="D4699" s="49">
        <f ca="1">C4699*Inputs!$B$12</f>
        <v>61200000</v>
      </c>
    </row>
    <row r="4700" spans="1:4" ht="13.5" customHeight="1" x14ac:dyDescent="0.3">
      <c r="A4700" s="50">
        <v>4696</v>
      </c>
      <c r="B4700" s="51">
        <f t="shared" ca="1" si="73"/>
        <v>0.50411542421883471</v>
      </c>
      <c r="C4700" s="48">
        <f t="array" aca="1" ref="C4700" ca="1">MAX(0,ROUND(Inputs!$B$10*Inputs!$B$11+NORMSINV(B4700)*SQRT(Inputs!$B$10*Inputs!$B$11),0))</f>
        <v>500</v>
      </c>
      <c r="D4700" s="52">
        <f ca="1">C4700*Inputs!$B$12</f>
        <v>60000000</v>
      </c>
    </row>
    <row r="4701" spans="1:4" ht="13.5" customHeight="1" x14ac:dyDescent="0.3">
      <c r="A4701" s="46">
        <v>4697</v>
      </c>
      <c r="B4701" s="47">
        <f t="shared" ca="1" si="73"/>
        <v>0.18064508123776202</v>
      </c>
      <c r="C4701" s="48">
        <f t="array" aca="1" ref="C4701" ca="1">MAX(0,ROUND(Inputs!$B$10*Inputs!$B$11+NORMSINV(B4701)*SQRT(Inputs!$B$10*Inputs!$B$11),0))</f>
        <v>480</v>
      </c>
      <c r="D4701" s="49">
        <f ca="1">C4701*Inputs!$B$12</f>
        <v>57600000</v>
      </c>
    </row>
    <row r="4702" spans="1:4" ht="13.5" customHeight="1" x14ac:dyDescent="0.3">
      <c r="A4702" s="50">
        <v>4698</v>
      </c>
      <c r="B4702" s="51">
        <f t="shared" ca="1" si="73"/>
        <v>0.96921092011383647</v>
      </c>
      <c r="C4702" s="48">
        <f t="array" aca="1" ref="C4702" ca="1">MAX(0,ROUND(Inputs!$B$10*Inputs!$B$11+NORMSINV(B4702)*SQRT(Inputs!$B$10*Inputs!$B$11),0))</f>
        <v>542</v>
      </c>
      <c r="D4702" s="52">
        <f ca="1">C4702*Inputs!$B$12</f>
        <v>65040000</v>
      </c>
    </row>
    <row r="4703" spans="1:4" ht="13.5" customHeight="1" x14ac:dyDescent="0.3">
      <c r="A4703" s="46">
        <v>4699</v>
      </c>
      <c r="B4703" s="47">
        <f t="shared" ca="1" si="73"/>
        <v>0.86807166621992027</v>
      </c>
      <c r="C4703" s="48">
        <f t="array" aca="1" ref="C4703" ca="1">MAX(0,ROUND(Inputs!$B$10*Inputs!$B$11+NORMSINV(B4703)*SQRT(Inputs!$B$10*Inputs!$B$11),0))</f>
        <v>525</v>
      </c>
      <c r="D4703" s="49">
        <f ca="1">C4703*Inputs!$B$12</f>
        <v>63000000</v>
      </c>
    </row>
    <row r="4704" spans="1:4" ht="13.5" customHeight="1" x14ac:dyDescent="0.3">
      <c r="A4704" s="50">
        <v>4700</v>
      </c>
      <c r="B4704" s="51">
        <f t="shared" ca="1" si="73"/>
        <v>0.43449863386767473</v>
      </c>
      <c r="C4704" s="48">
        <f t="array" aca="1" ref="C4704" ca="1">MAX(0,ROUND(Inputs!$B$10*Inputs!$B$11+NORMSINV(B4704)*SQRT(Inputs!$B$10*Inputs!$B$11),0))</f>
        <v>496</v>
      </c>
      <c r="D4704" s="52">
        <f ca="1">C4704*Inputs!$B$12</f>
        <v>59520000</v>
      </c>
    </row>
    <row r="4705" spans="1:4" ht="13.5" customHeight="1" x14ac:dyDescent="0.3">
      <c r="A4705" s="46">
        <v>4701</v>
      </c>
      <c r="B4705" s="47">
        <f t="shared" ca="1" si="73"/>
        <v>0.64158928101204948</v>
      </c>
      <c r="C4705" s="48">
        <f t="array" aca="1" ref="C4705" ca="1">MAX(0,ROUND(Inputs!$B$10*Inputs!$B$11+NORMSINV(B4705)*SQRT(Inputs!$B$10*Inputs!$B$11),0))</f>
        <v>508</v>
      </c>
      <c r="D4705" s="49">
        <f ca="1">C4705*Inputs!$B$12</f>
        <v>60960000</v>
      </c>
    </row>
    <row r="4706" spans="1:4" ht="13.5" customHeight="1" x14ac:dyDescent="0.3">
      <c r="A4706" s="50">
        <v>4702</v>
      </c>
      <c r="B4706" s="51">
        <f t="shared" ca="1" si="73"/>
        <v>0.90906607407677642</v>
      </c>
      <c r="C4706" s="48">
        <f t="array" aca="1" ref="C4706" ca="1">MAX(0,ROUND(Inputs!$B$10*Inputs!$B$11+NORMSINV(B4706)*SQRT(Inputs!$B$10*Inputs!$B$11),0))</f>
        <v>530</v>
      </c>
      <c r="D4706" s="52">
        <f ca="1">C4706*Inputs!$B$12</f>
        <v>63600000</v>
      </c>
    </row>
    <row r="4707" spans="1:4" ht="13.5" customHeight="1" x14ac:dyDescent="0.3">
      <c r="A4707" s="46">
        <v>4703</v>
      </c>
      <c r="B4707" s="47">
        <f t="shared" ca="1" si="73"/>
        <v>5.9161392675268876E-2</v>
      </c>
      <c r="C4707" s="48">
        <f t="array" aca="1" ref="C4707" ca="1">MAX(0,ROUND(Inputs!$B$10*Inputs!$B$11+NORMSINV(B4707)*SQRT(Inputs!$B$10*Inputs!$B$11),0))</f>
        <v>465</v>
      </c>
      <c r="D4707" s="49">
        <f ca="1">C4707*Inputs!$B$12</f>
        <v>55800000</v>
      </c>
    </row>
    <row r="4708" spans="1:4" ht="13.5" customHeight="1" x14ac:dyDescent="0.3">
      <c r="A4708" s="50">
        <v>4704</v>
      </c>
      <c r="B4708" s="51">
        <f t="shared" ca="1" si="73"/>
        <v>0.63836995580308975</v>
      </c>
      <c r="C4708" s="48">
        <f t="array" aca="1" ref="C4708" ca="1">MAX(0,ROUND(Inputs!$B$10*Inputs!$B$11+NORMSINV(B4708)*SQRT(Inputs!$B$10*Inputs!$B$11),0))</f>
        <v>508</v>
      </c>
      <c r="D4708" s="52">
        <f ca="1">C4708*Inputs!$B$12</f>
        <v>60960000</v>
      </c>
    </row>
    <row r="4709" spans="1:4" ht="13.5" customHeight="1" x14ac:dyDescent="0.3">
      <c r="A4709" s="46">
        <v>4705</v>
      </c>
      <c r="B4709" s="47">
        <f t="shared" ca="1" si="73"/>
        <v>0.45491890501360355</v>
      </c>
      <c r="C4709" s="48">
        <f t="array" aca="1" ref="C4709" ca="1">MAX(0,ROUND(Inputs!$B$10*Inputs!$B$11+NORMSINV(B4709)*SQRT(Inputs!$B$10*Inputs!$B$11),0))</f>
        <v>497</v>
      </c>
      <c r="D4709" s="49">
        <f ca="1">C4709*Inputs!$B$12</f>
        <v>59640000</v>
      </c>
    </row>
    <row r="4710" spans="1:4" ht="13.5" customHeight="1" x14ac:dyDescent="0.3">
      <c r="A4710" s="50">
        <v>4706</v>
      </c>
      <c r="B4710" s="51">
        <f t="shared" ca="1" si="73"/>
        <v>0.56605248792540852</v>
      </c>
      <c r="C4710" s="48">
        <f t="array" aca="1" ref="C4710" ca="1">MAX(0,ROUND(Inputs!$B$10*Inputs!$B$11+NORMSINV(B4710)*SQRT(Inputs!$B$10*Inputs!$B$11),0))</f>
        <v>504</v>
      </c>
      <c r="D4710" s="52">
        <f ca="1">C4710*Inputs!$B$12</f>
        <v>60480000</v>
      </c>
    </row>
    <row r="4711" spans="1:4" ht="13.5" customHeight="1" x14ac:dyDescent="0.3">
      <c r="A4711" s="46">
        <v>4707</v>
      </c>
      <c r="B4711" s="47">
        <f t="shared" ca="1" si="73"/>
        <v>0.30795609257595602</v>
      </c>
      <c r="C4711" s="48">
        <f t="array" aca="1" ref="C4711" ca="1">MAX(0,ROUND(Inputs!$B$10*Inputs!$B$11+NORMSINV(B4711)*SQRT(Inputs!$B$10*Inputs!$B$11),0))</f>
        <v>489</v>
      </c>
      <c r="D4711" s="49">
        <f ca="1">C4711*Inputs!$B$12</f>
        <v>58680000</v>
      </c>
    </row>
    <row r="4712" spans="1:4" ht="13.5" customHeight="1" x14ac:dyDescent="0.3">
      <c r="A4712" s="50">
        <v>4708</v>
      </c>
      <c r="B4712" s="51">
        <f t="shared" ca="1" si="73"/>
        <v>0.41086898673228789</v>
      </c>
      <c r="C4712" s="48">
        <f t="array" aca="1" ref="C4712" ca="1">MAX(0,ROUND(Inputs!$B$10*Inputs!$B$11+NORMSINV(B4712)*SQRT(Inputs!$B$10*Inputs!$B$11),0))</f>
        <v>495</v>
      </c>
      <c r="D4712" s="52">
        <f ca="1">C4712*Inputs!$B$12</f>
        <v>59400000</v>
      </c>
    </row>
    <row r="4713" spans="1:4" ht="13.5" customHeight="1" x14ac:dyDescent="0.3">
      <c r="A4713" s="46">
        <v>4709</v>
      </c>
      <c r="B4713" s="47">
        <f t="shared" ca="1" si="73"/>
        <v>0.14007648198119838</v>
      </c>
      <c r="C4713" s="48">
        <f t="array" aca="1" ref="C4713" ca="1">MAX(0,ROUND(Inputs!$B$10*Inputs!$B$11+NORMSINV(B4713)*SQRT(Inputs!$B$10*Inputs!$B$11),0))</f>
        <v>476</v>
      </c>
      <c r="D4713" s="49">
        <f ca="1">C4713*Inputs!$B$12</f>
        <v>57120000</v>
      </c>
    </row>
    <row r="4714" spans="1:4" ht="13.5" customHeight="1" x14ac:dyDescent="0.3">
      <c r="A4714" s="50">
        <v>4710</v>
      </c>
      <c r="B4714" s="51">
        <f t="shared" ca="1" si="73"/>
        <v>0.53413609775945325</v>
      </c>
      <c r="C4714" s="48">
        <f t="array" aca="1" ref="C4714" ca="1">MAX(0,ROUND(Inputs!$B$10*Inputs!$B$11+NORMSINV(B4714)*SQRT(Inputs!$B$10*Inputs!$B$11),0))</f>
        <v>502</v>
      </c>
      <c r="D4714" s="52">
        <f ca="1">C4714*Inputs!$B$12</f>
        <v>60240000</v>
      </c>
    </row>
    <row r="4715" spans="1:4" ht="13.5" customHeight="1" x14ac:dyDescent="0.3">
      <c r="A4715" s="46">
        <v>4711</v>
      </c>
      <c r="B4715" s="47">
        <f t="shared" ca="1" si="73"/>
        <v>0.2326509019156614</v>
      </c>
      <c r="C4715" s="48">
        <f t="array" aca="1" ref="C4715" ca="1">MAX(0,ROUND(Inputs!$B$10*Inputs!$B$11+NORMSINV(B4715)*SQRT(Inputs!$B$10*Inputs!$B$11),0))</f>
        <v>484</v>
      </c>
      <c r="D4715" s="49">
        <f ca="1">C4715*Inputs!$B$12</f>
        <v>58080000</v>
      </c>
    </row>
    <row r="4716" spans="1:4" ht="13.5" customHeight="1" x14ac:dyDescent="0.3">
      <c r="A4716" s="50">
        <v>4712</v>
      </c>
      <c r="B4716" s="51">
        <f t="shared" ca="1" si="73"/>
        <v>0.12136351916836263</v>
      </c>
      <c r="C4716" s="48">
        <f t="array" aca="1" ref="C4716" ca="1">MAX(0,ROUND(Inputs!$B$10*Inputs!$B$11+NORMSINV(B4716)*SQRT(Inputs!$B$10*Inputs!$B$11),0))</f>
        <v>474</v>
      </c>
      <c r="D4716" s="52">
        <f ca="1">C4716*Inputs!$B$12</f>
        <v>56880000</v>
      </c>
    </row>
    <row r="4717" spans="1:4" ht="13.5" customHeight="1" x14ac:dyDescent="0.3">
      <c r="A4717" s="46">
        <v>4713</v>
      </c>
      <c r="B4717" s="47">
        <f t="shared" ca="1" si="73"/>
        <v>0.22389179988831209</v>
      </c>
      <c r="C4717" s="48">
        <f t="array" aca="1" ref="C4717" ca="1">MAX(0,ROUND(Inputs!$B$10*Inputs!$B$11+NORMSINV(B4717)*SQRT(Inputs!$B$10*Inputs!$B$11),0))</f>
        <v>483</v>
      </c>
      <c r="D4717" s="49">
        <f ca="1">C4717*Inputs!$B$12</f>
        <v>57960000</v>
      </c>
    </row>
    <row r="4718" spans="1:4" ht="13.5" customHeight="1" x14ac:dyDescent="0.3">
      <c r="A4718" s="50">
        <v>4714</v>
      </c>
      <c r="B4718" s="51">
        <f t="shared" ca="1" si="73"/>
        <v>0.48986969960373195</v>
      </c>
      <c r="C4718" s="48">
        <f t="array" aca="1" ref="C4718" ca="1">MAX(0,ROUND(Inputs!$B$10*Inputs!$B$11+NORMSINV(B4718)*SQRT(Inputs!$B$10*Inputs!$B$11),0))</f>
        <v>499</v>
      </c>
      <c r="D4718" s="52">
        <f ca="1">C4718*Inputs!$B$12</f>
        <v>59880000</v>
      </c>
    </row>
    <row r="4719" spans="1:4" ht="13.5" customHeight="1" x14ac:dyDescent="0.3">
      <c r="A4719" s="46">
        <v>4715</v>
      </c>
      <c r="B4719" s="47">
        <f t="shared" ca="1" si="73"/>
        <v>0.57041394556541325</v>
      </c>
      <c r="C4719" s="48">
        <f t="array" aca="1" ref="C4719" ca="1">MAX(0,ROUND(Inputs!$B$10*Inputs!$B$11+NORMSINV(B4719)*SQRT(Inputs!$B$10*Inputs!$B$11),0))</f>
        <v>504</v>
      </c>
      <c r="D4719" s="49">
        <f ca="1">C4719*Inputs!$B$12</f>
        <v>60480000</v>
      </c>
    </row>
    <row r="4720" spans="1:4" ht="13.5" customHeight="1" x14ac:dyDescent="0.3">
      <c r="A4720" s="50">
        <v>4716</v>
      </c>
      <c r="B4720" s="51">
        <f t="shared" ca="1" si="73"/>
        <v>0.73679660086177168</v>
      </c>
      <c r="C4720" s="48">
        <f t="array" aca="1" ref="C4720" ca="1">MAX(0,ROUND(Inputs!$B$10*Inputs!$B$11+NORMSINV(B4720)*SQRT(Inputs!$B$10*Inputs!$B$11),0))</f>
        <v>514</v>
      </c>
      <c r="D4720" s="52">
        <f ca="1">C4720*Inputs!$B$12</f>
        <v>61680000</v>
      </c>
    </row>
    <row r="4721" spans="1:4" ht="13.5" customHeight="1" x14ac:dyDescent="0.3">
      <c r="A4721" s="46">
        <v>4717</v>
      </c>
      <c r="B4721" s="47">
        <f t="shared" ca="1" si="73"/>
        <v>0.20869285435344254</v>
      </c>
      <c r="C4721" s="48">
        <f t="array" aca="1" ref="C4721" ca="1">MAX(0,ROUND(Inputs!$B$10*Inputs!$B$11+NORMSINV(B4721)*SQRT(Inputs!$B$10*Inputs!$B$11),0))</f>
        <v>482</v>
      </c>
      <c r="D4721" s="49">
        <f ca="1">C4721*Inputs!$B$12</f>
        <v>57840000</v>
      </c>
    </row>
    <row r="4722" spans="1:4" ht="13.5" customHeight="1" x14ac:dyDescent="0.3">
      <c r="A4722" s="50">
        <v>4718</v>
      </c>
      <c r="B4722" s="51">
        <f t="shared" ca="1" si="73"/>
        <v>5.2640111740572371E-2</v>
      </c>
      <c r="C4722" s="48">
        <f t="array" aca="1" ref="C4722" ca="1">MAX(0,ROUND(Inputs!$B$10*Inputs!$B$11+NORMSINV(B4722)*SQRT(Inputs!$B$10*Inputs!$B$11),0))</f>
        <v>464</v>
      </c>
      <c r="D4722" s="52">
        <f ca="1">C4722*Inputs!$B$12</f>
        <v>55680000</v>
      </c>
    </row>
    <row r="4723" spans="1:4" ht="13.5" customHeight="1" x14ac:dyDescent="0.3">
      <c r="A4723" s="46">
        <v>4719</v>
      </c>
      <c r="B4723" s="47">
        <f t="shared" ca="1" si="73"/>
        <v>0.33282440858779283</v>
      </c>
      <c r="C4723" s="48">
        <f t="array" aca="1" ref="C4723" ca="1">MAX(0,ROUND(Inputs!$B$10*Inputs!$B$11+NORMSINV(B4723)*SQRT(Inputs!$B$10*Inputs!$B$11),0))</f>
        <v>490</v>
      </c>
      <c r="D4723" s="49">
        <f ca="1">C4723*Inputs!$B$12</f>
        <v>58800000</v>
      </c>
    </row>
    <row r="4724" spans="1:4" ht="13.5" customHeight="1" x14ac:dyDescent="0.3">
      <c r="A4724" s="50">
        <v>4720</v>
      </c>
      <c r="B4724" s="51">
        <f t="shared" ca="1" si="73"/>
        <v>0.25362299362653118</v>
      </c>
      <c r="C4724" s="48">
        <f t="array" aca="1" ref="C4724" ca="1">MAX(0,ROUND(Inputs!$B$10*Inputs!$B$11+NORMSINV(B4724)*SQRT(Inputs!$B$10*Inputs!$B$11),0))</f>
        <v>485</v>
      </c>
      <c r="D4724" s="52">
        <f ca="1">C4724*Inputs!$B$12</f>
        <v>58200000</v>
      </c>
    </row>
    <row r="4725" spans="1:4" ht="13.5" customHeight="1" x14ac:dyDescent="0.3">
      <c r="A4725" s="46">
        <v>4721</v>
      </c>
      <c r="B4725" s="47">
        <f t="shared" ca="1" si="73"/>
        <v>0.59881437284725203</v>
      </c>
      <c r="C4725" s="48">
        <f t="array" aca="1" ref="C4725" ca="1">MAX(0,ROUND(Inputs!$B$10*Inputs!$B$11+NORMSINV(B4725)*SQRT(Inputs!$B$10*Inputs!$B$11),0))</f>
        <v>506</v>
      </c>
      <c r="D4725" s="49">
        <f ca="1">C4725*Inputs!$B$12</f>
        <v>60720000</v>
      </c>
    </row>
    <row r="4726" spans="1:4" ht="13.5" customHeight="1" x14ac:dyDescent="0.3">
      <c r="A4726" s="50">
        <v>4722</v>
      </c>
      <c r="B4726" s="51">
        <f t="shared" ca="1" si="73"/>
        <v>0.72205535181695746</v>
      </c>
      <c r="C4726" s="48">
        <f t="array" aca="1" ref="C4726" ca="1">MAX(0,ROUND(Inputs!$B$10*Inputs!$B$11+NORMSINV(B4726)*SQRT(Inputs!$B$10*Inputs!$B$11),0))</f>
        <v>513</v>
      </c>
      <c r="D4726" s="52">
        <f ca="1">C4726*Inputs!$B$12</f>
        <v>61560000</v>
      </c>
    </row>
    <row r="4727" spans="1:4" ht="13.5" customHeight="1" x14ac:dyDescent="0.3">
      <c r="A4727" s="46">
        <v>4723</v>
      </c>
      <c r="B4727" s="47">
        <f t="shared" ca="1" si="73"/>
        <v>0.32197924297966585</v>
      </c>
      <c r="C4727" s="48">
        <f t="array" aca="1" ref="C4727" ca="1">MAX(0,ROUND(Inputs!$B$10*Inputs!$B$11+NORMSINV(B4727)*SQRT(Inputs!$B$10*Inputs!$B$11),0))</f>
        <v>490</v>
      </c>
      <c r="D4727" s="49">
        <f ca="1">C4727*Inputs!$B$12</f>
        <v>58800000</v>
      </c>
    </row>
    <row r="4728" spans="1:4" ht="13.5" customHeight="1" x14ac:dyDescent="0.3">
      <c r="A4728" s="50">
        <v>4724</v>
      </c>
      <c r="B4728" s="51">
        <f t="shared" ca="1" si="73"/>
        <v>1.8151597442496059E-2</v>
      </c>
      <c r="C4728" s="48">
        <f t="array" aca="1" ref="C4728" ca="1">MAX(0,ROUND(Inputs!$B$10*Inputs!$B$11+NORMSINV(B4728)*SQRT(Inputs!$B$10*Inputs!$B$11),0))</f>
        <v>453</v>
      </c>
      <c r="D4728" s="52">
        <f ca="1">C4728*Inputs!$B$12</f>
        <v>54360000</v>
      </c>
    </row>
    <row r="4729" spans="1:4" ht="13.5" customHeight="1" x14ac:dyDescent="0.3">
      <c r="A4729" s="46">
        <v>4725</v>
      </c>
      <c r="B4729" s="47">
        <f t="shared" ca="1" si="73"/>
        <v>0.35746930839430602</v>
      </c>
      <c r="C4729" s="48">
        <f t="array" aca="1" ref="C4729" ca="1">MAX(0,ROUND(Inputs!$B$10*Inputs!$B$11+NORMSINV(B4729)*SQRT(Inputs!$B$10*Inputs!$B$11),0))</f>
        <v>492</v>
      </c>
      <c r="D4729" s="49">
        <f ca="1">C4729*Inputs!$B$12</f>
        <v>59040000</v>
      </c>
    </row>
    <row r="4730" spans="1:4" ht="13.5" customHeight="1" x14ac:dyDescent="0.3">
      <c r="A4730" s="50">
        <v>4726</v>
      </c>
      <c r="B4730" s="51">
        <f t="shared" ca="1" si="73"/>
        <v>0.45533566535592218</v>
      </c>
      <c r="C4730" s="48">
        <f t="array" aca="1" ref="C4730" ca="1">MAX(0,ROUND(Inputs!$B$10*Inputs!$B$11+NORMSINV(B4730)*SQRT(Inputs!$B$10*Inputs!$B$11),0))</f>
        <v>497</v>
      </c>
      <c r="D4730" s="52">
        <f ca="1">C4730*Inputs!$B$12</f>
        <v>59640000</v>
      </c>
    </row>
    <row r="4731" spans="1:4" ht="13.5" customHeight="1" x14ac:dyDescent="0.3">
      <c r="A4731" s="46">
        <v>4727</v>
      </c>
      <c r="B4731" s="47">
        <f t="shared" ca="1" si="73"/>
        <v>0.30692993304395766</v>
      </c>
      <c r="C4731" s="48">
        <f t="array" aca="1" ref="C4731" ca="1">MAX(0,ROUND(Inputs!$B$10*Inputs!$B$11+NORMSINV(B4731)*SQRT(Inputs!$B$10*Inputs!$B$11),0))</f>
        <v>489</v>
      </c>
      <c r="D4731" s="49">
        <f ca="1">C4731*Inputs!$B$12</f>
        <v>58680000</v>
      </c>
    </row>
    <row r="4732" spans="1:4" ht="13.5" customHeight="1" x14ac:dyDescent="0.3">
      <c r="A4732" s="50">
        <v>4728</v>
      </c>
      <c r="B4732" s="51">
        <f t="shared" ca="1" si="73"/>
        <v>0.12582693301834957</v>
      </c>
      <c r="C4732" s="48">
        <f t="array" aca="1" ref="C4732" ca="1">MAX(0,ROUND(Inputs!$B$10*Inputs!$B$11+NORMSINV(B4732)*SQRT(Inputs!$B$10*Inputs!$B$11),0))</f>
        <v>474</v>
      </c>
      <c r="D4732" s="52">
        <f ca="1">C4732*Inputs!$B$12</f>
        <v>56880000</v>
      </c>
    </row>
    <row r="4733" spans="1:4" ht="13.5" customHeight="1" x14ac:dyDescent="0.3">
      <c r="A4733" s="46">
        <v>4729</v>
      </c>
      <c r="B4733" s="47">
        <f t="shared" ca="1" si="73"/>
        <v>0.30805861032282222</v>
      </c>
      <c r="C4733" s="48">
        <f t="array" aca="1" ref="C4733" ca="1">MAX(0,ROUND(Inputs!$B$10*Inputs!$B$11+NORMSINV(B4733)*SQRT(Inputs!$B$10*Inputs!$B$11),0))</f>
        <v>489</v>
      </c>
      <c r="D4733" s="49">
        <f ca="1">C4733*Inputs!$B$12</f>
        <v>58680000</v>
      </c>
    </row>
    <row r="4734" spans="1:4" ht="13.5" customHeight="1" x14ac:dyDescent="0.3">
      <c r="A4734" s="50">
        <v>4730</v>
      </c>
      <c r="B4734" s="51">
        <f t="shared" ca="1" si="73"/>
        <v>0.65013489346566122</v>
      </c>
      <c r="C4734" s="48">
        <f t="array" aca="1" ref="C4734" ca="1">MAX(0,ROUND(Inputs!$B$10*Inputs!$B$11+NORMSINV(B4734)*SQRT(Inputs!$B$10*Inputs!$B$11),0))</f>
        <v>509</v>
      </c>
      <c r="D4734" s="52">
        <f ca="1">C4734*Inputs!$B$12</f>
        <v>61080000</v>
      </c>
    </row>
    <row r="4735" spans="1:4" ht="13.5" customHeight="1" x14ac:dyDescent="0.3">
      <c r="A4735" s="46">
        <v>4731</v>
      </c>
      <c r="B4735" s="47">
        <f t="shared" ca="1" si="73"/>
        <v>0.46777091826773587</v>
      </c>
      <c r="C4735" s="48">
        <f t="array" aca="1" ref="C4735" ca="1">MAX(0,ROUND(Inputs!$B$10*Inputs!$B$11+NORMSINV(B4735)*SQRT(Inputs!$B$10*Inputs!$B$11),0))</f>
        <v>498</v>
      </c>
      <c r="D4735" s="49">
        <f ca="1">C4735*Inputs!$B$12</f>
        <v>59760000</v>
      </c>
    </row>
    <row r="4736" spans="1:4" ht="13.5" customHeight="1" x14ac:dyDescent="0.3">
      <c r="A4736" s="50">
        <v>4732</v>
      </c>
      <c r="B4736" s="51">
        <f t="shared" ca="1" si="73"/>
        <v>0.54864234409502965</v>
      </c>
      <c r="C4736" s="48">
        <f t="array" aca="1" ref="C4736" ca="1">MAX(0,ROUND(Inputs!$B$10*Inputs!$B$11+NORMSINV(B4736)*SQRT(Inputs!$B$10*Inputs!$B$11),0))</f>
        <v>503</v>
      </c>
      <c r="D4736" s="52">
        <f ca="1">C4736*Inputs!$B$12</f>
        <v>60360000</v>
      </c>
    </row>
    <row r="4737" spans="1:4" ht="13.5" customHeight="1" x14ac:dyDescent="0.3">
      <c r="A4737" s="46">
        <v>4733</v>
      </c>
      <c r="B4737" s="47">
        <f t="shared" ca="1" si="73"/>
        <v>0.48880022522408606</v>
      </c>
      <c r="C4737" s="48">
        <f t="array" aca="1" ref="C4737" ca="1">MAX(0,ROUND(Inputs!$B$10*Inputs!$B$11+NORMSINV(B4737)*SQRT(Inputs!$B$10*Inputs!$B$11),0))</f>
        <v>499</v>
      </c>
      <c r="D4737" s="49">
        <f ca="1">C4737*Inputs!$B$12</f>
        <v>59880000</v>
      </c>
    </row>
    <row r="4738" spans="1:4" ht="13.5" customHeight="1" x14ac:dyDescent="0.3">
      <c r="A4738" s="50">
        <v>4734</v>
      </c>
      <c r="B4738" s="51">
        <f t="shared" ca="1" si="73"/>
        <v>3.6311735025122749E-2</v>
      </c>
      <c r="C4738" s="48">
        <f t="array" aca="1" ref="C4738" ca="1">MAX(0,ROUND(Inputs!$B$10*Inputs!$B$11+NORMSINV(B4738)*SQRT(Inputs!$B$10*Inputs!$B$11),0))</f>
        <v>460</v>
      </c>
      <c r="D4738" s="52">
        <f ca="1">C4738*Inputs!$B$12</f>
        <v>55200000</v>
      </c>
    </row>
    <row r="4739" spans="1:4" ht="13.5" customHeight="1" x14ac:dyDescent="0.3">
      <c r="A4739" s="46">
        <v>4735</v>
      </c>
      <c r="B4739" s="47">
        <f t="shared" ca="1" si="73"/>
        <v>0.99504206810797113</v>
      </c>
      <c r="C4739" s="48">
        <f t="array" aca="1" ref="C4739" ca="1">MAX(0,ROUND(Inputs!$B$10*Inputs!$B$11+NORMSINV(B4739)*SQRT(Inputs!$B$10*Inputs!$B$11),0))</f>
        <v>558</v>
      </c>
      <c r="D4739" s="49">
        <f ca="1">C4739*Inputs!$B$12</f>
        <v>66960000</v>
      </c>
    </row>
    <row r="4740" spans="1:4" ht="13.5" customHeight="1" x14ac:dyDescent="0.3">
      <c r="A4740" s="50">
        <v>4736</v>
      </c>
      <c r="B4740" s="51">
        <f t="shared" ca="1" si="73"/>
        <v>0.79278179762971479</v>
      </c>
      <c r="C4740" s="48">
        <f t="array" aca="1" ref="C4740" ca="1">MAX(0,ROUND(Inputs!$B$10*Inputs!$B$11+NORMSINV(B4740)*SQRT(Inputs!$B$10*Inputs!$B$11),0))</f>
        <v>518</v>
      </c>
      <c r="D4740" s="52">
        <f ca="1">C4740*Inputs!$B$12</f>
        <v>62160000</v>
      </c>
    </row>
    <row r="4741" spans="1:4" ht="13.5" customHeight="1" x14ac:dyDescent="0.3">
      <c r="A4741" s="46">
        <v>4737</v>
      </c>
      <c r="B4741" s="47">
        <f t="shared" ref="B4741:B4804" ca="1" si="74">RAND()</f>
        <v>0.91600997757905145</v>
      </c>
      <c r="C4741" s="48">
        <f t="array" aca="1" ref="C4741" ca="1">MAX(0,ROUND(Inputs!$B$10*Inputs!$B$11+NORMSINV(B4741)*SQRT(Inputs!$B$10*Inputs!$B$11),0))</f>
        <v>531</v>
      </c>
      <c r="D4741" s="49">
        <f ca="1">C4741*Inputs!$B$12</f>
        <v>63720000</v>
      </c>
    </row>
    <row r="4742" spans="1:4" ht="13.5" customHeight="1" x14ac:dyDescent="0.3">
      <c r="A4742" s="50">
        <v>4738</v>
      </c>
      <c r="B4742" s="51">
        <f t="shared" ca="1" si="74"/>
        <v>0.98767473267981687</v>
      </c>
      <c r="C4742" s="48">
        <f t="array" aca="1" ref="C4742" ca="1">MAX(0,ROUND(Inputs!$B$10*Inputs!$B$11+NORMSINV(B4742)*SQRT(Inputs!$B$10*Inputs!$B$11),0))</f>
        <v>550</v>
      </c>
      <c r="D4742" s="52">
        <f ca="1">C4742*Inputs!$B$12</f>
        <v>66000000</v>
      </c>
    </row>
    <row r="4743" spans="1:4" ht="13.5" customHeight="1" x14ac:dyDescent="0.3">
      <c r="A4743" s="46">
        <v>4739</v>
      </c>
      <c r="B4743" s="47">
        <f t="shared" ca="1" si="74"/>
        <v>0.98603207896508394</v>
      </c>
      <c r="C4743" s="48">
        <f t="array" aca="1" ref="C4743" ca="1">MAX(0,ROUND(Inputs!$B$10*Inputs!$B$11+NORMSINV(B4743)*SQRT(Inputs!$B$10*Inputs!$B$11),0))</f>
        <v>549</v>
      </c>
      <c r="D4743" s="49">
        <f ca="1">C4743*Inputs!$B$12</f>
        <v>65880000</v>
      </c>
    </row>
    <row r="4744" spans="1:4" ht="13.5" customHeight="1" x14ac:dyDescent="0.3">
      <c r="A4744" s="50">
        <v>4740</v>
      </c>
      <c r="B4744" s="51">
        <f t="shared" ca="1" si="74"/>
        <v>1.0575141216934703E-2</v>
      </c>
      <c r="C4744" s="48">
        <f t="array" aca="1" ref="C4744" ca="1">MAX(0,ROUND(Inputs!$B$10*Inputs!$B$11+NORMSINV(B4744)*SQRT(Inputs!$B$10*Inputs!$B$11),0))</f>
        <v>448</v>
      </c>
      <c r="D4744" s="52">
        <f ca="1">C4744*Inputs!$B$12</f>
        <v>53760000</v>
      </c>
    </row>
    <row r="4745" spans="1:4" ht="13.5" customHeight="1" x14ac:dyDescent="0.3">
      <c r="A4745" s="46">
        <v>4741</v>
      </c>
      <c r="B4745" s="47">
        <f t="shared" ca="1" si="74"/>
        <v>0.16440112292079379</v>
      </c>
      <c r="C4745" s="48">
        <f t="array" aca="1" ref="C4745" ca="1">MAX(0,ROUND(Inputs!$B$10*Inputs!$B$11+NORMSINV(B4745)*SQRT(Inputs!$B$10*Inputs!$B$11),0))</f>
        <v>478</v>
      </c>
      <c r="D4745" s="49">
        <f ca="1">C4745*Inputs!$B$12</f>
        <v>57360000</v>
      </c>
    </row>
    <row r="4746" spans="1:4" ht="13.5" customHeight="1" x14ac:dyDescent="0.3">
      <c r="A4746" s="50">
        <v>4742</v>
      </c>
      <c r="B4746" s="51">
        <f t="shared" ca="1" si="74"/>
        <v>0.35419517442921478</v>
      </c>
      <c r="C4746" s="48">
        <f t="array" aca="1" ref="C4746" ca="1">MAX(0,ROUND(Inputs!$B$10*Inputs!$B$11+NORMSINV(B4746)*SQRT(Inputs!$B$10*Inputs!$B$11),0))</f>
        <v>492</v>
      </c>
      <c r="D4746" s="52">
        <f ca="1">C4746*Inputs!$B$12</f>
        <v>59040000</v>
      </c>
    </row>
    <row r="4747" spans="1:4" ht="13.5" customHeight="1" x14ac:dyDescent="0.3">
      <c r="A4747" s="46">
        <v>4743</v>
      </c>
      <c r="B4747" s="47">
        <f t="shared" ca="1" si="74"/>
        <v>0.80448606662759858</v>
      </c>
      <c r="C4747" s="48">
        <f t="array" aca="1" ref="C4747" ca="1">MAX(0,ROUND(Inputs!$B$10*Inputs!$B$11+NORMSINV(B4747)*SQRT(Inputs!$B$10*Inputs!$B$11),0))</f>
        <v>519</v>
      </c>
      <c r="D4747" s="49">
        <f ca="1">C4747*Inputs!$B$12</f>
        <v>62280000</v>
      </c>
    </row>
    <row r="4748" spans="1:4" ht="13.5" customHeight="1" x14ac:dyDescent="0.3">
      <c r="A4748" s="50">
        <v>4744</v>
      </c>
      <c r="B4748" s="51">
        <f t="shared" ca="1" si="74"/>
        <v>0.33889627137663414</v>
      </c>
      <c r="C4748" s="48">
        <f t="array" aca="1" ref="C4748" ca="1">MAX(0,ROUND(Inputs!$B$10*Inputs!$B$11+NORMSINV(B4748)*SQRT(Inputs!$B$10*Inputs!$B$11),0))</f>
        <v>491</v>
      </c>
      <c r="D4748" s="52">
        <f ca="1">C4748*Inputs!$B$12</f>
        <v>58920000</v>
      </c>
    </row>
    <row r="4749" spans="1:4" ht="13.5" customHeight="1" x14ac:dyDescent="0.3">
      <c r="A4749" s="46">
        <v>4745</v>
      </c>
      <c r="B4749" s="47">
        <f t="shared" ca="1" si="74"/>
        <v>0.65572572146579255</v>
      </c>
      <c r="C4749" s="48">
        <f t="array" aca="1" ref="C4749" ca="1">MAX(0,ROUND(Inputs!$B$10*Inputs!$B$11+NORMSINV(B4749)*SQRT(Inputs!$B$10*Inputs!$B$11),0))</f>
        <v>509</v>
      </c>
      <c r="D4749" s="49">
        <f ca="1">C4749*Inputs!$B$12</f>
        <v>61080000</v>
      </c>
    </row>
    <row r="4750" spans="1:4" ht="13.5" customHeight="1" x14ac:dyDescent="0.3">
      <c r="A4750" s="50">
        <v>4746</v>
      </c>
      <c r="B4750" s="51">
        <f t="shared" ca="1" si="74"/>
        <v>0.56043655711434504</v>
      </c>
      <c r="C4750" s="48">
        <f t="array" aca="1" ref="C4750" ca="1">MAX(0,ROUND(Inputs!$B$10*Inputs!$B$11+NORMSINV(B4750)*SQRT(Inputs!$B$10*Inputs!$B$11),0))</f>
        <v>503</v>
      </c>
      <c r="D4750" s="52">
        <f ca="1">C4750*Inputs!$B$12</f>
        <v>60360000</v>
      </c>
    </row>
    <row r="4751" spans="1:4" ht="13.5" customHeight="1" x14ac:dyDescent="0.3">
      <c r="A4751" s="46">
        <v>4747</v>
      </c>
      <c r="B4751" s="47">
        <f t="shared" ca="1" si="74"/>
        <v>0.38457204417783408</v>
      </c>
      <c r="C4751" s="48">
        <f t="array" aca="1" ref="C4751" ca="1">MAX(0,ROUND(Inputs!$B$10*Inputs!$B$11+NORMSINV(B4751)*SQRT(Inputs!$B$10*Inputs!$B$11),0))</f>
        <v>493</v>
      </c>
      <c r="D4751" s="49">
        <f ca="1">C4751*Inputs!$B$12</f>
        <v>59160000</v>
      </c>
    </row>
    <row r="4752" spans="1:4" ht="13.5" customHeight="1" x14ac:dyDescent="0.3">
      <c r="A4752" s="50">
        <v>4748</v>
      </c>
      <c r="B4752" s="51">
        <f t="shared" ca="1" si="74"/>
        <v>0.36812378379352484</v>
      </c>
      <c r="C4752" s="48">
        <f t="array" aca="1" ref="C4752" ca="1">MAX(0,ROUND(Inputs!$B$10*Inputs!$B$11+NORMSINV(B4752)*SQRT(Inputs!$B$10*Inputs!$B$11),0))</f>
        <v>492</v>
      </c>
      <c r="D4752" s="52">
        <f ca="1">C4752*Inputs!$B$12</f>
        <v>59040000</v>
      </c>
    </row>
    <row r="4753" spans="1:4" ht="13.5" customHeight="1" x14ac:dyDescent="0.3">
      <c r="A4753" s="46">
        <v>4749</v>
      </c>
      <c r="B4753" s="47">
        <f t="shared" ca="1" si="74"/>
        <v>0.24214506619549925</v>
      </c>
      <c r="C4753" s="48">
        <f t="array" aca="1" ref="C4753" ca="1">MAX(0,ROUND(Inputs!$B$10*Inputs!$B$11+NORMSINV(B4753)*SQRT(Inputs!$B$10*Inputs!$B$11),0))</f>
        <v>484</v>
      </c>
      <c r="D4753" s="49">
        <f ca="1">C4753*Inputs!$B$12</f>
        <v>58080000</v>
      </c>
    </row>
    <row r="4754" spans="1:4" ht="13.5" customHeight="1" x14ac:dyDescent="0.3">
      <c r="A4754" s="50">
        <v>4750</v>
      </c>
      <c r="B4754" s="51">
        <f t="shared" ca="1" si="74"/>
        <v>0.26313405299913939</v>
      </c>
      <c r="C4754" s="48">
        <f t="array" aca="1" ref="C4754" ca="1">MAX(0,ROUND(Inputs!$B$10*Inputs!$B$11+NORMSINV(B4754)*SQRT(Inputs!$B$10*Inputs!$B$11),0))</f>
        <v>486</v>
      </c>
      <c r="D4754" s="52">
        <f ca="1">C4754*Inputs!$B$12</f>
        <v>58320000</v>
      </c>
    </row>
    <row r="4755" spans="1:4" ht="13.5" customHeight="1" x14ac:dyDescent="0.3">
      <c r="A4755" s="46">
        <v>4751</v>
      </c>
      <c r="B4755" s="47">
        <f t="shared" ca="1" si="74"/>
        <v>0.4420572628921039</v>
      </c>
      <c r="C4755" s="48">
        <f t="array" aca="1" ref="C4755" ca="1">MAX(0,ROUND(Inputs!$B$10*Inputs!$B$11+NORMSINV(B4755)*SQRT(Inputs!$B$10*Inputs!$B$11),0))</f>
        <v>497</v>
      </c>
      <c r="D4755" s="49">
        <f ca="1">C4755*Inputs!$B$12</f>
        <v>59640000</v>
      </c>
    </row>
    <row r="4756" spans="1:4" ht="13.5" customHeight="1" x14ac:dyDescent="0.3">
      <c r="A4756" s="50">
        <v>4752</v>
      </c>
      <c r="B4756" s="51">
        <f t="shared" ca="1" si="74"/>
        <v>0.74740559124770456</v>
      </c>
      <c r="C4756" s="48">
        <f t="array" aca="1" ref="C4756" ca="1">MAX(0,ROUND(Inputs!$B$10*Inputs!$B$11+NORMSINV(B4756)*SQRT(Inputs!$B$10*Inputs!$B$11),0))</f>
        <v>515</v>
      </c>
      <c r="D4756" s="52">
        <f ca="1">C4756*Inputs!$B$12</f>
        <v>61800000</v>
      </c>
    </row>
    <row r="4757" spans="1:4" ht="13.5" customHeight="1" x14ac:dyDescent="0.3">
      <c r="A4757" s="46">
        <v>4753</v>
      </c>
      <c r="B4757" s="47">
        <f t="shared" ca="1" si="74"/>
        <v>0.901431976859975</v>
      </c>
      <c r="C4757" s="48">
        <f t="array" aca="1" ref="C4757" ca="1">MAX(0,ROUND(Inputs!$B$10*Inputs!$B$11+NORMSINV(B4757)*SQRT(Inputs!$B$10*Inputs!$B$11),0))</f>
        <v>529</v>
      </c>
      <c r="D4757" s="49">
        <f ca="1">C4757*Inputs!$B$12</f>
        <v>63480000</v>
      </c>
    </row>
    <row r="4758" spans="1:4" ht="13.5" customHeight="1" x14ac:dyDescent="0.3">
      <c r="A4758" s="50">
        <v>4754</v>
      </c>
      <c r="B4758" s="51">
        <f t="shared" ca="1" si="74"/>
        <v>0.87962736837649136</v>
      </c>
      <c r="C4758" s="48">
        <f t="array" aca="1" ref="C4758" ca="1">MAX(0,ROUND(Inputs!$B$10*Inputs!$B$11+NORMSINV(B4758)*SQRT(Inputs!$B$10*Inputs!$B$11),0))</f>
        <v>526</v>
      </c>
      <c r="D4758" s="52">
        <f ca="1">C4758*Inputs!$B$12</f>
        <v>63120000</v>
      </c>
    </row>
    <row r="4759" spans="1:4" ht="13.5" customHeight="1" x14ac:dyDescent="0.3">
      <c r="A4759" s="46">
        <v>4755</v>
      </c>
      <c r="B4759" s="47">
        <f t="shared" ca="1" si="74"/>
        <v>0.80667567444815902</v>
      </c>
      <c r="C4759" s="48">
        <f t="array" aca="1" ref="C4759" ca="1">MAX(0,ROUND(Inputs!$B$10*Inputs!$B$11+NORMSINV(B4759)*SQRT(Inputs!$B$10*Inputs!$B$11),0))</f>
        <v>519</v>
      </c>
      <c r="D4759" s="49">
        <f ca="1">C4759*Inputs!$B$12</f>
        <v>62280000</v>
      </c>
    </row>
    <row r="4760" spans="1:4" ht="13.5" customHeight="1" x14ac:dyDescent="0.3">
      <c r="A4760" s="50">
        <v>4756</v>
      </c>
      <c r="B4760" s="51">
        <f t="shared" ca="1" si="74"/>
        <v>0.33950474066488545</v>
      </c>
      <c r="C4760" s="48">
        <f t="array" aca="1" ref="C4760" ca="1">MAX(0,ROUND(Inputs!$B$10*Inputs!$B$11+NORMSINV(B4760)*SQRT(Inputs!$B$10*Inputs!$B$11),0))</f>
        <v>491</v>
      </c>
      <c r="D4760" s="52">
        <f ca="1">C4760*Inputs!$B$12</f>
        <v>58920000</v>
      </c>
    </row>
    <row r="4761" spans="1:4" ht="13.5" customHeight="1" x14ac:dyDescent="0.3">
      <c r="A4761" s="46">
        <v>4757</v>
      </c>
      <c r="B4761" s="47">
        <f t="shared" ca="1" si="74"/>
        <v>0.16201084591440207</v>
      </c>
      <c r="C4761" s="48">
        <f t="array" aca="1" ref="C4761" ca="1">MAX(0,ROUND(Inputs!$B$10*Inputs!$B$11+NORMSINV(B4761)*SQRT(Inputs!$B$10*Inputs!$B$11),0))</f>
        <v>478</v>
      </c>
      <c r="D4761" s="49">
        <f ca="1">C4761*Inputs!$B$12</f>
        <v>57360000</v>
      </c>
    </row>
    <row r="4762" spans="1:4" ht="13.5" customHeight="1" x14ac:dyDescent="0.3">
      <c r="A4762" s="50">
        <v>4758</v>
      </c>
      <c r="B4762" s="51">
        <f t="shared" ca="1" si="74"/>
        <v>0.31181889392975981</v>
      </c>
      <c r="C4762" s="48">
        <f t="array" aca="1" ref="C4762" ca="1">MAX(0,ROUND(Inputs!$B$10*Inputs!$B$11+NORMSINV(B4762)*SQRT(Inputs!$B$10*Inputs!$B$11),0))</f>
        <v>489</v>
      </c>
      <c r="D4762" s="52">
        <f ca="1">C4762*Inputs!$B$12</f>
        <v>58680000</v>
      </c>
    </row>
    <row r="4763" spans="1:4" ht="13.5" customHeight="1" x14ac:dyDescent="0.3">
      <c r="A4763" s="46">
        <v>4759</v>
      </c>
      <c r="B4763" s="47">
        <f t="shared" ca="1" si="74"/>
        <v>0.95007739058491936</v>
      </c>
      <c r="C4763" s="48">
        <f t="array" aca="1" ref="C4763" ca="1">MAX(0,ROUND(Inputs!$B$10*Inputs!$B$11+NORMSINV(B4763)*SQRT(Inputs!$B$10*Inputs!$B$11),0))</f>
        <v>537</v>
      </c>
      <c r="D4763" s="49">
        <f ca="1">C4763*Inputs!$B$12</f>
        <v>64440000</v>
      </c>
    </row>
    <row r="4764" spans="1:4" ht="13.5" customHeight="1" x14ac:dyDescent="0.3">
      <c r="A4764" s="50">
        <v>4760</v>
      </c>
      <c r="B4764" s="51">
        <f t="shared" ca="1" si="74"/>
        <v>0.2008196881144374</v>
      </c>
      <c r="C4764" s="48">
        <f t="array" aca="1" ref="C4764" ca="1">MAX(0,ROUND(Inputs!$B$10*Inputs!$B$11+NORMSINV(B4764)*SQRT(Inputs!$B$10*Inputs!$B$11),0))</f>
        <v>481</v>
      </c>
      <c r="D4764" s="52">
        <f ca="1">C4764*Inputs!$B$12</f>
        <v>57720000</v>
      </c>
    </row>
    <row r="4765" spans="1:4" ht="13.5" customHeight="1" x14ac:dyDescent="0.3">
      <c r="A4765" s="46">
        <v>4761</v>
      </c>
      <c r="B4765" s="47">
        <f t="shared" ca="1" si="74"/>
        <v>0.92685518337179695</v>
      </c>
      <c r="C4765" s="48">
        <f t="array" aca="1" ref="C4765" ca="1">MAX(0,ROUND(Inputs!$B$10*Inputs!$B$11+NORMSINV(B4765)*SQRT(Inputs!$B$10*Inputs!$B$11),0))</f>
        <v>532</v>
      </c>
      <c r="D4765" s="49">
        <f ca="1">C4765*Inputs!$B$12</f>
        <v>63840000</v>
      </c>
    </row>
    <row r="4766" spans="1:4" ht="13.5" customHeight="1" x14ac:dyDescent="0.3">
      <c r="A4766" s="50">
        <v>4762</v>
      </c>
      <c r="B4766" s="51">
        <f t="shared" ca="1" si="74"/>
        <v>0.19506024983345704</v>
      </c>
      <c r="C4766" s="48">
        <f t="array" aca="1" ref="C4766" ca="1">MAX(0,ROUND(Inputs!$B$10*Inputs!$B$11+NORMSINV(B4766)*SQRT(Inputs!$B$10*Inputs!$B$11),0))</f>
        <v>481</v>
      </c>
      <c r="D4766" s="52">
        <f ca="1">C4766*Inputs!$B$12</f>
        <v>57720000</v>
      </c>
    </row>
    <row r="4767" spans="1:4" ht="13.5" customHeight="1" x14ac:dyDescent="0.3">
      <c r="A4767" s="46">
        <v>4763</v>
      </c>
      <c r="B4767" s="47">
        <f t="shared" ca="1" si="74"/>
        <v>0.90282153955549815</v>
      </c>
      <c r="C4767" s="48">
        <f t="array" aca="1" ref="C4767" ca="1">MAX(0,ROUND(Inputs!$B$10*Inputs!$B$11+NORMSINV(B4767)*SQRT(Inputs!$B$10*Inputs!$B$11),0))</f>
        <v>529</v>
      </c>
      <c r="D4767" s="49">
        <f ca="1">C4767*Inputs!$B$12</f>
        <v>63480000</v>
      </c>
    </row>
    <row r="4768" spans="1:4" ht="13.5" customHeight="1" x14ac:dyDescent="0.3">
      <c r="A4768" s="50">
        <v>4764</v>
      </c>
      <c r="B4768" s="51">
        <f t="shared" ca="1" si="74"/>
        <v>0.49718659533901555</v>
      </c>
      <c r="C4768" s="48">
        <f t="array" aca="1" ref="C4768" ca="1">MAX(0,ROUND(Inputs!$B$10*Inputs!$B$11+NORMSINV(B4768)*SQRT(Inputs!$B$10*Inputs!$B$11),0))</f>
        <v>500</v>
      </c>
      <c r="D4768" s="52">
        <f ca="1">C4768*Inputs!$B$12</f>
        <v>60000000</v>
      </c>
    </row>
    <row r="4769" spans="1:4" ht="13.5" customHeight="1" x14ac:dyDescent="0.3">
      <c r="A4769" s="46">
        <v>4765</v>
      </c>
      <c r="B4769" s="47">
        <f t="shared" ca="1" si="74"/>
        <v>0.5042358999520965</v>
      </c>
      <c r="C4769" s="48">
        <f t="array" aca="1" ref="C4769" ca="1">MAX(0,ROUND(Inputs!$B$10*Inputs!$B$11+NORMSINV(B4769)*SQRT(Inputs!$B$10*Inputs!$B$11),0))</f>
        <v>500</v>
      </c>
      <c r="D4769" s="49">
        <f ca="1">C4769*Inputs!$B$12</f>
        <v>60000000</v>
      </c>
    </row>
    <row r="4770" spans="1:4" ht="13.5" customHeight="1" x14ac:dyDescent="0.3">
      <c r="A4770" s="50">
        <v>4766</v>
      </c>
      <c r="B4770" s="51">
        <f t="shared" ca="1" si="74"/>
        <v>0.98497055631720221</v>
      </c>
      <c r="C4770" s="48">
        <f t="array" aca="1" ref="C4770" ca="1">MAX(0,ROUND(Inputs!$B$10*Inputs!$B$11+NORMSINV(B4770)*SQRT(Inputs!$B$10*Inputs!$B$11),0))</f>
        <v>549</v>
      </c>
      <c r="D4770" s="52">
        <f ca="1">C4770*Inputs!$B$12</f>
        <v>65880000</v>
      </c>
    </row>
    <row r="4771" spans="1:4" ht="13.5" customHeight="1" x14ac:dyDescent="0.3">
      <c r="A4771" s="46">
        <v>4767</v>
      </c>
      <c r="B4771" s="47">
        <f t="shared" ca="1" si="74"/>
        <v>0.12486963306872445</v>
      </c>
      <c r="C4771" s="48">
        <f t="array" aca="1" ref="C4771" ca="1">MAX(0,ROUND(Inputs!$B$10*Inputs!$B$11+NORMSINV(B4771)*SQRT(Inputs!$B$10*Inputs!$B$11),0))</f>
        <v>474</v>
      </c>
      <c r="D4771" s="49">
        <f ca="1">C4771*Inputs!$B$12</f>
        <v>56880000</v>
      </c>
    </row>
    <row r="4772" spans="1:4" ht="13.5" customHeight="1" x14ac:dyDescent="0.3">
      <c r="A4772" s="50">
        <v>4768</v>
      </c>
      <c r="B4772" s="51">
        <f t="shared" ca="1" si="74"/>
        <v>0.8475917201884775</v>
      </c>
      <c r="C4772" s="48">
        <f t="array" aca="1" ref="C4772" ca="1">MAX(0,ROUND(Inputs!$B$10*Inputs!$B$11+NORMSINV(B4772)*SQRT(Inputs!$B$10*Inputs!$B$11),0))</f>
        <v>523</v>
      </c>
      <c r="D4772" s="52">
        <f ca="1">C4772*Inputs!$B$12</f>
        <v>62760000</v>
      </c>
    </row>
    <row r="4773" spans="1:4" ht="13.5" customHeight="1" x14ac:dyDescent="0.3">
      <c r="A4773" s="46">
        <v>4769</v>
      </c>
      <c r="B4773" s="47">
        <f t="shared" ca="1" si="74"/>
        <v>0.81863544563923607</v>
      </c>
      <c r="C4773" s="48">
        <f t="array" aca="1" ref="C4773" ca="1">MAX(0,ROUND(Inputs!$B$10*Inputs!$B$11+NORMSINV(B4773)*SQRT(Inputs!$B$10*Inputs!$B$11),0))</f>
        <v>520</v>
      </c>
      <c r="D4773" s="49">
        <f ca="1">C4773*Inputs!$B$12</f>
        <v>62400000</v>
      </c>
    </row>
    <row r="4774" spans="1:4" ht="13.5" customHeight="1" x14ac:dyDescent="0.3">
      <c r="A4774" s="50">
        <v>4770</v>
      </c>
      <c r="B4774" s="51">
        <f t="shared" ca="1" si="74"/>
        <v>0.16792696040546951</v>
      </c>
      <c r="C4774" s="48">
        <f t="array" aca="1" ref="C4774" ca="1">MAX(0,ROUND(Inputs!$B$10*Inputs!$B$11+NORMSINV(B4774)*SQRT(Inputs!$B$10*Inputs!$B$11),0))</f>
        <v>478</v>
      </c>
      <c r="D4774" s="52">
        <f ca="1">C4774*Inputs!$B$12</f>
        <v>57360000</v>
      </c>
    </row>
    <row r="4775" spans="1:4" ht="13.5" customHeight="1" x14ac:dyDescent="0.3">
      <c r="A4775" s="46">
        <v>4771</v>
      </c>
      <c r="B4775" s="47">
        <f t="shared" ca="1" si="74"/>
        <v>0.99288102781811383</v>
      </c>
      <c r="C4775" s="48">
        <f t="array" aca="1" ref="C4775" ca="1">MAX(0,ROUND(Inputs!$B$10*Inputs!$B$11+NORMSINV(B4775)*SQRT(Inputs!$B$10*Inputs!$B$11),0))</f>
        <v>555</v>
      </c>
      <c r="D4775" s="49">
        <f ca="1">C4775*Inputs!$B$12</f>
        <v>66600000</v>
      </c>
    </row>
    <row r="4776" spans="1:4" ht="13.5" customHeight="1" x14ac:dyDescent="0.3">
      <c r="A4776" s="50">
        <v>4772</v>
      </c>
      <c r="B4776" s="51">
        <f t="shared" ca="1" si="74"/>
        <v>0.1795938004362273</v>
      </c>
      <c r="C4776" s="48">
        <f t="array" aca="1" ref="C4776" ca="1">MAX(0,ROUND(Inputs!$B$10*Inputs!$B$11+NORMSINV(B4776)*SQRT(Inputs!$B$10*Inputs!$B$11),0))</f>
        <v>479</v>
      </c>
      <c r="D4776" s="52">
        <f ca="1">C4776*Inputs!$B$12</f>
        <v>57480000</v>
      </c>
    </row>
    <row r="4777" spans="1:4" ht="13.5" customHeight="1" x14ac:dyDescent="0.3">
      <c r="A4777" s="46">
        <v>4773</v>
      </c>
      <c r="B4777" s="47">
        <f t="shared" ca="1" si="74"/>
        <v>0.95830097685648963</v>
      </c>
      <c r="C4777" s="48">
        <f t="array" aca="1" ref="C4777" ca="1">MAX(0,ROUND(Inputs!$B$10*Inputs!$B$11+NORMSINV(B4777)*SQRT(Inputs!$B$10*Inputs!$B$11),0))</f>
        <v>539</v>
      </c>
      <c r="D4777" s="49">
        <f ca="1">C4777*Inputs!$B$12</f>
        <v>64680000</v>
      </c>
    </row>
    <row r="4778" spans="1:4" ht="13.5" customHeight="1" x14ac:dyDescent="0.3">
      <c r="A4778" s="50">
        <v>4774</v>
      </c>
      <c r="B4778" s="51">
        <f t="shared" ca="1" si="74"/>
        <v>0.67157443772680259</v>
      </c>
      <c r="C4778" s="48">
        <f t="array" aca="1" ref="C4778" ca="1">MAX(0,ROUND(Inputs!$B$10*Inputs!$B$11+NORMSINV(B4778)*SQRT(Inputs!$B$10*Inputs!$B$11),0))</f>
        <v>510</v>
      </c>
      <c r="D4778" s="52">
        <f ca="1">C4778*Inputs!$B$12</f>
        <v>61200000</v>
      </c>
    </row>
    <row r="4779" spans="1:4" ht="13.5" customHeight="1" x14ac:dyDescent="0.3">
      <c r="A4779" s="46">
        <v>4775</v>
      </c>
      <c r="B4779" s="47">
        <f t="shared" ca="1" si="74"/>
        <v>0.33071485209537099</v>
      </c>
      <c r="C4779" s="48">
        <f t="array" aca="1" ref="C4779" ca="1">MAX(0,ROUND(Inputs!$B$10*Inputs!$B$11+NORMSINV(B4779)*SQRT(Inputs!$B$10*Inputs!$B$11),0))</f>
        <v>490</v>
      </c>
      <c r="D4779" s="49">
        <f ca="1">C4779*Inputs!$B$12</f>
        <v>58800000</v>
      </c>
    </row>
    <row r="4780" spans="1:4" ht="13.5" customHeight="1" x14ac:dyDescent="0.3">
      <c r="A4780" s="50">
        <v>4776</v>
      </c>
      <c r="B4780" s="51">
        <f t="shared" ca="1" si="74"/>
        <v>0.97446840675068214</v>
      </c>
      <c r="C4780" s="48">
        <f t="array" aca="1" ref="C4780" ca="1">MAX(0,ROUND(Inputs!$B$10*Inputs!$B$11+NORMSINV(B4780)*SQRT(Inputs!$B$10*Inputs!$B$11),0))</f>
        <v>544</v>
      </c>
      <c r="D4780" s="52">
        <f ca="1">C4780*Inputs!$B$12</f>
        <v>65280000</v>
      </c>
    </row>
    <row r="4781" spans="1:4" ht="13.5" customHeight="1" x14ac:dyDescent="0.3">
      <c r="A4781" s="46">
        <v>4777</v>
      </c>
      <c r="B4781" s="47">
        <f t="shared" ca="1" si="74"/>
        <v>0.16209655668787137</v>
      </c>
      <c r="C4781" s="48">
        <f t="array" aca="1" ref="C4781" ca="1">MAX(0,ROUND(Inputs!$B$10*Inputs!$B$11+NORMSINV(B4781)*SQRT(Inputs!$B$10*Inputs!$B$11),0))</f>
        <v>478</v>
      </c>
      <c r="D4781" s="49">
        <f ca="1">C4781*Inputs!$B$12</f>
        <v>57360000</v>
      </c>
    </row>
    <row r="4782" spans="1:4" ht="13.5" customHeight="1" x14ac:dyDescent="0.3">
      <c r="A4782" s="50">
        <v>4778</v>
      </c>
      <c r="B4782" s="51">
        <f t="shared" ca="1" si="74"/>
        <v>0.65687320402756033</v>
      </c>
      <c r="C4782" s="48">
        <f t="array" aca="1" ref="C4782" ca="1">MAX(0,ROUND(Inputs!$B$10*Inputs!$B$11+NORMSINV(B4782)*SQRT(Inputs!$B$10*Inputs!$B$11),0))</f>
        <v>509</v>
      </c>
      <c r="D4782" s="52">
        <f ca="1">C4782*Inputs!$B$12</f>
        <v>61080000</v>
      </c>
    </row>
    <row r="4783" spans="1:4" ht="13.5" customHeight="1" x14ac:dyDescent="0.3">
      <c r="A4783" s="46">
        <v>4779</v>
      </c>
      <c r="B4783" s="47">
        <f t="shared" ca="1" si="74"/>
        <v>0.24642500940725443</v>
      </c>
      <c r="C4783" s="48">
        <f t="array" aca="1" ref="C4783" ca="1">MAX(0,ROUND(Inputs!$B$10*Inputs!$B$11+NORMSINV(B4783)*SQRT(Inputs!$B$10*Inputs!$B$11),0))</f>
        <v>485</v>
      </c>
      <c r="D4783" s="49">
        <f ca="1">C4783*Inputs!$B$12</f>
        <v>58200000</v>
      </c>
    </row>
    <row r="4784" spans="1:4" ht="13.5" customHeight="1" x14ac:dyDescent="0.3">
      <c r="A4784" s="50">
        <v>4780</v>
      </c>
      <c r="B4784" s="51">
        <f t="shared" ca="1" si="74"/>
        <v>0.29924050652809941</v>
      </c>
      <c r="C4784" s="48">
        <f t="array" aca="1" ref="C4784" ca="1">MAX(0,ROUND(Inputs!$B$10*Inputs!$B$11+NORMSINV(B4784)*SQRT(Inputs!$B$10*Inputs!$B$11),0))</f>
        <v>488</v>
      </c>
      <c r="D4784" s="52">
        <f ca="1">C4784*Inputs!$B$12</f>
        <v>58560000</v>
      </c>
    </row>
    <row r="4785" spans="1:4" ht="13.5" customHeight="1" x14ac:dyDescent="0.3">
      <c r="A4785" s="46">
        <v>4781</v>
      </c>
      <c r="B4785" s="47">
        <f t="shared" ca="1" si="74"/>
        <v>0.40369615420008775</v>
      </c>
      <c r="C4785" s="48">
        <f t="array" aca="1" ref="C4785" ca="1">MAX(0,ROUND(Inputs!$B$10*Inputs!$B$11+NORMSINV(B4785)*SQRT(Inputs!$B$10*Inputs!$B$11),0))</f>
        <v>495</v>
      </c>
      <c r="D4785" s="49">
        <f ca="1">C4785*Inputs!$B$12</f>
        <v>59400000</v>
      </c>
    </row>
    <row r="4786" spans="1:4" ht="13.5" customHeight="1" x14ac:dyDescent="0.3">
      <c r="A4786" s="50">
        <v>4782</v>
      </c>
      <c r="B4786" s="51">
        <f t="shared" ca="1" si="74"/>
        <v>4.7769308656442355E-4</v>
      </c>
      <c r="C4786" s="48">
        <f t="array" aca="1" ref="C4786" ca="1">MAX(0,ROUND(Inputs!$B$10*Inputs!$B$11+NORMSINV(B4786)*SQRT(Inputs!$B$10*Inputs!$B$11),0))</f>
        <v>426</v>
      </c>
      <c r="D4786" s="52">
        <f ca="1">C4786*Inputs!$B$12</f>
        <v>51120000</v>
      </c>
    </row>
    <row r="4787" spans="1:4" ht="13.5" customHeight="1" x14ac:dyDescent="0.3">
      <c r="A4787" s="46">
        <v>4783</v>
      </c>
      <c r="B4787" s="47">
        <f t="shared" ca="1" si="74"/>
        <v>0.57685474171481654</v>
      </c>
      <c r="C4787" s="48">
        <f t="array" aca="1" ref="C4787" ca="1">MAX(0,ROUND(Inputs!$B$10*Inputs!$B$11+NORMSINV(B4787)*SQRT(Inputs!$B$10*Inputs!$B$11),0))</f>
        <v>504</v>
      </c>
      <c r="D4787" s="49">
        <f ca="1">C4787*Inputs!$B$12</f>
        <v>60480000</v>
      </c>
    </row>
    <row r="4788" spans="1:4" ht="13.5" customHeight="1" x14ac:dyDescent="0.3">
      <c r="A4788" s="50">
        <v>4784</v>
      </c>
      <c r="B4788" s="51">
        <f t="shared" ca="1" si="74"/>
        <v>0.20139598805115722</v>
      </c>
      <c r="C4788" s="48">
        <f t="array" aca="1" ref="C4788" ca="1">MAX(0,ROUND(Inputs!$B$10*Inputs!$B$11+NORMSINV(B4788)*SQRT(Inputs!$B$10*Inputs!$B$11),0))</f>
        <v>481</v>
      </c>
      <c r="D4788" s="52">
        <f ca="1">C4788*Inputs!$B$12</f>
        <v>57720000</v>
      </c>
    </row>
    <row r="4789" spans="1:4" ht="13.5" customHeight="1" x14ac:dyDescent="0.3">
      <c r="A4789" s="46">
        <v>4785</v>
      </c>
      <c r="B4789" s="47">
        <f t="shared" ca="1" si="74"/>
        <v>0.1963094991879889</v>
      </c>
      <c r="C4789" s="48">
        <f t="array" aca="1" ref="C4789" ca="1">MAX(0,ROUND(Inputs!$B$10*Inputs!$B$11+NORMSINV(B4789)*SQRT(Inputs!$B$10*Inputs!$B$11),0))</f>
        <v>481</v>
      </c>
      <c r="D4789" s="49">
        <f ca="1">C4789*Inputs!$B$12</f>
        <v>57720000</v>
      </c>
    </row>
    <row r="4790" spans="1:4" ht="13.5" customHeight="1" x14ac:dyDescent="0.3">
      <c r="A4790" s="50">
        <v>4786</v>
      </c>
      <c r="B4790" s="51">
        <f t="shared" ca="1" si="74"/>
        <v>0.787427644462388</v>
      </c>
      <c r="C4790" s="48">
        <f t="array" aca="1" ref="C4790" ca="1">MAX(0,ROUND(Inputs!$B$10*Inputs!$B$11+NORMSINV(B4790)*SQRT(Inputs!$B$10*Inputs!$B$11),0))</f>
        <v>518</v>
      </c>
      <c r="D4790" s="52">
        <f ca="1">C4790*Inputs!$B$12</f>
        <v>62160000</v>
      </c>
    </row>
    <row r="4791" spans="1:4" ht="13.5" customHeight="1" x14ac:dyDescent="0.3">
      <c r="A4791" s="46">
        <v>4787</v>
      </c>
      <c r="B4791" s="47">
        <f t="shared" ca="1" si="74"/>
        <v>0.73588498140723158</v>
      </c>
      <c r="C4791" s="48">
        <f t="array" aca="1" ref="C4791" ca="1">MAX(0,ROUND(Inputs!$B$10*Inputs!$B$11+NORMSINV(B4791)*SQRT(Inputs!$B$10*Inputs!$B$11),0))</f>
        <v>514</v>
      </c>
      <c r="D4791" s="49">
        <f ca="1">C4791*Inputs!$B$12</f>
        <v>61680000</v>
      </c>
    </row>
    <row r="4792" spans="1:4" ht="13.5" customHeight="1" x14ac:dyDescent="0.3">
      <c r="A4792" s="50">
        <v>4788</v>
      </c>
      <c r="B4792" s="51">
        <f t="shared" ca="1" si="74"/>
        <v>0.11847500864636817</v>
      </c>
      <c r="C4792" s="48">
        <f t="array" aca="1" ref="C4792" ca="1">MAX(0,ROUND(Inputs!$B$10*Inputs!$B$11+NORMSINV(B4792)*SQRT(Inputs!$B$10*Inputs!$B$11),0))</f>
        <v>474</v>
      </c>
      <c r="D4792" s="52">
        <f ca="1">C4792*Inputs!$B$12</f>
        <v>56880000</v>
      </c>
    </row>
    <row r="4793" spans="1:4" ht="13.5" customHeight="1" x14ac:dyDescent="0.3">
      <c r="A4793" s="46">
        <v>4789</v>
      </c>
      <c r="B4793" s="47">
        <f t="shared" ca="1" si="74"/>
        <v>0.87788692432468374</v>
      </c>
      <c r="C4793" s="48">
        <f t="array" aca="1" ref="C4793" ca="1">MAX(0,ROUND(Inputs!$B$10*Inputs!$B$11+NORMSINV(B4793)*SQRT(Inputs!$B$10*Inputs!$B$11),0))</f>
        <v>526</v>
      </c>
      <c r="D4793" s="49">
        <f ca="1">C4793*Inputs!$B$12</f>
        <v>63120000</v>
      </c>
    </row>
    <row r="4794" spans="1:4" ht="13.5" customHeight="1" x14ac:dyDescent="0.3">
      <c r="A4794" s="50">
        <v>4790</v>
      </c>
      <c r="B4794" s="51">
        <f t="shared" ca="1" si="74"/>
        <v>0.86736049028279083</v>
      </c>
      <c r="C4794" s="48">
        <f t="array" aca="1" ref="C4794" ca="1">MAX(0,ROUND(Inputs!$B$10*Inputs!$B$11+NORMSINV(B4794)*SQRT(Inputs!$B$10*Inputs!$B$11),0))</f>
        <v>525</v>
      </c>
      <c r="D4794" s="52">
        <f ca="1">C4794*Inputs!$B$12</f>
        <v>63000000</v>
      </c>
    </row>
    <row r="4795" spans="1:4" ht="13.5" customHeight="1" x14ac:dyDescent="0.3">
      <c r="A4795" s="46">
        <v>4791</v>
      </c>
      <c r="B4795" s="47">
        <f t="shared" ca="1" si="74"/>
        <v>0.84857400074918465</v>
      </c>
      <c r="C4795" s="48">
        <f t="array" aca="1" ref="C4795" ca="1">MAX(0,ROUND(Inputs!$B$10*Inputs!$B$11+NORMSINV(B4795)*SQRT(Inputs!$B$10*Inputs!$B$11),0))</f>
        <v>523</v>
      </c>
      <c r="D4795" s="49">
        <f ca="1">C4795*Inputs!$B$12</f>
        <v>62760000</v>
      </c>
    </row>
    <row r="4796" spans="1:4" ht="13.5" customHeight="1" x14ac:dyDescent="0.3">
      <c r="A4796" s="50">
        <v>4792</v>
      </c>
      <c r="B4796" s="51">
        <f t="shared" ca="1" si="74"/>
        <v>0.80241351804703631</v>
      </c>
      <c r="C4796" s="48">
        <f t="array" aca="1" ref="C4796" ca="1">MAX(0,ROUND(Inputs!$B$10*Inputs!$B$11+NORMSINV(B4796)*SQRT(Inputs!$B$10*Inputs!$B$11),0))</f>
        <v>519</v>
      </c>
      <c r="D4796" s="52">
        <f ca="1">C4796*Inputs!$B$12</f>
        <v>62280000</v>
      </c>
    </row>
    <row r="4797" spans="1:4" ht="13.5" customHeight="1" x14ac:dyDescent="0.3">
      <c r="A4797" s="46">
        <v>4793</v>
      </c>
      <c r="B4797" s="47">
        <f t="shared" ca="1" si="74"/>
        <v>4.8338363532970274E-2</v>
      </c>
      <c r="C4797" s="48">
        <f t="array" aca="1" ref="C4797" ca="1">MAX(0,ROUND(Inputs!$B$10*Inputs!$B$11+NORMSINV(B4797)*SQRT(Inputs!$B$10*Inputs!$B$11),0))</f>
        <v>463</v>
      </c>
      <c r="D4797" s="49">
        <f ca="1">C4797*Inputs!$B$12</f>
        <v>55560000</v>
      </c>
    </row>
    <row r="4798" spans="1:4" ht="13.5" customHeight="1" x14ac:dyDescent="0.3">
      <c r="A4798" s="50">
        <v>4794</v>
      </c>
      <c r="B4798" s="51">
        <f t="shared" ca="1" si="74"/>
        <v>0.7052614289887289</v>
      </c>
      <c r="C4798" s="48">
        <f t="array" aca="1" ref="C4798" ca="1">MAX(0,ROUND(Inputs!$B$10*Inputs!$B$11+NORMSINV(B4798)*SQRT(Inputs!$B$10*Inputs!$B$11),0))</f>
        <v>512</v>
      </c>
      <c r="D4798" s="52">
        <f ca="1">C4798*Inputs!$B$12</f>
        <v>61440000</v>
      </c>
    </row>
    <row r="4799" spans="1:4" ht="13.5" customHeight="1" x14ac:dyDescent="0.3">
      <c r="A4799" s="46">
        <v>4795</v>
      </c>
      <c r="B4799" s="47">
        <f t="shared" ca="1" si="74"/>
        <v>0.7733962613652311</v>
      </c>
      <c r="C4799" s="48">
        <f t="array" aca="1" ref="C4799" ca="1">MAX(0,ROUND(Inputs!$B$10*Inputs!$B$11+NORMSINV(B4799)*SQRT(Inputs!$B$10*Inputs!$B$11),0))</f>
        <v>517</v>
      </c>
      <c r="D4799" s="49">
        <f ca="1">C4799*Inputs!$B$12</f>
        <v>62040000</v>
      </c>
    </row>
    <row r="4800" spans="1:4" ht="13.5" customHeight="1" x14ac:dyDescent="0.3">
      <c r="A4800" s="50">
        <v>4796</v>
      </c>
      <c r="B4800" s="51">
        <f t="shared" ca="1" si="74"/>
        <v>2.3208284571694104E-3</v>
      </c>
      <c r="C4800" s="48">
        <f t="array" aca="1" ref="C4800" ca="1">MAX(0,ROUND(Inputs!$B$10*Inputs!$B$11+NORMSINV(B4800)*SQRT(Inputs!$B$10*Inputs!$B$11),0))</f>
        <v>437</v>
      </c>
      <c r="D4800" s="52">
        <f ca="1">C4800*Inputs!$B$12</f>
        <v>52440000</v>
      </c>
    </row>
    <row r="4801" spans="1:4" ht="13.5" customHeight="1" x14ac:dyDescent="0.3">
      <c r="A4801" s="46">
        <v>4797</v>
      </c>
      <c r="B4801" s="47">
        <f t="shared" ca="1" si="74"/>
        <v>0.57200593620776008</v>
      </c>
      <c r="C4801" s="48">
        <f t="array" aca="1" ref="C4801" ca="1">MAX(0,ROUND(Inputs!$B$10*Inputs!$B$11+NORMSINV(B4801)*SQRT(Inputs!$B$10*Inputs!$B$11),0))</f>
        <v>504</v>
      </c>
      <c r="D4801" s="49">
        <f ca="1">C4801*Inputs!$B$12</f>
        <v>60480000</v>
      </c>
    </row>
    <row r="4802" spans="1:4" ht="13.5" customHeight="1" x14ac:dyDescent="0.3">
      <c r="A4802" s="50">
        <v>4798</v>
      </c>
      <c r="B4802" s="51">
        <f t="shared" ca="1" si="74"/>
        <v>0.76332452260535599</v>
      </c>
      <c r="C4802" s="48">
        <f t="array" aca="1" ref="C4802" ca="1">MAX(0,ROUND(Inputs!$B$10*Inputs!$B$11+NORMSINV(B4802)*SQRT(Inputs!$B$10*Inputs!$B$11),0))</f>
        <v>516</v>
      </c>
      <c r="D4802" s="52">
        <f ca="1">C4802*Inputs!$B$12</f>
        <v>61920000</v>
      </c>
    </row>
    <row r="4803" spans="1:4" ht="13.5" customHeight="1" x14ac:dyDescent="0.3">
      <c r="A4803" s="46">
        <v>4799</v>
      </c>
      <c r="B4803" s="47">
        <f t="shared" ca="1" si="74"/>
        <v>0.30709372752175623</v>
      </c>
      <c r="C4803" s="48">
        <f t="array" aca="1" ref="C4803" ca="1">MAX(0,ROUND(Inputs!$B$10*Inputs!$B$11+NORMSINV(B4803)*SQRT(Inputs!$B$10*Inputs!$B$11),0))</f>
        <v>489</v>
      </c>
      <c r="D4803" s="49">
        <f ca="1">C4803*Inputs!$B$12</f>
        <v>58680000</v>
      </c>
    </row>
    <row r="4804" spans="1:4" ht="13.5" customHeight="1" x14ac:dyDescent="0.3">
      <c r="A4804" s="50">
        <v>4800</v>
      </c>
      <c r="B4804" s="51">
        <f t="shared" ca="1" si="74"/>
        <v>0.22291558878195383</v>
      </c>
      <c r="C4804" s="48">
        <f t="array" aca="1" ref="C4804" ca="1">MAX(0,ROUND(Inputs!$B$10*Inputs!$B$11+NORMSINV(B4804)*SQRT(Inputs!$B$10*Inputs!$B$11),0))</f>
        <v>483</v>
      </c>
      <c r="D4804" s="52">
        <f ca="1">C4804*Inputs!$B$12</f>
        <v>57960000</v>
      </c>
    </row>
    <row r="4805" spans="1:4" ht="13.5" customHeight="1" x14ac:dyDescent="0.3">
      <c r="A4805" s="46">
        <v>4801</v>
      </c>
      <c r="B4805" s="47">
        <f t="shared" ref="B4805:B4868" ca="1" si="75">RAND()</f>
        <v>0.65682917179373213</v>
      </c>
      <c r="C4805" s="48">
        <f t="array" aca="1" ref="C4805" ca="1">MAX(0,ROUND(Inputs!$B$10*Inputs!$B$11+NORMSINV(B4805)*SQRT(Inputs!$B$10*Inputs!$B$11),0))</f>
        <v>509</v>
      </c>
      <c r="D4805" s="49">
        <f ca="1">C4805*Inputs!$B$12</f>
        <v>61080000</v>
      </c>
    </row>
    <row r="4806" spans="1:4" ht="13.5" customHeight="1" x14ac:dyDescent="0.3">
      <c r="A4806" s="50">
        <v>4802</v>
      </c>
      <c r="B4806" s="51">
        <f t="shared" ca="1" si="75"/>
        <v>0.90703137863193706</v>
      </c>
      <c r="C4806" s="48">
        <f t="array" aca="1" ref="C4806" ca="1">MAX(0,ROUND(Inputs!$B$10*Inputs!$B$11+NORMSINV(B4806)*SQRT(Inputs!$B$10*Inputs!$B$11),0))</f>
        <v>530</v>
      </c>
      <c r="D4806" s="52">
        <f ca="1">C4806*Inputs!$B$12</f>
        <v>63600000</v>
      </c>
    </row>
    <row r="4807" spans="1:4" ht="13.5" customHeight="1" x14ac:dyDescent="0.3">
      <c r="A4807" s="46">
        <v>4803</v>
      </c>
      <c r="B4807" s="47">
        <f t="shared" ca="1" si="75"/>
        <v>0.9516510872473517</v>
      </c>
      <c r="C4807" s="48">
        <f t="array" aca="1" ref="C4807" ca="1">MAX(0,ROUND(Inputs!$B$10*Inputs!$B$11+NORMSINV(B4807)*SQRT(Inputs!$B$10*Inputs!$B$11),0))</f>
        <v>537</v>
      </c>
      <c r="D4807" s="49">
        <f ca="1">C4807*Inputs!$B$12</f>
        <v>64440000</v>
      </c>
    </row>
    <row r="4808" spans="1:4" ht="13.5" customHeight="1" x14ac:dyDescent="0.3">
      <c r="A4808" s="50">
        <v>4804</v>
      </c>
      <c r="B4808" s="51">
        <f t="shared" ca="1" si="75"/>
        <v>0.36740226172106205</v>
      </c>
      <c r="C4808" s="48">
        <f t="array" aca="1" ref="C4808" ca="1">MAX(0,ROUND(Inputs!$B$10*Inputs!$B$11+NORMSINV(B4808)*SQRT(Inputs!$B$10*Inputs!$B$11),0))</f>
        <v>492</v>
      </c>
      <c r="D4808" s="52">
        <f ca="1">C4808*Inputs!$B$12</f>
        <v>59040000</v>
      </c>
    </row>
    <row r="4809" spans="1:4" ht="13.5" customHeight="1" x14ac:dyDescent="0.3">
      <c r="A4809" s="46">
        <v>4805</v>
      </c>
      <c r="B4809" s="47">
        <f t="shared" ca="1" si="75"/>
        <v>0.2634753952832839</v>
      </c>
      <c r="C4809" s="48">
        <f t="array" aca="1" ref="C4809" ca="1">MAX(0,ROUND(Inputs!$B$10*Inputs!$B$11+NORMSINV(B4809)*SQRT(Inputs!$B$10*Inputs!$B$11),0))</f>
        <v>486</v>
      </c>
      <c r="D4809" s="49">
        <f ca="1">C4809*Inputs!$B$12</f>
        <v>58320000</v>
      </c>
    </row>
    <row r="4810" spans="1:4" ht="13.5" customHeight="1" x14ac:dyDescent="0.3">
      <c r="A4810" s="50">
        <v>4806</v>
      </c>
      <c r="B4810" s="51">
        <f t="shared" ca="1" si="75"/>
        <v>1.9539635252047494E-2</v>
      </c>
      <c r="C4810" s="48">
        <f t="array" aca="1" ref="C4810" ca="1">MAX(0,ROUND(Inputs!$B$10*Inputs!$B$11+NORMSINV(B4810)*SQRT(Inputs!$B$10*Inputs!$B$11),0))</f>
        <v>454</v>
      </c>
      <c r="D4810" s="52">
        <f ca="1">C4810*Inputs!$B$12</f>
        <v>54480000</v>
      </c>
    </row>
    <row r="4811" spans="1:4" ht="13.5" customHeight="1" x14ac:dyDescent="0.3">
      <c r="A4811" s="46">
        <v>4807</v>
      </c>
      <c r="B4811" s="47">
        <f t="shared" ca="1" si="75"/>
        <v>0.28004267357474188</v>
      </c>
      <c r="C4811" s="48">
        <f t="array" aca="1" ref="C4811" ca="1">MAX(0,ROUND(Inputs!$B$10*Inputs!$B$11+NORMSINV(B4811)*SQRT(Inputs!$B$10*Inputs!$B$11),0))</f>
        <v>487</v>
      </c>
      <c r="D4811" s="49">
        <f ca="1">C4811*Inputs!$B$12</f>
        <v>58440000</v>
      </c>
    </row>
    <row r="4812" spans="1:4" ht="13.5" customHeight="1" x14ac:dyDescent="0.3">
      <c r="A4812" s="50">
        <v>4808</v>
      </c>
      <c r="B4812" s="51">
        <f t="shared" ca="1" si="75"/>
        <v>0.36312371611402983</v>
      </c>
      <c r="C4812" s="48">
        <f t="array" aca="1" ref="C4812" ca="1">MAX(0,ROUND(Inputs!$B$10*Inputs!$B$11+NORMSINV(B4812)*SQRT(Inputs!$B$10*Inputs!$B$11),0))</f>
        <v>492</v>
      </c>
      <c r="D4812" s="52">
        <f ca="1">C4812*Inputs!$B$12</f>
        <v>59040000</v>
      </c>
    </row>
    <row r="4813" spans="1:4" ht="13.5" customHeight="1" x14ac:dyDescent="0.3">
      <c r="A4813" s="46">
        <v>4809</v>
      </c>
      <c r="B4813" s="47">
        <f t="shared" ca="1" si="75"/>
        <v>0.98505176748137613</v>
      </c>
      <c r="C4813" s="48">
        <f t="array" aca="1" ref="C4813" ca="1">MAX(0,ROUND(Inputs!$B$10*Inputs!$B$11+NORMSINV(B4813)*SQRT(Inputs!$B$10*Inputs!$B$11),0))</f>
        <v>549</v>
      </c>
      <c r="D4813" s="49">
        <f ca="1">C4813*Inputs!$B$12</f>
        <v>65880000</v>
      </c>
    </row>
    <row r="4814" spans="1:4" ht="13.5" customHeight="1" x14ac:dyDescent="0.3">
      <c r="A4814" s="50">
        <v>4810</v>
      </c>
      <c r="B4814" s="51">
        <f t="shared" ca="1" si="75"/>
        <v>0.3645866207326961</v>
      </c>
      <c r="C4814" s="48">
        <f t="array" aca="1" ref="C4814" ca="1">MAX(0,ROUND(Inputs!$B$10*Inputs!$B$11+NORMSINV(B4814)*SQRT(Inputs!$B$10*Inputs!$B$11),0))</f>
        <v>492</v>
      </c>
      <c r="D4814" s="52">
        <f ca="1">C4814*Inputs!$B$12</f>
        <v>59040000</v>
      </c>
    </row>
    <row r="4815" spans="1:4" ht="13.5" customHeight="1" x14ac:dyDescent="0.3">
      <c r="A4815" s="46">
        <v>4811</v>
      </c>
      <c r="B4815" s="47">
        <f t="shared" ca="1" si="75"/>
        <v>0.19841560312547346</v>
      </c>
      <c r="C4815" s="48">
        <f t="array" aca="1" ref="C4815" ca="1">MAX(0,ROUND(Inputs!$B$10*Inputs!$B$11+NORMSINV(B4815)*SQRT(Inputs!$B$10*Inputs!$B$11),0))</f>
        <v>481</v>
      </c>
      <c r="D4815" s="49">
        <f ca="1">C4815*Inputs!$B$12</f>
        <v>57720000</v>
      </c>
    </row>
    <row r="4816" spans="1:4" ht="13.5" customHeight="1" x14ac:dyDescent="0.3">
      <c r="A4816" s="50">
        <v>4812</v>
      </c>
      <c r="B4816" s="51">
        <f t="shared" ca="1" si="75"/>
        <v>0.88496729519387141</v>
      </c>
      <c r="C4816" s="48">
        <f t="array" aca="1" ref="C4816" ca="1">MAX(0,ROUND(Inputs!$B$10*Inputs!$B$11+NORMSINV(B4816)*SQRT(Inputs!$B$10*Inputs!$B$11),0))</f>
        <v>527</v>
      </c>
      <c r="D4816" s="52">
        <f ca="1">C4816*Inputs!$B$12</f>
        <v>63240000</v>
      </c>
    </row>
    <row r="4817" spans="1:4" ht="13.5" customHeight="1" x14ac:dyDescent="0.3">
      <c r="A4817" s="46">
        <v>4813</v>
      </c>
      <c r="B4817" s="47">
        <f t="shared" ca="1" si="75"/>
        <v>0.74851320243921615</v>
      </c>
      <c r="C4817" s="48">
        <f t="array" aca="1" ref="C4817" ca="1">MAX(0,ROUND(Inputs!$B$10*Inputs!$B$11+NORMSINV(B4817)*SQRT(Inputs!$B$10*Inputs!$B$11),0))</f>
        <v>515</v>
      </c>
      <c r="D4817" s="49">
        <f ca="1">C4817*Inputs!$B$12</f>
        <v>61800000</v>
      </c>
    </row>
    <row r="4818" spans="1:4" ht="13.5" customHeight="1" x14ac:dyDescent="0.3">
      <c r="A4818" s="50">
        <v>4814</v>
      </c>
      <c r="B4818" s="51">
        <f t="shared" ca="1" si="75"/>
        <v>3.175034272172883E-2</v>
      </c>
      <c r="C4818" s="48">
        <f t="array" aca="1" ref="C4818" ca="1">MAX(0,ROUND(Inputs!$B$10*Inputs!$B$11+NORMSINV(B4818)*SQRT(Inputs!$B$10*Inputs!$B$11),0))</f>
        <v>459</v>
      </c>
      <c r="D4818" s="52">
        <f ca="1">C4818*Inputs!$B$12</f>
        <v>55080000</v>
      </c>
    </row>
    <row r="4819" spans="1:4" ht="13.5" customHeight="1" x14ac:dyDescent="0.3">
      <c r="A4819" s="46">
        <v>4815</v>
      </c>
      <c r="B4819" s="47">
        <f t="shared" ca="1" si="75"/>
        <v>8.0525698158365855E-2</v>
      </c>
      <c r="C4819" s="48">
        <f t="array" aca="1" ref="C4819" ca="1">MAX(0,ROUND(Inputs!$B$10*Inputs!$B$11+NORMSINV(B4819)*SQRT(Inputs!$B$10*Inputs!$B$11),0))</f>
        <v>469</v>
      </c>
      <c r="D4819" s="49">
        <f ca="1">C4819*Inputs!$B$12</f>
        <v>56280000</v>
      </c>
    </row>
    <row r="4820" spans="1:4" ht="13.5" customHeight="1" x14ac:dyDescent="0.3">
      <c r="A4820" s="50">
        <v>4816</v>
      </c>
      <c r="B4820" s="51">
        <f t="shared" ca="1" si="75"/>
        <v>0.77292551229803663</v>
      </c>
      <c r="C4820" s="48">
        <f t="array" aca="1" ref="C4820" ca="1">MAX(0,ROUND(Inputs!$B$10*Inputs!$B$11+NORMSINV(B4820)*SQRT(Inputs!$B$10*Inputs!$B$11),0))</f>
        <v>517</v>
      </c>
      <c r="D4820" s="52">
        <f ca="1">C4820*Inputs!$B$12</f>
        <v>62040000</v>
      </c>
    </row>
    <row r="4821" spans="1:4" ht="13.5" customHeight="1" x14ac:dyDescent="0.3">
      <c r="A4821" s="46">
        <v>4817</v>
      </c>
      <c r="B4821" s="47">
        <f t="shared" ca="1" si="75"/>
        <v>0.75021835346744359</v>
      </c>
      <c r="C4821" s="48">
        <f t="array" aca="1" ref="C4821" ca="1">MAX(0,ROUND(Inputs!$B$10*Inputs!$B$11+NORMSINV(B4821)*SQRT(Inputs!$B$10*Inputs!$B$11),0))</f>
        <v>515</v>
      </c>
      <c r="D4821" s="49">
        <f ca="1">C4821*Inputs!$B$12</f>
        <v>61800000</v>
      </c>
    </row>
    <row r="4822" spans="1:4" ht="13.5" customHeight="1" x14ac:dyDescent="0.3">
      <c r="A4822" s="50">
        <v>4818</v>
      </c>
      <c r="B4822" s="51">
        <f t="shared" ca="1" si="75"/>
        <v>5.266018683241469E-2</v>
      </c>
      <c r="C4822" s="48">
        <f t="array" aca="1" ref="C4822" ca="1">MAX(0,ROUND(Inputs!$B$10*Inputs!$B$11+NORMSINV(B4822)*SQRT(Inputs!$B$10*Inputs!$B$11),0))</f>
        <v>464</v>
      </c>
      <c r="D4822" s="52">
        <f ca="1">C4822*Inputs!$B$12</f>
        <v>55680000</v>
      </c>
    </row>
    <row r="4823" spans="1:4" ht="13.5" customHeight="1" x14ac:dyDescent="0.3">
      <c r="A4823" s="46">
        <v>4819</v>
      </c>
      <c r="B4823" s="47">
        <f t="shared" ca="1" si="75"/>
        <v>0.47633772970225519</v>
      </c>
      <c r="C4823" s="48">
        <f t="array" aca="1" ref="C4823" ca="1">MAX(0,ROUND(Inputs!$B$10*Inputs!$B$11+NORMSINV(B4823)*SQRT(Inputs!$B$10*Inputs!$B$11),0))</f>
        <v>499</v>
      </c>
      <c r="D4823" s="49">
        <f ca="1">C4823*Inputs!$B$12</f>
        <v>59880000</v>
      </c>
    </row>
    <row r="4824" spans="1:4" ht="13.5" customHeight="1" x14ac:dyDescent="0.3">
      <c r="A4824" s="50">
        <v>4820</v>
      </c>
      <c r="B4824" s="51">
        <f t="shared" ca="1" si="75"/>
        <v>0.72667318178984319</v>
      </c>
      <c r="C4824" s="48">
        <f t="array" aca="1" ref="C4824" ca="1">MAX(0,ROUND(Inputs!$B$10*Inputs!$B$11+NORMSINV(B4824)*SQRT(Inputs!$B$10*Inputs!$B$11),0))</f>
        <v>513</v>
      </c>
      <c r="D4824" s="52">
        <f ca="1">C4824*Inputs!$B$12</f>
        <v>61560000</v>
      </c>
    </row>
    <row r="4825" spans="1:4" ht="13.5" customHeight="1" x14ac:dyDescent="0.3">
      <c r="A4825" s="46">
        <v>4821</v>
      </c>
      <c r="B4825" s="47">
        <f t="shared" ca="1" si="75"/>
        <v>0.89585426059468409</v>
      </c>
      <c r="C4825" s="48">
        <f t="array" aca="1" ref="C4825" ca="1">MAX(0,ROUND(Inputs!$B$10*Inputs!$B$11+NORMSINV(B4825)*SQRT(Inputs!$B$10*Inputs!$B$11),0))</f>
        <v>528</v>
      </c>
      <c r="D4825" s="49">
        <f ca="1">C4825*Inputs!$B$12</f>
        <v>63360000</v>
      </c>
    </row>
    <row r="4826" spans="1:4" ht="13.5" customHeight="1" x14ac:dyDescent="0.3">
      <c r="A4826" s="50">
        <v>4822</v>
      </c>
      <c r="B4826" s="51">
        <f t="shared" ca="1" si="75"/>
        <v>0.92676309260637291</v>
      </c>
      <c r="C4826" s="48">
        <f t="array" aca="1" ref="C4826" ca="1">MAX(0,ROUND(Inputs!$B$10*Inputs!$B$11+NORMSINV(B4826)*SQRT(Inputs!$B$10*Inputs!$B$11),0))</f>
        <v>532</v>
      </c>
      <c r="D4826" s="52">
        <f ca="1">C4826*Inputs!$B$12</f>
        <v>63840000</v>
      </c>
    </row>
    <row r="4827" spans="1:4" ht="13.5" customHeight="1" x14ac:dyDescent="0.3">
      <c r="A4827" s="46">
        <v>4823</v>
      </c>
      <c r="B4827" s="47">
        <f t="shared" ca="1" si="75"/>
        <v>0.44212556965447203</v>
      </c>
      <c r="C4827" s="48">
        <f t="array" aca="1" ref="C4827" ca="1">MAX(0,ROUND(Inputs!$B$10*Inputs!$B$11+NORMSINV(B4827)*SQRT(Inputs!$B$10*Inputs!$B$11),0))</f>
        <v>497</v>
      </c>
      <c r="D4827" s="49">
        <f ca="1">C4827*Inputs!$B$12</f>
        <v>59640000</v>
      </c>
    </row>
    <row r="4828" spans="1:4" ht="13.5" customHeight="1" x14ac:dyDescent="0.3">
      <c r="A4828" s="50">
        <v>4824</v>
      </c>
      <c r="B4828" s="51">
        <f t="shared" ca="1" si="75"/>
        <v>0.40650071864956194</v>
      </c>
      <c r="C4828" s="48">
        <f t="array" aca="1" ref="C4828" ca="1">MAX(0,ROUND(Inputs!$B$10*Inputs!$B$11+NORMSINV(B4828)*SQRT(Inputs!$B$10*Inputs!$B$11),0))</f>
        <v>495</v>
      </c>
      <c r="D4828" s="52">
        <f ca="1">C4828*Inputs!$B$12</f>
        <v>59400000</v>
      </c>
    </row>
    <row r="4829" spans="1:4" ht="13.5" customHeight="1" x14ac:dyDescent="0.3">
      <c r="A4829" s="46">
        <v>4825</v>
      </c>
      <c r="B4829" s="47">
        <f t="shared" ca="1" si="75"/>
        <v>0.40930345416967928</v>
      </c>
      <c r="C4829" s="48">
        <f t="array" aca="1" ref="C4829" ca="1">MAX(0,ROUND(Inputs!$B$10*Inputs!$B$11+NORMSINV(B4829)*SQRT(Inputs!$B$10*Inputs!$B$11),0))</f>
        <v>495</v>
      </c>
      <c r="D4829" s="49">
        <f ca="1">C4829*Inputs!$B$12</f>
        <v>59400000</v>
      </c>
    </row>
    <row r="4830" spans="1:4" ht="13.5" customHeight="1" x14ac:dyDescent="0.3">
      <c r="A4830" s="50">
        <v>4826</v>
      </c>
      <c r="B4830" s="51">
        <f t="shared" ca="1" si="75"/>
        <v>0.8706245803091488</v>
      </c>
      <c r="C4830" s="48">
        <f t="array" aca="1" ref="C4830" ca="1">MAX(0,ROUND(Inputs!$B$10*Inputs!$B$11+NORMSINV(B4830)*SQRT(Inputs!$B$10*Inputs!$B$11),0))</f>
        <v>525</v>
      </c>
      <c r="D4830" s="52">
        <f ca="1">C4830*Inputs!$B$12</f>
        <v>63000000</v>
      </c>
    </row>
    <row r="4831" spans="1:4" ht="13.5" customHeight="1" x14ac:dyDescent="0.3">
      <c r="A4831" s="46">
        <v>4827</v>
      </c>
      <c r="B4831" s="47">
        <f t="shared" ca="1" si="75"/>
        <v>0.10683959923667263</v>
      </c>
      <c r="C4831" s="48">
        <f t="array" aca="1" ref="C4831" ca="1">MAX(0,ROUND(Inputs!$B$10*Inputs!$B$11+NORMSINV(B4831)*SQRT(Inputs!$B$10*Inputs!$B$11),0))</f>
        <v>472</v>
      </c>
      <c r="D4831" s="49">
        <f ca="1">C4831*Inputs!$B$12</f>
        <v>56640000</v>
      </c>
    </row>
    <row r="4832" spans="1:4" ht="13.5" customHeight="1" x14ac:dyDescent="0.3">
      <c r="A4832" s="50">
        <v>4828</v>
      </c>
      <c r="B4832" s="51">
        <f t="shared" ca="1" si="75"/>
        <v>0.785498078543305</v>
      </c>
      <c r="C4832" s="48">
        <f t="array" aca="1" ref="C4832" ca="1">MAX(0,ROUND(Inputs!$B$10*Inputs!$B$11+NORMSINV(B4832)*SQRT(Inputs!$B$10*Inputs!$B$11),0))</f>
        <v>518</v>
      </c>
      <c r="D4832" s="52">
        <f ca="1">C4832*Inputs!$B$12</f>
        <v>62160000</v>
      </c>
    </row>
    <row r="4833" spans="1:4" ht="13.5" customHeight="1" x14ac:dyDescent="0.3">
      <c r="A4833" s="46">
        <v>4829</v>
      </c>
      <c r="B4833" s="47">
        <f t="shared" ca="1" si="75"/>
        <v>0.42039417272410007</v>
      </c>
      <c r="C4833" s="48">
        <f t="array" aca="1" ref="C4833" ca="1">MAX(0,ROUND(Inputs!$B$10*Inputs!$B$11+NORMSINV(B4833)*SQRT(Inputs!$B$10*Inputs!$B$11),0))</f>
        <v>496</v>
      </c>
      <c r="D4833" s="49">
        <f ca="1">C4833*Inputs!$B$12</f>
        <v>59520000</v>
      </c>
    </row>
    <row r="4834" spans="1:4" ht="13.5" customHeight="1" x14ac:dyDescent="0.3">
      <c r="A4834" s="50">
        <v>4830</v>
      </c>
      <c r="B4834" s="51">
        <f t="shared" ca="1" si="75"/>
        <v>0.7357221555338187</v>
      </c>
      <c r="C4834" s="48">
        <f t="array" aca="1" ref="C4834" ca="1">MAX(0,ROUND(Inputs!$B$10*Inputs!$B$11+NORMSINV(B4834)*SQRT(Inputs!$B$10*Inputs!$B$11),0))</f>
        <v>514</v>
      </c>
      <c r="D4834" s="52">
        <f ca="1">C4834*Inputs!$B$12</f>
        <v>61680000</v>
      </c>
    </row>
    <row r="4835" spans="1:4" ht="13.5" customHeight="1" x14ac:dyDescent="0.3">
      <c r="A4835" s="46">
        <v>4831</v>
      </c>
      <c r="B4835" s="47">
        <f t="shared" ca="1" si="75"/>
        <v>0.39316770696395298</v>
      </c>
      <c r="C4835" s="48">
        <f t="array" aca="1" ref="C4835" ca="1">MAX(0,ROUND(Inputs!$B$10*Inputs!$B$11+NORMSINV(B4835)*SQRT(Inputs!$B$10*Inputs!$B$11),0))</f>
        <v>494</v>
      </c>
      <c r="D4835" s="49">
        <f ca="1">C4835*Inputs!$B$12</f>
        <v>59280000</v>
      </c>
    </row>
    <row r="4836" spans="1:4" ht="13.5" customHeight="1" x14ac:dyDescent="0.3">
      <c r="A4836" s="50">
        <v>4832</v>
      </c>
      <c r="B4836" s="51">
        <f t="shared" ca="1" si="75"/>
        <v>9.6374592867323194E-3</v>
      </c>
      <c r="C4836" s="48">
        <f t="array" aca="1" ref="C4836" ca="1">MAX(0,ROUND(Inputs!$B$10*Inputs!$B$11+NORMSINV(B4836)*SQRT(Inputs!$B$10*Inputs!$B$11),0))</f>
        <v>448</v>
      </c>
      <c r="D4836" s="52">
        <f ca="1">C4836*Inputs!$B$12</f>
        <v>53760000</v>
      </c>
    </row>
    <row r="4837" spans="1:4" ht="13.5" customHeight="1" x14ac:dyDescent="0.3">
      <c r="A4837" s="46">
        <v>4833</v>
      </c>
      <c r="B4837" s="47">
        <f t="shared" ca="1" si="75"/>
        <v>0.28824487903119211</v>
      </c>
      <c r="C4837" s="48">
        <f t="array" aca="1" ref="C4837" ca="1">MAX(0,ROUND(Inputs!$B$10*Inputs!$B$11+NORMSINV(B4837)*SQRT(Inputs!$B$10*Inputs!$B$11),0))</f>
        <v>488</v>
      </c>
      <c r="D4837" s="49">
        <f ca="1">C4837*Inputs!$B$12</f>
        <v>58560000</v>
      </c>
    </row>
    <row r="4838" spans="1:4" ht="13.5" customHeight="1" x14ac:dyDescent="0.3">
      <c r="A4838" s="50">
        <v>4834</v>
      </c>
      <c r="B4838" s="51">
        <f t="shared" ca="1" si="75"/>
        <v>2.4037420770582907E-2</v>
      </c>
      <c r="C4838" s="48">
        <f t="array" aca="1" ref="C4838" ca="1">MAX(0,ROUND(Inputs!$B$10*Inputs!$B$11+NORMSINV(B4838)*SQRT(Inputs!$B$10*Inputs!$B$11),0))</f>
        <v>456</v>
      </c>
      <c r="D4838" s="52">
        <f ca="1">C4838*Inputs!$B$12</f>
        <v>54720000</v>
      </c>
    </row>
    <row r="4839" spans="1:4" ht="13.5" customHeight="1" x14ac:dyDescent="0.3">
      <c r="A4839" s="46">
        <v>4835</v>
      </c>
      <c r="B4839" s="47">
        <f t="shared" ca="1" si="75"/>
        <v>0.59085438477919061</v>
      </c>
      <c r="C4839" s="48">
        <f t="array" aca="1" ref="C4839" ca="1">MAX(0,ROUND(Inputs!$B$10*Inputs!$B$11+NORMSINV(B4839)*SQRT(Inputs!$B$10*Inputs!$B$11),0))</f>
        <v>505</v>
      </c>
      <c r="D4839" s="49">
        <f ca="1">C4839*Inputs!$B$12</f>
        <v>60600000</v>
      </c>
    </row>
    <row r="4840" spans="1:4" ht="13.5" customHeight="1" x14ac:dyDescent="0.3">
      <c r="A4840" s="50">
        <v>4836</v>
      </c>
      <c r="B4840" s="51">
        <f t="shared" ca="1" si="75"/>
        <v>0.18233488002154052</v>
      </c>
      <c r="C4840" s="48">
        <f t="array" aca="1" ref="C4840" ca="1">MAX(0,ROUND(Inputs!$B$10*Inputs!$B$11+NORMSINV(B4840)*SQRT(Inputs!$B$10*Inputs!$B$11),0))</f>
        <v>480</v>
      </c>
      <c r="D4840" s="52">
        <f ca="1">C4840*Inputs!$B$12</f>
        <v>57600000</v>
      </c>
    </row>
    <row r="4841" spans="1:4" ht="13.5" customHeight="1" x14ac:dyDescent="0.3">
      <c r="A4841" s="46">
        <v>4837</v>
      </c>
      <c r="B4841" s="47">
        <f t="shared" ca="1" si="75"/>
        <v>0.29530350641861647</v>
      </c>
      <c r="C4841" s="48">
        <f t="array" aca="1" ref="C4841" ca="1">MAX(0,ROUND(Inputs!$B$10*Inputs!$B$11+NORMSINV(B4841)*SQRT(Inputs!$B$10*Inputs!$B$11),0))</f>
        <v>488</v>
      </c>
      <c r="D4841" s="49">
        <f ca="1">C4841*Inputs!$B$12</f>
        <v>58560000</v>
      </c>
    </row>
    <row r="4842" spans="1:4" ht="13.5" customHeight="1" x14ac:dyDescent="0.3">
      <c r="A4842" s="50">
        <v>4838</v>
      </c>
      <c r="B4842" s="51">
        <f t="shared" ca="1" si="75"/>
        <v>0.32684880331607846</v>
      </c>
      <c r="C4842" s="48">
        <f t="array" aca="1" ref="C4842" ca="1">MAX(0,ROUND(Inputs!$B$10*Inputs!$B$11+NORMSINV(B4842)*SQRT(Inputs!$B$10*Inputs!$B$11),0))</f>
        <v>490</v>
      </c>
      <c r="D4842" s="52">
        <f ca="1">C4842*Inputs!$B$12</f>
        <v>58800000</v>
      </c>
    </row>
    <row r="4843" spans="1:4" ht="13.5" customHeight="1" x14ac:dyDescent="0.3">
      <c r="A4843" s="46">
        <v>4839</v>
      </c>
      <c r="B4843" s="47">
        <f t="shared" ca="1" si="75"/>
        <v>0.39512878096648407</v>
      </c>
      <c r="C4843" s="48">
        <f t="array" aca="1" ref="C4843" ca="1">MAX(0,ROUND(Inputs!$B$10*Inputs!$B$11+NORMSINV(B4843)*SQRT(Inputs!$B$10*Inputs!$B$11),0))</f>
        <v>494</v>
      </c>
      <c r="D4843" s="49">
        <f ca="1">C4843*Inputs!$B$12</f>
        <v>59280000</v>
      </c>
    </row>
    <row r="4844" spans="1:4" ht="13.5" customHeight="1" x14ac:dyDescent="0.3">
      <c r="A4844" s="50">
        <v>4840</v>
      </c>
      <c r="B4844" s="51">
        <f t="shared" ca="1" si="75"/>
        <v>0.22612612121416231</v>
      </c>
      <c r="C4844" s="48">
        <f t="array" aca="1" ref="C4844" ca="1">MAX(0,ROUND(Inputs!$B$10*Inputs!$B$11+NORMSINV(B4844)*SQRT(Inputs!$B$10*Inputs!$B$11),0))</f>
        <v>483</v>
      </c>
      <c r="D4844" s="52">
        <f ca="1">C4844*Inputs!$B$12</f>
        <v>57960000</v>
      </c>
    </row>
    <row r="4845" spans="1:4" ht="13.5" customHeight="1" x14ac:dyDescent="0.3">
      <c r="A4845" s="46">
        <v>4841</v>
      </c>
      <c r="B4845" s="47">
        <f t="shared" ca="1" si="75"/>
        <v>0.81586582055881429</v>
      </c>
      <c r="C4845" s="48">
        <f t="array" aca="1" ref="C4845" ca="1">MAX(0,ROUND(Inputs!$B$10*Inputs!$B$11+NORMSINV(B4845)*SQRT(Inputs!$B$10*Inputs!$B$11),0))</f>
        <v>520</v>
      </c>
      <c r="D4845" s="49">
        <f ca="1">C4845*Inputs!$B$12</f>
        <v>62400000</v>
      </c>
    </row>
    <row r="4846" spans="1:4" ht="13.5" customHeight="1" x14ac:dyDescent="0.3">
      <c r="A4846" s="50">
        <v>4842</v>
      </c>
      <c r="B4846" s="51">
        <f t="shared" ca="1" si="75"/>
        <v>0.38995817673928168</v>
      </c>
      <c r="C4846" s="48">
        <f t="array" aca="1" ref="C4846" ca="1">MAX(0,ROUND(Inputs!$B$10*Inputs!$B$11+NORMSINV(B4846)*SQRT(Inputs!$B$10*Inputs!$B$11),0))</f>
        <v>494</v>
      </c>
      <c r="D4846" s="52">
        <f ca="1">C4846*Inputs!$B$12</f>
        <v>59280000</v>
      </c>
    </row>
    <row r="4847" spans="1:4" ht="13.5" customHeight="1" x14ac:dyDescent="0.3">
      <c r="A4847" s="46">
        <v>4843</v>
      </c>
      <c r="B4847" s="47">
        <f t="shared" ca="1" si="75"/>
        <v>0.32891493220698875</v>
      </c>
      <c r="C4847" s="48">
        <f t="array" aca="1" ref="C4847" ca="1">MAX(0,ROUND(Inputs!$B$10*Inputs!$B$11+NORMSINV(B4847)*SQRT(Inputs!$B$10*Inputs!$B$11),0))</f>
        <v>490</v>
      </c>
      <c r="D4847" s="49">
        <f ca="1">C4847*Inputs!$B$12</f>
        <v>58800000</v>
      </c>
    </row>
    <row r="4848" spans="1:4" ht="13.5" customHeight="1" x14ac:dyDescent="0.3">
      <c r="A4848" s="50">
        <v>4844</v>
      </c>
      <c r="B4848" s="51">
        <f t="shared" ca="1" si="75"/>
        <v>0.36457825104344121</v>
      </c>
      <c r="C4848" s="48">
        <f t="array" aca="1" ref="C4848" ca="1">MAX(0,ROUND(Inputs!$B$10*Inputs!$B$11+NORMSINV(B4848)*SQRT(Inputs!$B$10*Inputs!$B$11),0))</f>
        <v>492</v>
      </c>
      <c r="D4848" s="52">
        <f ca="1">C4848*Inputs!$B$12</f>
        <v>59040000</v>
      </c>
    </row>
    <row r="4849" spans="1:4" ht="13.5" customHeight="1" x14ac:dyDescent="0.3">
      <c r="A4849" s="46">
        <v>4845</v>
      </c>
      <c r="B4849" s="47">
        <f t="shared" ca="1" si="75"/>
        <v>0.63330995079464614</v>
      </c>
      <c r="C4849" s="48">
        <f t="array" aca="1" ref="C4849" ca="1">MAX(0,ROUND(Inputs!$B$10*Inputs!$B$11+NORMSINV(B4849)*SQRT(Inputs!$B$10*Inputs!$B$11),0))</f>
        <v>508</v>
      </c>
      <c r="D4849" s="49">
        <f ca="1">C4849*Inputs!$B$12</f>
        <v>60960000</v>
      </c>
    </row>
    <row r="4850" spans="1:4" ht="13.5" customHeight="1" x14ac:dyDescent="0.3">
      <c r="A4850" s="50">
        <v>4846</v>
      </c>
      <c r="B4850" s="51">
        <f t="shared" ca="1" si="75"/>
        <v>0.2617603301205319</v>
      </c>
      <c r="C4850" s="48">
        <f t="array" aca="1" ref="C4850" ca="1">MAX(0,ROUND(Inputs!$B$10*Inputs!$B$11+NORMSINV(B4850)*SQRT(Inputs!$B$10*Inputs!$B$11),0))</f>
        <v>486</v>
      </c>
      <c r="D4850" s="52">
        <f ca="1">C4850*Inputs!$B$12</f>
        <v>58320000</v>
      </c>
    </row>
    <row r="4851" spans="1:4" ht="13.5" customHeight="1" x14ac:dyDescent="0.3">
      <c r="A4851" s="46">
        <v>4847</v>
      </c>
      <c r="B4851" s="47">
        <f t="shared" ca="1" si="75"/>
        <v>0.31610948072947387</v>
      </c>
      <c r="C4851" s="48">
        <f t="array" aca="1" ref="C4851" ca="1">MAX(0,ROUND(Inputs!$B$10*Inputs!$B$11+NORMSINV(B4851)*SQRT(Inputs!$B$10*Inputs!$B$11),0))</f>
        <v>489</v>
      </c>
      <c r="D4851" s="49">
        <f ca="1">C4851*Inputs!$B$12</f>
        <v>58680000</v>
      </c>
    </row>
    <row r="4852" spans="1:4" ht="13.5" customHeight="1" x14ac:dyDescent="0.3">
      <c r="A4852" s="50">
        <v>4848</v>
      </c>
      <c r="B4852" s="51">
        <f t="shared" ca="1" si="75"/>
        <v>0.38767236530747495</v>
      </c>
      <c r="C4852" s="48">
        <f t="array" aca="1" ref="C4852" ca="1">MAX(0,ROUND(Inputs!$B$10*Inputs!$B$11+NORMSINV(B4852)*SQRT(Inputs!$B$10*Inputs!$B$11),0))</f>
        <v>494</v>
      </c>
      <c r="D4852" s="52">
        <f ca="1">C4852*Inputs!$B$12</f>
        <v>59280000</v>
      </c>
    </row>
    <row r="4853" spans="1:4" ht="13.5" customHeight="1" x14ac:dyDescent="0.3">
      <c r="A4853" s="46">
        <v>4849</v>
      </c>
      <c r="B4853" s="47">
        <f t="shared" ca="1" si="75"/>
        <v>0.60012420843028491</v>
      </c>
      <c r="C4853" s="48">
        <f t="array" aca="1" ref="C4853" ca="1">MAX(0,ROUND(Inputs!$B$10*Inputs!$B$11+NORMSINV(B4853)*SQRT(Inputs!$B$10*Inputs!$B$11),0))</f>
        <v>506</v>
      </c>
      <c r="D4853" s="49">
        <f ca="1">C4853*Inputs!$B$12</f>
        <v>60720000</v>
      </c>
    </row>
    <row r="4854" spans="1:4" ht="13.5" customHeight="1" x14ac:dyDescent="0.3">
      <c r="A4854" s="50">
        <v>4850</v>
      </c>
      <c r="B4854" s="51">
        <f t="shared" ca="1" si="75"/>
        <v>5.3991918958202323E-2</v>
      </c>
      <c r="C4854" s="48">
        <f t="array" aca="1" ref="C4854" ca="1">MAX(0,ROUND(Inputs!$B$10*Inputs!$B$11+NORMSINV(B4854)*SQRT(Inputs!$B$10*Inputs!$B$11),0))</f>
        <v>464</v>
      </c>
      <c r="D4854" s="52">
        <f ca="1">C4854*Inputs!$B$12</f>
        <v>55680000</v>
      </c>
    </row>
    <row r="4855" spans="1:4" ht="13.5" customHeight="1" x14ac:dyDescent="0.3">
      <c r="A4855" s="46">
        <v>4851</v>
      </c>
      <c r="B4855" s="47">
        <f t="shared" ca="1" si="75"/>
        <v>0.88006904467630653</v>
      </c>
      <c r="C4855" s="48">
        <f t="array" aca="1" ref="C4855" ca="1">MAX(0,ROUND(Inputs!$B$10*Inputs!$B$11+NORMSINV(B4855)*SQRT(Inputs!$B$10*Inputs!$B$11),0))</f>
        <v>526</v>
      </c>
      <c r="D4855" s="49">
        <f ca="1">C4855*Inputs!$B$12</f>
        <v>63120000</v>
      </c>
    </row>
    <row r="4856" spans="1:4" ht="13.5" customHeight="1" x14ac:dyDescent="0.3">
      <c r="A4856" s="50">
        <v>4852</v>
      </c>
      <c r="B4856" s="51">
        <f t="shared" ca="1" si="75"/>
        <v>0.81857468654661325</v>
      </c>
      <c r="C4856" s="48">
        <f t="array" aca="1" ref="C4856" ca="1">MAX(0,ROUND(Inputs!$B$10*Inputs!$B$11+NORMSINV(B4856)*SQRT(Inputs!$B$10*Inputs!$B$11),0))</f>
        <v>520</v>
      </c>
      <c r="D4856" s="52">
        <f ca="1">C4856*Inputs!$B$12</f>
        <v>62400000</v>
      </c>
    </row>
    <row r="4857" spans="1:4" ht="13.5" customHeight="1" x14ac:dyDescent="0.3">
      <c r="A4857" s="46">
        <v>4853</v>
      </c>
      <c r="B4857" s="47">
        <f t="shared" ca="1" si="75"/>
        <v>0.43838139670697085</v>
      </c>
      <c r="C4857" s="48">
        <f t="array" aca="1" ref="C4857" ca="1">MAX(0,ROUND(Inputs!$B$10*Inputs!$B$11+NORMSINV(B4857)*SQRT(Inputs!$B$10*Inputs!$B$11),0))</f>
        <v>497</v>
      </c>
      <c r="D4857" s="49">
        <f ca="1">C4857*Inputs!$B$12</f>
        <v>59640000</v>
      </c>
    </row>
    <row r="4858" spans="1:4" ht="13.5" customHeight="1" x14ac:dyDescent="0.3">
      <c r="A4858" s="50">
        <v>4854</v>
      </c>
      <c r="B4858" s="51">
        <f t="shared" ca="1" si="75"/>
        <v>0.76883113707856665</v>
      </c>
      <c r="C4858" s="48">
        <f t="array" aca="1" ref="C4858" ca="1">MAX(0,ROUND(Inputs!$B$10*Inputs!$B$11+NORMSINV(B4858)*SQRT(Inputs!$B$10*Inputs!$B$11),0))</f>
        <v>516</v>
      </c>
      <c r="D4858" s="52">
        <f ca="1">C4858*Inputs!$B$12</f>
        <v>61920000</v>
      </c>
    </row>
    <row r="4859" spans="1:4" ht="13.5" customHeight="1" x14ac:dyDescent="0.3">
      <c r="A4859" s="46">
        <v>4855</v>
      </c>
      <c r="B4859" s="47">
        <f t="shared" ca="1" si="75"/>
        <v>0.97180398851541894</v>
      </c>
      <c r="C4859" s="48">
        <f t="array" aca="1" ref="C4859" ca="1">MAX(0,ROUND(Inputs!$B$10*Inputs!$B$11+NORMSINV(B4859)*SQRT(Inputs!$B$10*Inputs!$B$11),0))</f>
        <v>543</v>
      </c>
      <c r="D4859" s="49">
        <f ca="1">C4859*Inputs!$B$12</f>
        <v>65160000</v>
      </c>
    </row>
    <row r="4860" spans="1:4" ht="13.5" customHeight="1" x14ac:dyDescent="0.3">
      <c r="A4860" s="50">
        <v>4856</v>
      </c>
      <c r="B4860" s="51">
        <f t="shared" ca="1" si="75"/>
        <v>0.45126343740583508</v>
      </c>
      <c r="C4860" s="48">
        <f t="array" aca="1" ref="C4860" ca="1">MAX(0,ROUND(Inputs!$B$10*Inputs!$B$11+NORMSINV(B4860)*SQRT(Inputs!$B$10*Inputs!$B$11),0))</f>
        <v>497</v>
      </c>
      <c r="D4860" s="52">
        <f ca="1">C4860*Inputs!$B$12</f>
        <v>59640000</v>
      </c>
    </row>
    <row r="4861" spans="1:4" ht="13.5" customHeight="1" x14ac:dyDescent="0.3">
      <c r="A4861" s="46">
        <v>4857</v>
      </c>
      <c r="B4861" s="47">
        <f t="shared" ca="1" si="75"/>
        <v>0.39172501785705194</v>
      </c>
      <c r="C4861" s="48">
        <f t="array" aca="1" ref="C4861" ca="1">MAX(0,ROUND(Inputs!$B$10*Inputs!$B$11+NORMSINV(B4861)*SQRT(Inputs!$B$10*Inputs!$B$11),0))</f>
        <v>494</v>
      </c>
      <c r="D4861" s="49">
        <f ca="1">C4861*Inputs!$B$12</f>
        <v>59280000</v>
      </c>
    </row>
    <row r="4862" spans="1:4" ht="13.5" customHeight="1" x14ac:dyDescent="0.3">
      <c r="A4862" s="50">
        <v>4858</v>
      </c>
      <c r="B4862" s="51">
        <f t="shared" ca="1" si="75"/>
        <v>0.76157592383683181</v>
      </c>
      <c r="C4862" s="48">
        <f t="array" aca="1" ref="C4862" ca="1">MAX(0,ROUND(Inputs!$B$10*Inputs!$B$11+NORMSINV(B4862)*SQRT(Inputs!$B$10*Inputs!$B$11),0))</f>
        <v>516</v>
      </c>
      <c r="D4862" s="52">
        <f ca="1">C4862*Inputs!$B$12</f>
        <v>61920000</v>
      </c>
    </row>
    <row r="4863" spans="1:4" ht="13.5" customHeight="1" x14ac:dyDescent="0.3">
      <c r="A4863" s="46">
        <v>4859</v>
      </c>
      <c r="B4863" s="47">
        <f t="shared" ca="1" si="75"/>
        <v>0.75980494859018299</v>
      </c>
      <c r="C4863" s="48">
        <f t="array" aca="1" ref="C4863" ca="1">MAX(0,ROUND(Inputs!$B$10*Inputs!$B$11+NORMSINV(B4863)*SQRT(Inputs!$B$10*Inputs!$B$11),0))</f>
        <v>516</v>
      </c>
      <c r="D4863" s="49">
        <f ca="1">C4863*Inputs!$B$12</f>
        <v>61920000</v>
      </c>
    </row>
    <row r="4864" spans="1:4" ht="13.5" customHeight="1" x14ac:dyDescent="0.3">
      <c r="A4864" s="50">
        <v>4860</v>
      </c>
      <c r="B4864" s="51">
        <f t="shared" ca="1" si="75"/>
        <v>0.67205062680528294</v>
      </c>
      <c r="C4864" s="48">
        <f t="array" aca="1" ref="C4864" ca="1">MAX(0,ROUND(Inputs!$B$10*Inputs!$B$11+NORMSINV(B4864)*SQRT(Inputs!$B$10*Inputs!$B$11),0))</f>
        <v>510</v>
      </c>
      <c r="D4864" s="52">
        <f ca="1">C4864*Inputs!$B$12</f>
        <v>61200000</v>
      </c>
    </row>
    <row r="4865" spans="1:4" ht="13.5" customHeight="1" x14ac:dyDescent="0.3">
      <c r="A4865" s="46">
        <v>4861</v>
      </c>
      <c r="B4865" s="47">
        <f t="shared" ca="1" si="75"/>
        <v>0.57796945167290592</v>
      </c>
      <c r="C4865" s="48">
        <f t="array" aca="1" ref="C4865" ca="1">MAX(0,ROUND(Inputs!$B$10*Inputs!$B$11+NORMSINV(B4865)*SQRT(Inputs!$B$10*Inputs!$B$11),0))</f>
        <v>504</v>
      </c>
      <c r="D4865" s="49">
        <f ca="1">C4865*Inputs!$B$12</f>
        <v>60480000</v>
      </c>
    </row>
    <row r="4866" spans="1:4" ht="13.5" customHeight="1" x14ac:dyDescent="0.3">
      <c r="A4866" s="50">
        <v>4862</v>
      </c>
      <c r="B4866" s="51">
        <f t="shared" ca="1" si="75"/>
        <v>0.79104348250185053</v>
      </c>
      <c r="C4866" s="48">
        <f t="array" aca="1" ref="C4866" ca="1">MAX(0,ROUND(Inputs!$B$10*Inputs!$B$11+NORMSINV(B4866)*SQRT(Inputs!$B$10*Inputs!$B$11),0))</f>
        <v>518</v>
      </c>
      <c r="D4866" s="52">
        <f ca="1">C4866*Inputs!$B$12</f>
        <v>62160000</v>
      </c>
    </row>
    <row r="4867" spans="1:4" ht="13.5" customHeight="1" x14ac:dyDescent="0.3">
      <c r="A4867" s="46">
        <v>4863</v>
      </c>
      <c r="B4867" s="47">
        <f t="shared" ca="1" si="75"/>
        <v>0.55620617167997854</v>
      </c>
      <c r="C4867" s="48">
        <f t="array" aca="1" ref="C4867" ca="1">MAX(0,ROUND(Inputs!$B$10*Inputs!$B$11+NORMSINV(B4867)*SQRT(Inputs!$B$10*Inputs!$B$11),0))</f>
        <v>503</v>
      </c>
      <c r="D4867" s="49">
        <f ca="1">C4867*Inputs!$B$12</f>
        <v>60360000</v>
      </c>
    </row>
    <row r="4868" spans="1:4" ht="13.5" customHeight="1" x14ac:dyDescent="0.3">
      <c r="A4868" s="50">
        <v>4864</v>
      </c>
      <c r="B4868" s="51">
        <f t="shared" ca="1" si="75"/>
        <v>0.40491891393761048</v>
      </c>
      <c r="C4868" s="48">
        <f t="array" aca="1" ref="C4868" ca="1">MAX(0,ROUND(Inputs!$B$10*Inputs!$B$11+NORMSINV(B4868)*SQRT(Inputs!$B$10*Inputs!$B$11),0))</f>
        <v>495</v>
      </c>
      <c r="D4868" s="52">
        <f ca="1">C4868*Inputs!$B$12</f>
        <v>59400000</v>
      </c>
    </row>
    <row r="4869" spans="1:4" ht="13.5" customHeight="1" x14ac:dyDescent="0.3">
      <c r="A4869" s="46">
        <v>4865</v>
      </c>
      <c r="B4869" s="47">
        <f t="shared" ref="B4869:B4932" ca="1" si="76">RAND()</f>
        <v>0.93447885702573008</v>
      </c>
      <c r="C4869" s="48">
        <f t="array" aca="1" ref="C4869" ca="1">MAX(0,ROUND(Inputs!$B$10*Inputs!$B$11+NORMSINV(B4869)*SQRT(Inputs!$B$10*Inputs!$B$11),0))</f>
        <v>534</v>
      </c>
      <c r="D4869" s="49">
        <f ca="1">C4869*Inputs!$B$12</f>
        <v>64080000</v>
      </c>
    </row>
    <row r="4870" spans="1:4" ht="13.5" customHeight="1" x14ac:dyDescent="0.3">
      <c r="A4870" s="50">
        <v>4866</v>
      </c>
      <c r="B4870" s="51">
        <f t="shared" ca="1" si="76"/>
        <v>0.90764424829084245</v>
      </c>
      <c r="C4870" s="48">
        <f t="array" aca="1" ref="C4870" ca="1">MAX(0,ROUND(Inputs!$B$10*Inputs!$B$11+NORMSINV(B4870)*SQRT(Inputs!$B$10*Inputs!$B$11),0))</f>
        <v>530</v>
      </c>
      <c r="D4870" s="52">
        <f ca="1">C4870*Inputs!$B$12</f>
        <v>63600000</v>
      </c>
    </row>
    <row r="4871" spans="1:4" ht="13.5" customHeight="1" x14ac:dyDescent="0.3">
      <c r="A4871" s="46">
        <v>4867</v>
      </c>
      <c r="B4871" s="47">
        <f t="shared" ca="1" si="76"/>
        <v>0.74349684309582798</v>
      </c>
      <c r="C4871" s="48">
        <f t="array" aca="1" ref="C4871" ca="1">MAX(0,ROUND(Inputs!$B$10*Inputs!$B$11+NORMSINV(B4871)*SQRT(Inputs!$B$10*Inputs!$B$11),0))</f>
        <v>515</v>
      </c>
      <c r="D4871" s="49">
        <f ca="1">C4871*Inputs!$B$12</f>
        <v>61800000</v>
      </c>
    </row>
    <row r="4872" spans="1:4" ht="13.5" customHeight="1" x14ac:dyDescent="0.3">
      <c r="A4872" s="50">
        <v>4868</v>
      </c>
      <c r="B4872" s="51">
        <f t="shared" ca="1" si="76"/>
        <v>0.51131628552129593</v>
      </c>
      <c r="C4872" s="48">
        <f t="array" aca="1" ref="C4872" ca="1">MAX(0,ROUND(Inputs!$B$10*Inputs!$B$11+NORMSINV(B4872)*SQRT(Inputs!$B$10*Inputs!$B$11),0))</f>
        <v>501</v>
      </c>
      <c r="D4872" s="52">
        <f ca="1">C4872*Inputs!$B$12</f>
        <v>60120000</v>
      </c>
    </row>
    <row r="4873" spans="1:4" ht="13.5" customHeight="1" x14ac:dyDescent="0.3">
      <c r="A4873" s="46">
        <v>4869</v>
      </c>
      <c r="B4873" s="47">
        <f t="shared" ca="1" si="76"/>
        <v>0.65077984672069178</v>
      </c>
      <c r="C4873" s="48">
        <f t="array" aca="1" ref="C4873" ca="1">MAX(0,ROUND(Inputs!$B$10*Inputs!$B$11+NORMSINV(B4873)*SQRT(Inputs!$B$10*Inputs!$B$11),0))</f>
        <v>509</v>
      </c>
      <c r="D4873" s="49">
        <f ca="1">C4873*Inputs!$B$12</f>
        <v>61080000</v>
      </c>
    </row>
    <row r="4874" spans="1:4" ht="13.5" customHeight="1" x14ac:dyDescent="0.3">
      <c r="A4874" s="50">
        <v>4870</v>
      </c>
      <c r="B4874" s="51">
        <f t="shared" ca="1" si="76"/>
        <v>0.1479888907665301</v>
      </c>
      <c r="C4874" s="48">
        <f t="array" aca="1" ref="C4874" ca="1">MAX(0,ROUND(Inputs!$B$10*Inputs!$B$11+NORMSINV(B4874)*SQRT(Inputs!$B$10*Inputs!$B$11),0))</f>
        <v>477</v>
      </c>
      <c r="D4874" s="52">
        <f ca="1">C4874*Inputs!$B$12</f>
        <v>57240000</v>
      </c>
    </row>
    <row r="4875" spans="1:4" ht="13.5" customHeight="1" x14ac:dyDescent="0.3">
      <c r="A4875" s="46">
        <v>4871</v>
      </c>
      <c r="B4875" s="47">
        <f t="shared" ca="1" si="76"/>
        <v>0.35804739312419265</v>
      </c>
      <c r="C4875" s="48">
        <f t="array" aca="1" ref="C4875" ca="1">MAX(0,ROUND(Inputs!$B$10*Inputs!$B$11+NORMSINV(B4875)*SQRT(Inputs!$B$10*Inputs!$B$11),0))</f>
        <v>492</v>
      </c>
      <c r="D4875" s="49">
        <f ca="1">C4875*Inputs!$B$12</f>
        <v>59040000</v>
      </c>
    </row>
    <row r="4876" spans="1:4" ht="13.5" customHeight="1" x14ac:dyDescent="0.3">
      <c r="A4876" s="50">
        <v>4872</v>
      </c>
      <c r="B4876" s="51">
        <f t="shared" ca="1" si="76"/>
        <v>0.96047478946837117</v>
      </c>
      <c r="C4876" s="48">
        <f t="array" aca="1" ref="C4876" ca="1">MAX(0,ROUND(Inputs!$B$10*Inputs!$B$11+NORMSINV(B4876)*SQRT(Inputs!$B$10*Inputs!$B$11),0))</f>
        <v>539</v>
      </c>
      <c r="D4876" s="52">
        <f ca="1">C4876*Inputs!$B$12</f>
        <v>64680000</v>
      </c>
    </row>
    <row r="4877" spans="1:4" ht="13.5" customHeight="1" x14ac:dyDescent="0.3">
      <c r="A4877" s="46">
        <v>4873</v>
      </c>
      <c r="B4877" s="47">
        <f t="shared" ca="1" si="76"/>
        <v>0.17294085800822667</v>
      </c>
      <c r="C4877" s="48">
        <f t="array" aca="1" ref="C4877" ca="1">MAX(0,ROUND(Inputs!$B$10*Inputs!$B$11+NORMSINV(B4877)*SQRT(Inputs!$B$10*Inputs!$B$11),0))</f>
        <v>479</v>
      </c>
      <c r="D4877" s="49">
        <f ca="1">C4877*Inputs!$B$12</f>
        <v>57480000</v>
      </c>
    </row>
    <row r="4878" spans="1:4" ht="13.5" customHeight="1" x14ac:dyDescent="0.3">
      <c r="A4878" s="50">
        <v>4874</v>
      </c>
      <c r="B4878" s="51">
        <f t="shared" ca="1" si="76"/>
        <v>0.49007505259915407</v>
      </c>
      <c r="C4878" s="48">
        <f t="array" aca="1" ref="C4878" ca="1">MAX(0,ROUND(Inputs!$B$10*Inputs!$B$11+NORMSINV(B4878)*SQRT(Inputs!$B$10*Inputs!$B$11),0))</f>
        <v>499</v>
      </c>
      <c r="D4878" s="52">
        <f ca="1">C4878*Inputs!$B$12</f>
        <v>59880000</v>
      </c>
    </row>
    <row r="4879" spans="1:4" ht="13.5" customHeight="1" x14ac:dyDescent="0.3">
      <c r="A4879" s="46">
        <v>4875</v>
      </c>
      <c r="B4879" s="47">
        <f t="shared" ca="1" si="76"/>
        <v>0.65846567683477586</v>
      </c>
      <c r="C4879" s="48">
        <f t="array" aca="1" ref="C4879" ca="1">MAX(0,ROUND(Inputs!$B$10*Inputs!$B$11+NORMSINV(B4879)*SQRT(Inputs!$B$10*Inputs!$B$11),0))</f>
        <v>509</v>
      </c>
      <c r="D4879" s="49">
        <f ca="1">C4879*Inputs!$B$12</f>
        <v>61080000</v>
      </c>
    </row>
    <row r="4880" spans="1:4" ht="13.5" customHeight="1" x14ac:dyDescent="0.3">
      <c r="A4880" s="50">
        <v>4876</v>
      </c>
      <c r="B4880" s="51">
        <f t="shared" ca="1" si="76"/>
        <v>0.81927568338879264</v>
      </c>
      <c r="C4880" s="48">
        <f t="array" aca="1" ref="C4880" ca="1">MAX(0,ROUND(Inputs!$B$10*Inputs!$B$11+NORMSINV(B4880)*SQRT(Inputs!$B$10*Inputs!$B$11),0))</f>
        <v>520</v>
      </c>
      <c r="D4880" s="52">
        <f ca="1">C4880*Inputs!$B$12</f>
        <v>62400000</v>
      </c>
    </row>
    <row r="4881" spans="1:4" ht="13.5" customHeight="1" x14ac:dyDescent="0.3">
      <c r="A4881" s="46">
        <v>4877</v>
      </c>
      <c r="B4881" s="47">
        <f t="shared" ca="1" si="76"/>
        <v>0.3555605477731848</v>
      </c>
      <c r="C4881" s="48">
        <f t="array" aca="1" ref="C4881" ca="1">MAX(0,ROUND(Inputs!$B$10*Inputs!$B$11+NORMSINV(B4881)*SQRT(Inputs!$B$10*Inputs!$B$11),0))</f>
        <v>492</v>
      </c>
      <c r="D4881" s="49">
        <f ca="1">C4881*Inputs!$B$12</f>
        <v>59040000</v>
      </c>
    </row>
    <row r="4882" spans="1:4" ht="13.5" customHeight="1" x14ac:dyDescent="0.3">
      <c r="A4882" s="50">
        <v>4878</v>
      </c>
      <c r="B4882" s="51">
        <f t="shared" ca="1" si="76"/>
        <v>0.56618071045265805</v>
      </c>
      <c r="C4882" s="48">
        <f t="array" aca="1" ref="C4882" ca="1">MAX(0,ROUND(Inputs!$B$10*Inputs!$B$11+NORMSINV(B4882)*SQRT(Inputs!$B$10*Inputs!$B$11),0))</f>
        <v>504</v>
      </c>
      <c r="D4882" s="52">
        <f ca="1">C4882*Inputs!$B$12</f>
        <v>60480000</v>
      </c>
    </row>
    <row r="4883" spans="1:4" ht="13.5" customHeight="1" x14ac:dyDescent="0.3">
      <c r="A4883" s="46">
        <v>4879</v>
      </c>
      <c r="B4883" s="47">
        <f t="shared" ca="1" si="76"/>
        <v>0.79147058642679491</v>
      </c>
      <c r="C4883" s="48">
        <f t="array" aca="1" ref="C4883" ca="1">MAX(0,ROUND(Inputs!$B$10*Inputs!$B$11+NORMSINV(B4883)*SQRT(Inputs!$B$10*Inputs!$B$11),0))</f>
        <v>518</v>
      </c>
      <c r="D4883" s="49">
        <f ca="1">C4883*Inputs!$B$12</f>
        <v>62160000</v>
      </c>
    </row>
    <row r="4884" spans="1:4" ht="13.5" customHeight="1" x14ac:dyDescent="0.3">
      <c r="A4884" s="50">
        <v>4880</v>
      </c>
      <c r="B4884" s="51">
        <f t="shared" ca="1" si="76"/>
        <v>0.47540181685736194</v>
      </c>
      <c r="C4884" s="48">
        <f t="array" aca="1" ref="C4884" ca="1">MAX(0,ROUND(Inputs!$B$10*Inputs!$B$11+NORMSINV(B4884)*SQRT(Inputs!$B$10*Inputs!$B$11),0))</f>
        <v>499</v>
      </c>
      <c r="D4884" s="52">
        <f ca="1">C4884*Inputs!$B$12</f>
        <v>59880000</v>
      </c>
    </row>
    <row r="4885" spans="1:4" ht="13.5" customHeight="1" x14ac:dyDescent="0.3">
      <c r="A4885" s="46">
        <v>4881</v>
      </c>
      <c r="B4885" s="47">
        <f t="shared" ca="1" si="76"/>
        <v>7.2679061916193E-2</v>
      </c>
      <c r="C4885" s="48">
        <f t="array" aca="1" ref="C4885" ca="1">MAX(0,ROUND(Inputs!$B$10*Inputs!$B$11+NORMSINV(B4885)*SQRT(Inputs!$B$10*Inputs!$B$11),0))</f>
        <v>467</v>
      </c>
      <c r="D4885" s="49">
        <f ca="1">C4885*Inputs!$B$12</f>
        <v>56040000</v>
      </c>
    </row>
    <row r="4886" spans="1:4" ht="13.5" customHeight="1" x14ac:dyDescent="0.3">
      <c r="A4886" s="50">
        <v>4882</v>
      </c>
      <c r="B4886" s="51">
        <f t="shared" ca="1" si="76"/>
        <v>0.75928476504065279</v>
      </c>
      <c r="C4886" s="48">
        <f t="array" aca="1" ref="C4886" ca="1">MAX(0,ROUND(Inputs!$B$10*Inputs!$B$11+NORMSINV(B4886)*SQRT(Inputs!$B$10*Inputs!$B$11),0))</f>
        <v>516</v>
      </c>
      <c r="D4886" s="52">
        <f ca="1">C4886*Inputs!$B$12</f>
        <v>61920000</v>
      </c>
    </row>
    <row r="4887" spans="1:4" ht="13.5" customHeight="1" x14ac:dyDescent="0.3">
      <c r="A4887" s="46">
        <v>4883</v>
      </c>
      <c r="B4887" s="47">
        <f t="shared" ca="1" si="76"/>
        <v>8.5535421192847294E-2</v>
      </c>
      <c r="C4887" s="48">
        <f t="array" aca="1" ref="C4887" ca="1">MAX(0,ROUND(Inputs!$B$10*Inputs!$B$11+NORMSINV(B4887)*SQRT(Inputs!$B$10*Inputs!$B$11),0))</f>
        <v>469</v>
      </c>
      <c r="D4887" s="49">
        <f ca="1">C4887*Inputs!$B$12</f>
        <v>56280000</v>
      </c>
    </row>
    <row r="4888" spans="1:4" ht="13.5" customHeight="1" x14ac:dyDescent="0.3">
      <c r="A4888" s="50">
        <v>4884</v>
      </c>
      <c r="B4888" s="51">
        <f t="shared" ca="1" si="76"/>
        <v>0.73622636536931352</v>
      </c>
      <c r="C4888" s="48">
        <f t="array" aca="1" ref="C4888" ca="1">MAX(0,ROUND(Inputs!$B$10*Inputs!$B$11+NORMSINV(B4888)*SQRT(Inputs!$B$10*Inputs!$B$11),0))</f>
        <v>514</v>
      </c>
      <c r="D4888" s="52">
        <f ca="1">C4888*Inputs!$B$12</f>
        <v>61680000</v>
      </c>
    </row>
    <row r="4889" spans="1:4" ht="13.5" customHeight="1" x14ac:dyDescent="0.3">
      <c r="A4889" s="46">
        <v>4885</v>
      </c>
      <c r="B4889" s="47">
        <f t="shared" ca="1" si="76"/>
        <v>0.88831544796567419</v>
      </c>
      <c r="C4889" s="48">
        <f t="array" aca="1" ref="C4889" ca="1">MAX(0,ROUND(Inputs!$B$10*Inputs!$B$11+NORMSINV(B4889)*SQRT(Inputs!$B$10*Inputs!$B$11),0))</f>
        <v>527</v>
      </c>
      <c r="D4889" s="49">
        <f ca="1">C4889*Inputs!$B$12</f>
        <v>63240000</v>
      </c>
    </row>
    <row r="4890" spans="1:4" ht="13.5" customHeight="1" x14ac:dyDescent="0.3">
      <c r="A4890" s="50">
        <v>4886</v>
      </c>
      <c r="B4890" s="51">
        <f t="shared" ca="1" si="76"/>
        <v>0.62460493120836658</v>
      </c>
      <c r="C4890" s="48">
        <f t="array" aca="1" ref="C4890" ca="1">MAX(0,ROUND(Inputs!$B$10*Inputs!$B$11+NORMSINV(B4890)*SQRT(Inputs!$B$10*Inputs!$B$11),0))</f>
        <v>507</v>
      </c>
      <c r="D4890" s="52">
        <f ca="1">C4890*Inputs!$B$12</f>
        <v>60840000</v>
      </c>
    </row>
    <row r="4891" spans="1:4" ht="13.5" customHeight="1" x14ac:dyDescent="0.3">
      <c r="A4891" s="46">
        <v>4887</v>
      </c>
      <c r="B4891" s="47">
        <f t="shared" ca="1" si="76"/>
        <v>9.5185438133224554E-2</v>
      </c>
      <c r="C4891" s="48">
        <f t="array" aca="1" ref="C4891" ca="1">MAX(0,ROUND(Inputs!$B$10*Inputs!$B$11+NORMSINV(B4891)*SQRT(Inputs!$B$10*Inputs!$B$11),0))</f>
        <v>471</v>
      </c>
      <c r="D4891" s="49">
        <f ca="1">C4891*Inputs!$B$12</f>
        <v>56520000</v>
      </c>
    </row>
    <row r="4892" spans="1:4" ht="13.5" customHeight="1" x14ac:dyDescent="0.3">
      <c r="A4892" s="50">
        <v>4888</v>
      </c>
      <c r="B4892" s="51">
        <f t="shared" ca="1" si="76"/>
        <v>0.35612636093894401</v>
      </c>
      <c r="C4892" s="48">
        <f t="array" aca="1" ref="C4892" ca="1">MAX(0,ROUND(Inputs!$B$10*Inputs!$B$11+NORMSINV(B4892)*SQRT(Inputs!$B$10*Inputs!$B$11),0))</f>
        <v>492</v>
      </c>
      <c r="D4892" s="52">
        <f ca="1">C4892*Inputs!$B$12</f>
        <v>59040000</v>
      </c>
    </row>
    <row r="4893" spans="1:4" ht="13.5" customHeight="1" x14ac:dyDescent="0.3">
      <c r="A4893" s="46">
        <v>4889</v>
      </c>
      <c r="B4893" s="47">
        <f t="shared" ca="1" si="76"/>
        <v>0.28418925273841833</v>
      </c>
      <c r="C4893" s="48">
        <f t="array" aca="1" ref="C4893" ca="1">MAX(0,ROUND(Inputs!$B$10*Inputs!$B$11+NORMSINV(B4893)*SQRT(Inputs!$B$10*Inputs!$B$11),0))</f>
        <v>487</v>
      </c>
      <c r="D4893" s="49">
        <f ca="1">C4893*Inputs!$B$12</f>
        <v>58440000</v>
      </c>
    </row>
    <row r="4894" spans="1:4" ht="13.5" customHeight="1" x14ac:dyDescent="0.3">
      <c r="A4894" s="50">
        <v>4890</v>
      </c>
      <c r="B4894" s="51">
        <f t="shared" ca="1" si="76"/>
        <v>0.68176317450272028</v>
      </c>
      <c r="C4894" s="48">
        <f t="array" aca="1" ref="C4894" ca="1">MAX(0,ROUND(Inputs!$B$10*Inputs!$B$11+NORMSINV(B4894)*SQRT(Inputs!$B$10*Inputs!$B$11),0))</f>
        <v>511</v>
      </c>
      <c r="D4894" s="52">
        <f ca="1">C4894*Inputs!$B$12</f>
        <v>61320000</v>
      </c>
    </row>
    <row r="4895" spans="1:4" ht="13.5" customHeight="1" x14ac:dyDescent="0.3">
      <c r="A4895" s="46">
        <v>4891</v>
      </c>
      <c r="B4895" s="47">
        <f t="shared" ca="1" si="76"/>
        <v>0.90902984338331716</v>
      </c>
      <c r="C4895" s="48">
        <f t="array" aca="1" ref="C4895" ca="1">MAX(0,ROUND(Inputs!$B$10*Inputs!$B$11+NORMSINV(B4895)*SQRT(Inputs!$B$10*Inputs!$B$11),0))</f>
        <v>530</v>
      </c>
      <c r="D4895" s="49">
        <f ca="1">C4895*Inputs!$B$12</f>
        <v>63600000</v>
      </c>
    </row>
    <row r="4896" spans="1:4" ht="13.5" customHeight="1" x14ac:dyDescent="0.3">
      <c r="A4896" s="50">
        <v>4892</v>
      </c>
      <c r="B4896" s="51">
        <f t="shared" ca="1" si="76"/>
        <v>0.83055166742624265</v>
      </c>
      <c r="C4896" s="48">
        <f t="array" aca="1" ref="C4896" ca="1">MAX(0,ROUND(Inputs!$B$10*Inputs!$B$11+NORMSINV(B4896)*SQRT(Inputs!$B$10*Inputs!$B$11),0))</f>
        <v>521</v>
      </c>
      <c r="D4896" s="52">
        <f ca="1">C4896*Inputs!$B$12</f>
        <v>62520000</v>
      </c>
    </row>
    <row r="4897" spans="1:4" ht="13.5" customHeight="1" x14ac:dyDescent="0.3">
      <c r="A4897" s="46">
        <v>4893</v>
      </c>
      <c r="B4897" s="47">
        <f t="shared" ca="1" si="76"/>
        <v>0.47923069547068309</v>
      </c>
      <c r="C4897" s="48">
        <f t="array" aca="1" ref="C4897" ca="1">MAX(0,ROUND(Inputs!$B$10*Inputs!$B$11+NORMSINV(B4897)*SQRT(Inputs!$B$10*Inputs!$B$11),0))</f>
        <v>499</v>
      </c>
      <c r="D4897" s="49">
        <f ca="1">C4897*Inputs!$B$12</f>
        <v>59880000</v>
      </c>
    </row>
    <row r="4898" spans="1:4" ht="13.5" customHeight="1" x14ac:dyDescent="0.3">
      <c r="A4898" s="50">
        <v>4894</v>
      </c>
      <c r="B4898" s="51">
        <f t="shared" ca="1" si="76"/>
        <v>0.12897445861528911</v>
      </c>
      <c r="C4898" s="48">
        <f t="array" aca="1" ref="C4898" ca="1">MAX(0,ROUND(Inputs!$B$10*Inputs!$B$11+NORMSINV(B4898)*SQRT(Inputs!$B$10*Inputs!$B$11),0))</f>
        <v>475</v>
      </c>
      <c r="D4898" s="52">
        <f ca="1">C4898*Inputs!$B$12</f>
        <v>57000000</v>
      </c>
    </row>
    <row r="4899" spans="1:4" ht="13.5" customHeight="1" x14ac:dyDescent="0.3">
      <c r="A4899" s="46">
        <v>4895</v>
      </c>
      <c r="B4899" s="47">
        <f t="shared" ca="1" si="76"/>
        <v>0.34178996022773223</v>
      </c>
      <c r="C4899" s="48">
        <f t="array" aca="1" ref="C4899" ca="1">MAX(0,ROUND(Inputs!$B$10*Inputs!$B$11+NORMSINV(B4899)*SQRT(Inputs!$B$10*Inputs!$B$11),0))</f>
        <v>491</v>
      </c>
      <c r="D4899" s="49">
        <f ca="1">C4899*Inputs!$B$12</f>
        <v>58920000</v>
      </c>
    </row>
    <row r="4900" spans="1:4" ht="13.5" customHeight="1" x14ac:dyDescent="0.3">
      <c r="A4900" s="50">
        <v>4896</v>
      </c>
      <c r="B4900" s="51">
        <f t="shared" ca="1" si="76"/>
        <v>0.18452485181853329</v>
      </c>
      <c r="C4900" s="48">
        <f t="array" aca="1" ref="C4900" ca="1">MAX(0,ROUND(Inputs!$B$10*Inputs!$B$11+NORMSINV(B4900)*SQRT(Inputs!$B$10*Inputs!$B$11),0))</f>
        <v>480</v>
      </c>
      <c r="D4900" s="52">
        <f ca="1">C4900*Inputs!$B$12</f>
        <v>57600000</v>
      </c>
    </row>
    <row r="4901" spans="1:4" ht="13.5" customHeight="1" x14ac:dyDescent="0.3">
      <c r="A4901" s="46">
        <v>4897</v>
      </c>
      <c r="B4901" s="47">
        <f t="shared" ca="1" si="76"/>
        <v>0.47851616228728777</v>
      </c>
      <c r="C4901" s="48">
        <f t="array" aca="1" ref="C4901" ca="1">MAX(0,ROUND(Inputs!$B$10*Inputs!$B$11+NORMSINV(B4901)*SQRT(Inputs!$B$10*Inputs!$B$11),0))</f>
        <v>499</v>
      </c>
      <c r="D4901" s="49">
        <f ca="1">C4901*Inputs!$B$12</f>
        <v>59880000</v>
      </c>
    </row>
    <row r="4902" spans="1:4" ht="13.5" customHeight="1" x14ac:dyDescent="0.3">
      <c r="A4902" s="50">
        <v>4898</v>
      </c>
      <c r="B4902" s="51">
        <f t="shared" ca="1" si="76"/>
        <v>0.29497986698735912</v>
      </c>
      <c r="C4902" s="48">
        <f t="array" aca="1" ref="C4902" ca="1">MAX(0,ROUND(Inputs!$B$10*Inputs!$B$11+NORMSINV(B4902)*SQRT(Inputs!$B$10*Inputs!$B$11),0))</f>
        <v>488</v>
      </c>
      <c r="D4902" s="52">
        <f ca="1">C4902*Inputs!$B$12</f>
        <v>58560000</v>
      </c>
    </row>
    <row r="4903" spans="1:4" ht="13.5" customHeight="1" x14ac:dyDescent="0.3">
      <c r="A4903" s="46">
        <v>4899</v>
      </c>
      <c r="B4903" s="47">
        <f t="shared" ca="1" si="76"/>
        <v>0.10305308644188149</v>
      </c>
      <c r="C4903" s="48">
        <f t="array" aca="1" ref="C4903" ca="1">MAX(0,ROUND(Inputs!$B$10*Inputs!$B$11+NORMSINV(B4903)*SQRT(Inputs!$B$10*Inputs!$B$11),0))</f>
        <v>472</v>
      </c>
      <c r="D4903" s="49">
        <f ca="1">C4903*Inputs!$B$12</f>
        <v>56640000</v>
      </c>
    </row>
    <row r="4904" spans="1:4" ht="13.5" customHeight="1" x14ac:dyDescent="0.3">
      <c r="A4904" s="50">
        <v>4900</v>
      </c>
      <c r="B4904" s="51">
        <f t="shared" ca="1" si="76"/>
        <v>0.25041482273262161</v>
      </c>
      <c r="C4904" s="48">
        <f t="array" aca="1" ref="C4904" ca="1">MAX(0,ROUND(Inputs!$B$10*Inputs!$B$11+NORMSINV(B4904)*SQRT(Inputs!$B$10*Inputs!$B$11),0))</f>
        <v>485</v>
      </c>
      <c r="D4904" s="52">
        <f ca="1">C4904*Inputs!$B$12</f>
        <v>58200000</v>
      </c>
    </row>
    <row r="4905" spans="1:4" ht="13.5" customHeight="1" x14ac:dyDescent="0.3">
      <c r="A4905" s="46">
        <v>4901</v>
      </c>
      <c r="B4905" s="47">
        <f t="shared" ca="1" si="76"/>
        <v>0.10454125287089799</v>
      </c>
      <c r="C4905" s="48">
        <f t="array" aca="1" ref="C4905" ca="1">MAX(0,ROUND(Inputs!$B$10*Inputs!$B$11+NORMSINV(B4905)*SQRT(Inputs!$B$10*Inputs!$B$11),0))</f>
        <v>472</v>
      </c>
      <c r="D4905" s="49">
        <f ca="1">C4905*Inputs!$B$12</f>
        <v>56640000</v>
      </c>
    </row>
    <row r="4906" spans="1:4" ht="13.5" customHeight="1" x14ac:dyDescent="0.3">
      <c r="A4906" s="50">
        <v>4902</v>
      </c>
      <c r="B4906" s="51">
        <f t="shared" ca="1" si="76"/>
        <v>0.6486121795169385</v>
      </c>
      <c r="C4906" s="48">
        <f t="array" aca="1" ref="C4906" ca="1">MAX(0,ROUND(Inputs!$B$10*Inputs!$B$11+NORMSINV(B4906)*SQRT(Inputs!$B$10*Inputs!$B$11),0))</f>
        <v>509</v>
      </c>
      <c r="D4906" s="52">
        <f ca="1">C4906*Inputs!$B$12</f>
        <v>61080000</v>
      </c>
    </row>
    <row r="4907" spans="1:4" ht="13.5" customHeight="1" x14ac:dyDescent="0.3">
      <c r="A4907" s="46">
        <v>4903</v>
      </c>
      <c r="B4907" s="47">
        <f t="shared" ca="1" si="76"/>
        <v>0.32898681881336456</v>
      </c>
      <c r="C4907" s="48">
        <f t="array" aca="1" ref="C4907" ca="1">MAX(0,ROUND(Inputs!$B$10*Inputs!$B$11+NORMSINV(B4907)*SQRT(Inputs!$B$10*Inputs!$B$11),0))</f>
        <v>490</v>
      </c>
      <c r="D4907" s="49">
        <f ca="1">C4907*Inputs!$B$12</f>
        <v>58800000</v>
      </c>
    </row>
    <row r="4908" spans="1:4" ht="13.5" customHeight="1" x14ac:dyDescent="0.3">
      <c r="A4908" s="50">
        <v>4904</v>
      </c>
      <c r="B4908" s="51">
        <f t="shared" ca="1" si="76"/>
        <v>0.50873836274593609</v>
      </c>
      <c r="C4908" s="48">
        <f t="array" aca="1" ref="C4908" ca="1">MAX(0,ROUND(Inputs!$B$10*Inputs!$B$11+NORMSINV(B4908)*SQRT(Inputs!$B$10*Inputs!$B$11),0))</f>
        <v>500</v>
      </c>
      <c r="D4908" s="52">
        <f ca="1">C4908*Inputs!$B$12</f>
        <v>60000000</v>
      </c>
    </row>
    <row r="4909" spans="1:4" ht="13.5" customHeight="1" x14ac:dyDescent="0.3">
      <c r="A4909" s="46">
        <v>4905</v>
      </c>
      <c r="B4909" s="47">
        <f t="shared" ca="1" si="76"/>
        <v>0.48074915971229881</v>
      </c>
      <c r="C4909" s="48">
        <f t="array" aca="1" ref="C4909" ca="1">MAX(0,ROUND(Inputs!$B$10*Inputs!$B$11+NORMSINV(B4909)*SQRT(Inputs!$B$10*Inputs!$B$11),0))</f>
        <v>499</v>
      </c>
      <c r="D4909" s="49">
        <f ca="1">C4909*Inputs!$B$12</f>
        <v>59880000</v>
      </c>
    </row>
    <row r="4910" spans="1:4" ht="13.5" customHeight="1" x14ac:dyDescent="0.3">
      <c r="A4910" s="50">
        <v>4906</v>
      </c>
      <c r="B4910" s="51">
        <f t="shared" ca="1" si="76"/>
        <v>4.877565280021201E-2</v>
      </c>
      <c r="C4910" s="48">
        <f t="array" aca="1" ref="C4910" ca="1">MAX(0,ROUND(Inputs!$B$10*Inputs!$B$11+NORMSINV(B4910)*SQRT(Inputs!$B$10*Inputs!$B$11),0))</f>
        <v>463</v>
      </c>
      <c r="D4910" s="52">
        <f ca="1">C4910*Inputs!$B$12</f>
        <v>55560000</v>
      </c>
    </row>
    <row r="4911" spans="1:4" ht="13.5" customHeight="1" x14ac:dyDescent="0.3">
      <c r="A4911" s="46">
        <v>4907</v>
      </c>
      <c r="B4911" s="47">
        <f t="shared" ca="1" si="76"/>
        <v>0.77978495162289674</v>
      </c>
      <c r="C4911" s="48">
        <f t="array" aca="1" ref="C4911" ca="1">MAX(0,ROUND(Inputs!$B$10*Inputs!$B$11+NORMSINV(B4911)*SQRT(Inputs!$B$10*Inputs!$B$11),0))</f>
        <v>517</v>
      </c>
      <c r="D4911" s="49">
        <f ca="1">C4911*Inputs!$B$12</f>
        <v>62040000</v>
      </c>
    </row>
    <row r="4912" spans="1:4" ht="13.5" customHeight="1" x14ac:dyDescent="0.3">
      <c r="A4912" s="50">
        <v>4908</v>
      </c>
      <c r="B4912" s="51">
        <f t="shared" ca="1" si="76"/>
        <v>0.37279273019138792</v>
      </c>
      <c r="C4912" s="48">
        <f t="array" aca="1" ref="C4912" ca="1">MAX(0,ROUND(Inputs!$B$10*Inputs!$B$11+NORMSINV(B4912)*SQRT(Inputs!$B$10*Inputs!$B$11),0))</f>
        <v>493</v>
      </c>
      <c r="D4912" s="52">
        <f ca="1">C4912*Inputs!$B$12</f>
        <v>59160000</v>
      </c>
    </row>
    <row r="4913" spans="1:4" ht="13.5" customHeight="1" x14ac:dyDescent="0.3">
      <c r="A4913" s="46">
        <v>4909</v>
      </c>
      <c r="B4913" s="47">
        <f t="shared" ca="1" si="76"/>
        <v>3.4269871849183509E-2</v>
      </c>
      <c r="C4913" s="48">
        <f t="array" aca="1" ref="C4913" ca="1">MAX(0,ROUND(Inputs!$B$10*Inputs!$B$11+NORMSINV(B4913)*SQRT(Inputs!$B$10*Inputs!$B$11),0))</f>
        <v>459</v>
      </c>
      <c r="D4913" s="49">
        <f ca="1">C4913*Inputs!$B$12</f>
        <v>55080000</v>
      </c>
    </row>
    <row r="4914" spans="1:4" ht="13.5" customHeight="1" x14ac:dyDescent="0.3">
      <c r="A4914" s="50">
        <v>4910</v>
      </c>
      <c r="B4914" s="51">
        <f t="shared" ca="1" si="76"/>
        <v>0.83797554962826371</v>
      </c>
      <c r="C4914" s="48">
        <f t="array" aca="1" ref="C4914" ca="1">MAX(0,ROUND(Inputs!$B$10*Inputs!$B$11+NORMSINV(B4914)*SQRT(Inputs!$B$10*Inputs!$B$11),0))</f>
        <v>522</v>
      </c>
      <c r="D4914" s="52">
        <f ca="1">C4914*Inputs!$B$12</f>
        <v>62640000</v>
      </c>
    </row>
    <row r="4915" spans="1:4" ht="13.5" customHeight="1" x14ac:dyDescent="0.3">
      <c r="A4915" s="46">
        <v>4911</v>
      </c>
      <c r="B4915" s="47">
        <f t="shared" ca="1" si="76"/>
        <v>0.19993585743749065</v>
      </c>
      <c r="C4915" s="48">
        <f t="array" aca="1" ref="C4915" ca="1">MAX(0,ROUND(Inputs!$B$10*Inputs!$B$11+NORMSINV(B4915)*SQRT(Inputs!$B$10*Inputs!$B$11),0))</f>
        <v>481</v>
      </c>
      <c r="D4915" s="49">
        <f ca="1">C4915*Inputs!$B$12</f>
        <v>57720000</v>
      </c>
    </row>
    <row r="4916" spans="1:4" ht="13.5" customHeight="1" x14ac:dyDescent="0.3">
      <c r="A4916" s="50">
        <v>4912</v>
      </c>
      <c r="B4916" s="51">
        <f t="shared" ca="1" si="76"/>
        <v>0.61681949288889948</v>
      </c>
      <c r="C4916" s="48">
        <f t="array" aca="1" ref="C4916" ca="1">MAX(0,ROUND(Inputs!$B$10*Inputs!$B$11+NORMSINV(B4916)*SQRT(Inputs!$B$10*Inputs!$B$11),0))</f>
        <v>507</v>
      </c>
      <c r="D4916" s="52">
        <f ca="1">C4916*Inputs!$B$12</f>
        <v>60840000</v>
      </c>
    </row>
    <row r="4917" spans="1:4" ht="13.5" customHeight="1" x14ac:dyDescent="0.3">
      <c r="A4917" s="46">
        <v>4913</v>
      </c>
      <c r="B4917" s="47">
        <f t="shared" ca="1" si="76"/>
        <v>0.62054398230970342</v>
      </c>
      <c r="C4917" s="48">
        <f t="array" aca="1" ref="C4917" ca="1">MAX(0,ROUND(Inputs!$B$10*Inputs!$B$11+NORMSINV(B4917)*SQRT(Inputs!$B$10*Inputs!$B$11),0))</f>
        <v>507</v>
      </c>
      <c r="D4917" s="49">
        <f ca="1">C4917*Inputs!$B$12</f>
        <v>60840000</v>
      </c>
    </row>
    <row r="4918" spans="1:4" ht="13.5" customHeight="1" x14ac:dyDescent="0.3">
      <c r="A4918" s="50">
        <v>4914</v>
      </c>
      <c r="B4918" s="51">
        <f t="shared" ca="1" si="76"/>
        <v>0.20325286211340221</v>
      </c>
      <c r="C4918" s="48">
        <f t="array" aca="1" ref="C4918" ca="1">MAX(0,ROUND(Inputs!$B$10*Inputs!$B$11+NORMSINV(B4918)*SQRT(Inputs!$B$10*Inputs!$B$11),0))</f>
        <v>481</v>
      </c>
      <c r="D4918" s="52">
        <f ca="1">C4918*Inputs!$B$12</f>
        <v>57720000</v>
      </c>
    </row>
    <row r="4919" spans="1:4" ht="13.5" customHeight="1" x14ac:dyDescent="0.3">
      <c r="A4919" s="46">
        <v>4915</v>
      </c>
      <c r="B4919" s="47">
        <f t="shared" ca="1" si="76"/>
        <v>5.1997005510060479E-2</v>
      </c>
      <c r="C4919" s="48">
        <f t="array" aca="1" ref="C4919" ca="1">MAX(0,ROUND(Inputs!$B$10*Inputs!$B$11+NORMSINV(B4919)*SQRT(Inputs!$B$10*Inputs!$B$11),0))</f>
        <v>464</v>
      </c>
      <c r="D4919" s="49">
        <f ca="1">C4919*Inputs!$B$12</f>
        <v>55680000</v>
      </c>
    </row>
    <row r="4920" spans="1:4" ht="13.5" customHeight="1" x14ac:dyDescent="0.3">
      <c r="A4920" s="50">
        <v>4916</v>
      </c>
      <c r="B4920" s="51">
        <f t="shared" ca="1" si="76"/>
        <v>0.17278180496554363</v>
      </c>
      <c r="C4920" s="48">
        <f t="array" aca="1" ref="C4920" ca="1">MAX(0,ROUND(Inputs!$B$10*Inputs!$B$11+NORMSINV(B4920)*SQRT(Inputs!$B$10*Inputs!$B$11),0))</f>
        <v>479</v>
      </c>
      <c r="D4920" s="52">
        <f ca="1">C4920*Inputs!$B$12</f>
        <v>57480000</v>
      </c>
    </row>
    <row r="4921" spans="1:4" ht="13.5" customHeight="1" x14ac:dyDescent="0.3">
      <c r="A4921" s="46">
        <v>4917</v>
      </c>
      <c r="B4921" s="47">
        <f t="shared" ca="1" si="76"/>
        <v>0.3375615701623228</v>
      </c>
      <c r="C4921" s="48">
        <f t="array" aca="1" ref="C4921" ca="1">MAX(0,ROUND(Inputs!$B$10*Inputs!$B$11+NORMSINV(B4921)*SQRT(Inputs!$B$10*Inputs!$B$11),0))</f>
        <v>491</v>
      </c>
      <c r="D4921" s="49">
        <f ca="1">C4921*Inputs!$B$12</f>
        <v>58920000</v>
      </c>
    </row>
    <row r="4922" spans="1:4" ht="13.5" customHeight="1" x14ac:dyDescent="0.3">
      <c r="A4922" s="50">
        <v>4918</v>
      </c>
      <c r="B4922" s="51">
        <f t="shared" ca="1" si="76"/>
        <v>0.50747174304641673</v>
      </c>
      <c r="C4922" s="48">
        <f t="array" aca="1" ref="C4922" ca="1">MAX(0,ROUND(Inputs!$B$10*Inputs!$B$11+NORMSINV(B4922)*SQRT(Inputs!$B$10*Inputs!$B$11),0))</f>
        <v>500</v>
      </c>
      <c r="D4922" s="52">
        <f ca="1">C4922*Inputs!$B$12</f>
        <v>60000000</v>
      </c>
    </row>
    <row r="4923" spans="1:4" ht="13.5" customHeight="1" x14ac:dyDescent="0.3">
      <c r="A4923" s="46">
        <v>4919</v>
      </c>
      <c r="B4923" s="47">
        <f t="shared" ca="1" si="76"/>
        <v>0.68526908076209947</v>
      </c>
      <c r="C4923" s="48">
        <f t="array" aca="1" ref="C4923" ca="1">MAX(0,ROUND(Inputs!$B$10*Inputs!$B$11+NORMSINV(B4923)*SQRT(Inputs!$B$10*Inputs!$B$11),0))</f>
        <v>511</v>
      </c>
      <c r="D4923" s="49">
        <f ca="1">C4923*Inputs!$B$12</f>
        <v>61320000</v>
      </c>
    </row>
    <row r="4924" spans="1:4" ht="13.5" customHeight="1" x14ac:dyDescent="0.3">
      <c r="A4924" s="50">
        <v>4920</v>
      </c>
      <c r="B4924" s="51">
        <f t="shared" ca="1" si="76"/>
        <v>0.13259142999668427</v>
      </c>
      <c r="C4924" s="48">
        <f t="array" aca="1" ref="C4924" ca="1">MAX(0,ROUND(Inputs!$B$10*Inputs!$B$11+NORMSINV(B4924)*SQRT(Inputs!$B$10*Inputs!$B$11),0))</f>
        <v>475</v>
      </c>
      <c r="D4924" s="52">
        <f ca="1">C4924*Inputs!$B$12</f>
        <v>57000000</v>
      </c>
    </row>
    <row r="4925" spans="1:4" ht="13.5" customHeight="1" x14ac:dyDescent="0.3">
      <c r="A4925" s="46">
        <v>4921</v>
      </c>
      <c r="B4925" s="47">
        <f t="shared" ca="1" si="76"/>
        <v>0.19677049376418698</v>
      </c>
      <c r="C4925" s="48">
        <f t="array" aca="1" ref="C4925" ca="1">MAX(0,ROUND(Inputs!$B$10*Inputs!$B$11+NORMSINV(B4925)*SQRT(Inputs!$B$10*Inputs!$B$11),0))</f>
        <v>481</v>
      </c>
      <c r="D4925" s="49">
        <f ca="1">C4925*Inputs!$B$12</f>
        <v>57720000</v>
      </c>
    </row>
    <row r="4926" spans="1:4" ht="13.5" customHeight="1" x14ac:dyDescent="0.3">
      <c r="A4926" s="50">
        <v>4922</v>
      </c>
      <c r="B4926" s="51">
        <f t="shared" ca="1" si="76"/>
        <v>0.37537599294578161</v>
      </c>
      <c r="C4926" s="48">
        <f t="array" aca="1" ref="C4926" ca="1">MAX(0,ROUND(Inputs!$B$10*Inputs!$B$11+NORMSINV(B4926)*SQRT(Inputs!$B$10*Inputs!$B$11),0))</f>
        <v>493</v>
      </c>
      <c r="D4926" s="52">
        <f ca="1">C4926*Inputs!$B$12</f>
        <v>59160000</v>
      </c>
    </row>
    <row r="4927" spans="1:4" ht="13.5" customHeight="1" x14ac:dyDescent="0.3">
      <c r="A4927" s="46">
        <v>4923</v>
      </c>
      <c r="B4927" s="47">
        <f t="shared" ca="1" si="76"/>
        <v>0.60942394929242805</v>
      </c>
      <c r="C4927" s="48">
        <f t="array" aca="1" ref="C4927" ca="1">MAX(0,ROUND(Inputs!$B$10*Inputs!$B$11+NORMSINV(B4927)*SQRT(Inputs!$B$10*Inputs!$B$11),0))</f>
        <v>506</v>
      </c>
      <c r="D4927" s="49">
        <f ca="1">C4927*Inputs!$B$12</f>
        <v>60720000</v>
      </c>
    </row>
    <row r="4928" spans="1:4" ht="13.5" customHeight="1" x14ac:dyDescent="0.3">
      <c r="A4928" s="50">
        <v>4924</v>
      </c>
      <c r="B4928" s="51">
        <f t="shared" ca="1" si="76"/>
        <v>0.99879329692987662</v>
      </c>
      <c r="C4928" s="48">
        <f t="array" aca="1" ref="C4928" ca="1">MAX(0,ROUND(Inputs!$B$10*Inputs!$B$11+NORMSINV(B4928)*SQRT(Inputs!$B$10*Inputs!$B$11),0))</f>
        <v>568</v>
      </c>
      <c r="D4928" s="52">
        <f ca="1">C4928*Inputs!$B$12</f>
        <v>68160000</v>
      </c>
    </row>
    <row r="4929" spans="1:4" ht="13.5" customHeight="1" x14ac:dyDescent="0.3">
      <c r="A4929" s="46">
        <v>4925</v>
      </c>
      <c r="B4929" s="47">
        <f t="shared" ca="1" si="76"/>
        <v>0.17207050293961279</v>
      </c>
      <c r="C4929" s="48">
        <f t="array" aca="1" ref="C4929" ca="1">MAX(0,ROUND(Inputs!$B$10*Inputs!$B$11+NORMSINV(B4929)*SQRT(Inputs!$B$10*Inputs!$B$11),0))</f>
        <v>479</v>
      </c>
      <c r="D4929" s="49">
        <f ca="1">C4929*Inputs!$B$12</f>
        <v>57480000</v>
      </c>
    </row>
    <row r="4930" spans="1:4" ht="13.5" customHeight="1" x14ac:dyDescent="0.3">
      <c r="A4930" s="50">
        <v>4926</v>
      </c>
      <c r="B4930" s="51">
        <f t="shared" ca="1" si="76"/>
        <v>0.78698712872676113</v>
      </c>
      <c r="C4930" s="48">
        <f t="array" aca="1" ref="C4930" ca="1">MAX(0,ROUND(Inputs!$B$10*Inputs!$B$11+NORMSINV(B4930)*SQRT(Inputs!$B$10*Inputs!$B$11),0))</f>
        <v>518</v>
      </c>
      <c r="D4930" s="52">
        <f ca="1">C4930*Inputs!$B$12</f>
        <v>62160000</v>
      </c>
    </row>
    <row r="4931" spans="1:4" ht="13.5" customHeight="1" x14ac:dyDescent="0.3">
      <c r="A4931" s="46">
        <v>4927</v>
      </c>
      <c r="B4931" s="47">
        <f t="shared" ca="1" si="76"/>
        <v>3.369428634357341E-2</v>
      </c>
      <c r="C4931" s="48">
        <f t="array" aca="1" ref="C4931" ca="1">MAX(0,ROUND(Inputs!$B$10*Inputs!$B$11+NORMSINV(B4931)*SQRT(Inputs!$B$10*Inputs!$B$11),0))</f>
        <v>459</v>
      </c>
      <c r="D4931" s="49">
        <f ca="1">C4931*Inputs!$B$12</f>
        <v>55080000</v>
      </c>
    </row>
    <row r="4932" spans="1:4" ht="13.5" customHeight="1" x14ac:dyDescent="0.3">
      <c r="A4932" s="50">
        <v>4928</v>
      </c>
      <c r="B4932" s="51">
        <f t="shared" ca="1" si="76"/>
        <v>0.21326126558120673</v>
      </c>
      <c r="C4932" s="48">
        <f t="array" aca="1" ref="C4932" ca="1">MAX(0,ROUND(Inputs!$B$10*Inputs!$B$11+NORMSINV(B4932)*SQRT(Inputs!$B$10*Inputs!$B$11),0))</f>
        <v>482</v>
      </c>
      <c r="D4932" s="52">
        <f ca="1">C4932*Inputs!$B$12</f>
        <v>57840000</v>
      </c>
    </row>
    <row r="4933" spans="1:4" ht="13.5" customHeight="1" x14ac:dyDescent="0.3">
      <c r="A4933" s="46">
        <v>4929</v>
      </c>
      <c r="B4933" s="47">
        <f t="shared" ref="B4933:B4996" ca="1" si="77">RAND()</f>
        <v>0.3979135350847266</v>
      </c>
      <c r="C4933" s="48">
        <f t="array" aca="1" ref="C4933" ca="1">MAX(0,ROUND(Inputs!$B$10*Inputs!$B$11+NORMSINV(B4933)*SQRT(Inputs!$B$10*Inputs!$B$11),0))</f>
        <v>494</v>
      </c>
      <c r="D4933" s="49">
        <f ca="1">C4933*Inputs!$B$12</f>
        <v>59280000</v>
      </c>
    </row>
    <row r="4934" spans="1:4" ht="13.5" customHeight="1" x14ac:dyDescent="0.3">
      <c r="A4934" s="50">
        <v>4930</v>
      </c>
      <c r="B4934" s="51">
        <f t="shared" ca="1" si="77"/>
        <v>0.77980045015214339</v>
      </c>
      <c r="C4934" s="48">
        <f t="array" aca="1" ref="C4934" ca="1">MAX(0,ROUND(Inputs!$B$10*Inputs!$B$11+NORMSINV(B4934)*SQRT(Inputs!$B$10*Inputs!$B$11),0))</f>
        <v>517</v>
      </c>
      <c r="D4934" s="52">
        <f ca="1">C4934*Inputs!$B$12</f>
        <v>62040000</v>
      </c>
    </row>
    <row r="4935" spans="1:4" ht="13.5" customHeight="1" x14ac:dyDescent="0.3">
      <c r="A4935" s="46">
        <v>4931</v>
      </c>
      <c r="B4935" s="47">
        <f t="shared" ca="1" si="77"/>
        <v>0.58486025864630198</v>
      </c>
      <c r="C4935" s="48">
        <f t="array" aca="1" ref="C4935" ca="1">MAX(0,ROUND(Inputs!$B$10*Inputs!$B$11+NORMSINV(B4935)*SQRT(Inputs!$B$10*Inputs!$B$11),0))</f>
        <v>505</v>
      </c>
      <c r="D4935" s="49">
        <f ca="1">C4935*Inputs!$B$12</f>
        <v>60600000</v>
      </c>
    </row>
    <row r="4936" spans="1:4" ht="13.5" customHeight="1" x14ac:dyDescent="0.3">
      <c r="A4936" s="50">
        <v>4932</v>
      </c>
      <c r="B4936" s="51">
        <f t="shared" ca="1" si="77"/>
        <v>0.38884904240773899</v>
      </c>
      <c r="C4936" s="48">
        <f t="array" aca="1" ref="C4936" ca="1">MAX(0,ROUND(Inputs!$B$10*Inputs!$B$11+NORMSINV(B4936)*SQRT(Inputs!$B$10*Inputs!$B$11),0))</f>
        <v>494</v>
      </c>
      <c r="D4936" s="52">
        <f ca="1">C4936*Inputs!$B$12</f>
        <v>59280000</v>
      </c>
    </row>
    <row r="4937" spans="1:4" ht="13.5" customHeight="1" x14ac:dyDescent="0.3">
      <c r="A4937" s="46">
        <v>4933</v>
      </c>
      <c r="B4937" s="47">
        <f t="shared" ca="1" si="77"/>
        <v>0.90269304485414081</v>
      </c>
      <c r="C4937" s="48">
        <f t="array" aca="1" ref="C4937" ca="1">MAX(0,ROUND(Inputs!$B$10*Inputs!$B$11+NORMSINV(B4937)*SQRT(Inputs!$B$10*Inputs!$B$11),0))</f>
        <v>529</v>
      </c>
      <c r="D4937" s="49">
        <f ca="1">C4937*Inputs!$B$12</f>
        <v>63480000</v>
      </c>
    </row>
    <row r="4938" spans="1:4" ht="13.5" customHeight="1" x14ac:dyDescent="0.3">
      <c r="A4938" s="50">
        <v>4934</v>
      </c>
      <c r="B4938" s="51">
        <f t="shared" ca="1" si="77"/>
        <v>0.24711119606105802</v>
      </c>
      <c r="C4938" s="48">
        <f t="array" aca="1" ref="C4938" ca="1">MAX(0,ROUND(Inputs!$B$10*Inputs!$B$11+NORMSINV(B4938)*SQRT(Inputs!$B$10*Inputs!$B$11),0))</f>
        <v>485</v>
      </c>
      <c r="D4938" s="52">
        <f ca="1">C4938*Inputs!$B$12</f>
        <v>58200000</v>
      </c>
    </row>
    <row r="4939" spans="1:4" ht="13.5" customHeight="1" x14ac:dyDescent="0.3">
      <c r="A4939" s="46">
        <v>4935</v>
      </c>
      <c r="B4939" s="47">
        <f t="shared" ca="1" si="77"/>
        <v>0.29674178099017123</v>
      </c>
      <c r="C4939" s="48">
        <f t="array" aca="1" ref="C4939" ca="1">MAX(0,ROUND(Inputs!$B$10*Inputs!$B$11+NORMSINV(B4939)*SQRT(Inputs!$B$10*Inputs!$B$11),0))</f>
        <v>488</v>
      </c>
      <c r="D4939" s="49">
        <f ca="1">C4939*Inputs!$B$12</f>
        <v>58560000</v>
      </c>
    </row>
    <row r="4940" spans="1:4" ht="13.5" customHeight="1" x14ac:dyDescent="0.3">
      <c r="A4940" s="50">
        <v>4936</v>
      </c>
      <c r="B4940" s="51">
        <f t="shared" ca="1" si="77"/>
        <v>0.82907683004266031</v>
      </c>
      <c r="C4940" s="48">
        <f t="array" aca="1" ref="C4940" ca="1">MAX(0,ROUND(Inputs!$B$10*Inputs!$B$11+NORMSINV(B4940)*SQRT(Inputs!$B$10*Inputs!$B$11),0))</f>
        <v>521</v>
      </c>
      <c r="D4940" s="52">
        <f ca="1">C4940*Inputs!$B$12</f>
        <v>62520000</v>
      </c>
    </row>
    <row r="4941" spans="1:4" ht="13.5" customHeight="1" x14ac:dyDescent="0.3">
      <c r="A4941" s="46">
        <v>4937</v>
      </c>
      <c r="B4941" s="47">
        <f t="shared" ca="1" si="77"/>
        <v>0.98238838785927374</v>
      </c>
      <c r="C4941" s="48">
        <f t="array" aca="1" ref="C4941" ca="1">MAX(0,ROUND(Inputs!$B$10*Inputs!$B$11+NORMSINV(B4941)*SQRT(Inputs!$B$10*Inputs!$B$11),0))</f>
        <v>547</v>
      </c>
      <c r="D4941" s="49">
        <f ca="1">C4941*Inputs!$B$12</f>
        <v>65640000</v>
      </c>
    </row>
    <row r="4942" spans="1:4" ht="13.5" customHeight="1" x14ac:dyDescent="0.3">
      <c r="A4942" s="50">
        <v>4938</v>
      </c>
      <c r="B4942" s="51">
        <f t="shared" ca="1" si="77"/>
        <v>9.1243761913616939E-2</v>
      </c>
      <c r="C4942" s="48">
        <f t="array" aca="1" ref="C4942" ca="1">MAX(0,ROUND(Inputs!$B$10*Inputs!$B$11+NORMSINV(B4942)*SQRT(Inputs!$B$10*Inputs!$B$11),0))</f>
        <v>470</v>
      </c>
      <c r="D4942" s="52">
        <f ca="1">C4942*Inputs!$B$12</f>
        <v>56400000</v>
      </c>
    </row>
    <row r="4943" spans="1:4" ht="13.5" customHeight="1" x14ac:dyDescent="0.3">
      <c r="A4943" s="46">
        <v>4939</v>
      </c>
      <c r="B4943" s="47">
        <f t="shared" ca="1" si="77"/>
        <v>0.84910815340455159</v>
      </c>
      <c r="C4943" s="48">
        <f t="array" aca="1" ref="C4943" ca="1">MAX(0,ROUND(Inputs!$B$10*Inputs!$B$11+NORMSINV(B4943)*SQRT(Inputs!$B$10*Inputs!$B$11),0))</f>
        <v>523</v>
      </c>
      <c r="D4943" s="49">
        <f ca="1">C4943*Inputs!$B$12</f>
        <v>62760000</v>
      </c>
    </row>
    <row r="4944" spans="1:4" ht="13.5" customHeight="1" x14ac:dyDescent="0.3">
      <c r="A4944" s="50">
        <v>4940</v>
      </c>
      <c r="B4944" s="51">
        <f t="shared" ca="1" si="77"/>
        <v>0.69768243005653829</v>
      </c>
      <c r="C4944" s="48">
        <f t="array" aca="1" ref="C4944" ca="1">MAX(0,ROUND(Inputs!$B$10*Inputs!$B$11+NORMSINV(B4944)*SQRT(Inputs!$B$10*Inputs!$B$11),0))</f>
        <v>512</v>
      </c>
      <c r="D4944" s="52">
        <f ca="1">C4944*Inputs!$B$12</f>
        <v>61440000</v>
      </c>
    </row>
    <row r="4945" spans="1:4" ht="13.5" customHeight="1" x14ac:dyDescent="0.3">
      <c r="A4945" s="46">
        <v>4941</v>
      </c>
      <c r="B4945" s="47">
        <f t="shared" ca="1" si="77"/>
        <v>0.84122160304939186</v>
      </c>
      <c r="C4945" s="48">
        <f t="array" aca="1" ref="C4945" ca="1">MAX(0,ROUND(Inputs!$B$10*Inputs!$B$11+NORMSINV(B4945)*SQRT(Inputs!$B$10*Inputs!$B$11),0))</f>
        <v>522</v>
      </c>
      <c r="D4945" s="49">
        <f ca="1">C4945*Inputs!$B$12</f>
        <v>62640000</v>
      </c>
    </row>
    <row r="4946" spans="1:4" ht="13.5" customHeight="1" x14ac:dyDescent="0.3">
      <c r="A4946" s="50">
        <v>4942</v>
      </c>
      <c r="B4946" s="51">
        <f t="shared" ca="1" si="77"/>
        <v>0.54360736171385116</v>
      </c>
      <c r="C4946" s="48">
        <f t="array" aca="1" ref="C4946" ca="1">MAX(0,ROUND(Inputs!$B$10*Inputs!$B$11+NORMSINV(B4946)*SQRT(Inputs!$B$10*Inputs!$B$11),0))</f>
        <v>502</v>
      </c>
      <c r="D4946" s="52">
        <f ca="1">C4946*Inputs!$B$12</f>
        <v>60240000</v>
      </c>
    </row>
    <row r="4947" spans="1:4" ht="13.5" customHeight="1" x14ac:dyDescent="0.3">
      <c r="A4947" s="46">
        <v>4943</v>
      </c>
      <c r="B4947" s="47">
        <f t="shared" ca="1" si="77"/>
        <v>0.17522916302938463</v>
      </c>
      <c r="C4947" s="48">
        <f t="array" aca="1" ref="C4947" ca="1">MAX(0,ROUND(Inputs!$B$10*Inputs!$B$11+NORMSINV(B4947)*SQRT(Inputs!$B$10*Inputs!$B$11),0))</f>
        <v>479</v>
      </c>
      <c r="D4947" s="49">
        <f ca="1">C4947*Inputs!$B$12</f>
        <v>57480000</v>
      </c>
    </row>
    <row r="4948" spans="1:4" ht="13.5" customHeight="1" x14ac:dyDescent="0.3">
      <c r="A4948" s="50">
        <v>4944</v>
      </c>
      <c r="B4948" s="51">
        <f t="shared" ca="1" si="77"/>
        <v>0.59691737318887539</v>
      </c>
      <c r="C4948" s="48">
        <f t="array" aca="1" ref="C4948" ca="1">MAX(0,ROUND(Inputs!$B$10*Inputs!$B$11+NORMSINV(B4948)*SQRT(Inputs!$B$10*Inputs!$B$11),0))</f>
        <v>505</v>
      </c>
      <c r="D4948" s="52">
        <f ca="1">C4948*Inputs!$B$12</f>
        <v>60600000</v>
      </c>
    </row>
    <row r="4949" spans="1:4" ht="13.5" customHeight="1" x14ac:dyDescent="0.3">
      <c r="A4949" s="46">
        <v>4945</v>
      </c>
      <c r="B4949" s="47">
        <f t="shared" ca="1" si="77"/>
        <v>0.65935650936093548</v>
      </c>
      <c r="C4949" s="48">
        <f t="array" aca="1" ref="C4949" ca="1">MAX(0,ROUND(Inputs!$B$10*Inputs!$B$11+NORMSINV(B4949)*SQRT(Inputs!$B$10*Inputs!$B$11),0))</f>
        <v>509</v>
      </c>
      <c r="D4949" s="49">
        <f ca="1">C4949*Inputs!$B$12</f>
        <v>61080000</v>
      </c>
    </row>
    <row r="4950" spans="1:4" ht="13.5" customHeight="1" x14ac:dyDescent="0.3">
      <c r="A4950" s="50">
        <v>4946</v>
      </c>
      <c r="B4950" s="51">
        <f t="shared" ca="1" si="77"/>
        <v>3.9843216816327076E-2</v>
      </c>
      <c r="C4950" s="48">
        <f t="array" aca="1" ref="C4950" ca="1">MAX(0,ROUND(Inputs!$B$10*Inputs!$B$11+NORMSINV(B4950)*SQRT(Inputs!$B$10*Inputs!$B$11),0))</f>
        <v>461</v>
      </c>
      <c r="D4950" s="52">
        <f ca="1">C4950*Inputs!$B$12</f>
        <v>55320000</v>
      </c>
    </row>
    <row r="4951" spans="1:4" ht="13.5" customHeight="1" x14ac:dyDescent="0.3">
      <c r="A4951" s="46">
        <v>4947</v>
      </c>
      <c r="B4951" s="47">
        <f t="shared" ca="1" si="77"/>
        <v>0.65075161949147986</v>
      </c>
      <c r="C4951" s="48">
        <f t="array" aca="1" ref="C4951" ca="1">MAX(0,ROUND(Inputs!$B$10*Inputs!$B$11+NORMSINV(B4951)*SQRT(Inputs!$B$10*Inputs!$B$11),0))</f>
        <v>509</v>
      </c>
      <c r="D4951" s="49">
        <f ca="1">C4951*Inputs!$B$12</f>
        <v>61080000</v>
      </c>
    </row>
    <row r="4952" spans="1:4" ht="13.5" customHeight="1" x14ac:dyDescent="0.3">
      <c r="A4952" s="50">
        <v>4948</v>
      </c>
      <c r="B4952" s="51">
        <f t="shared" ca="1" si="77"/>
        <v>0.91110780167811978</v>
      </c>
      <c r="C4952" s="48">
        <f t="array" aca="1" ref="C4952" ca="1">MAX(0,ROUND(Inputs!$B$10*Inputs!$B$11+NORMSINV(B4952)*SQRT(Inputs!$B$10*Inputs!$B$11),0))</f>
        <v>530</v>
      </c>
      <c r="D4952" s="52">
        <f ca="1">C4952*Inputs!$B$12</f>
        <v>63600000</v>
      </c>
    </row>
    <row r="4953" spans="1:4" ht="13.5" customHeight="1" x14ac:dyDescent="0.3">
      <c r="A4953" s="46">
        <v>4949</v>
      </c>
      <c r="B4953" s="47">
        <f t="shared" ca="1" si="77"/>
        <v>3.3285438289841762E-3</v>
      </c>
      <c r="C4953" s="48">
        <f t="array" aca="1" ref="C4953" ca="1">MAX(0,ROUND(Inputs!$B$10*Inputs!$B$11+NORMSINV(B4953)*SQRT(Inputs!$B$10*Inputs!$B$11),0))</f>
        <v>439</v>
      </c>
      <c r="D4953" s="49">
        <f ca="1">C4953*Inputs!$B$12</f>
        <v>52680000</v>
      </c>
    </row>
    <row r="4954" spans="1:4" ht="13.5" customHeight="1" x14ac:dyDescent="0.3">
      <c r="A4954" s="50">
        <v>4950</v>
      </c>
      <c r="B4954" s="51">
        <f t="shared" ca="1" si="77"/>
        <v>0.46919050135453666</v>
      </c>
      <c r="C4954" s="48">
        <f t="array" aca="1" ref="C4954" ca="1">MAX(0,ROUND(Inputs!$B$10*Inputs!$B$11+NORMSINV(B4954)*SQRT(Inputs!$B$10*Inputs!$B$11),0))</f>
        <v>498</v>
      </c>
      <c r="D4954" s="52">
        <f ca="1">C4954*Inputs!$B$12</f>
        <v>59760000</v>
      </c>
    </row>
    <row r="4955" spans="1:4" ht="13.5" customHeight="1" x14ac:dyDescent="0.3">
      <c r="A4955" s="46">
        <v>4951</v>
      </c>
      <c r="B4955" s="47">
        <f t="shared" ca="1" si="77"/>
        <v>0.24632394432362215</v>
      </c>
      <c r="C4955" s="48">
        <f t="array" aca="1" ref="C4955" ca="1">MAX(0,ROUND(Inputs!$B$10*Inputs!$B$11+NORMSINV(B4955)*SQRT(Inputs!$B$10*Inputs!$B$11),0))</f>
        <v>485</v>
      </c>
      <c r="D4955" s="49">
        <f ca="1">C4955*Inputs!$B$12</f>
        <v>58200000</v>
      </c>
    </row>
    <row r="4956" spans="1:4" ht="13.5" customHeight="1" x14ac:dyDescent="0.3">
      <c r="A4956" s="50">
        <v>4952</v>
      </c>
      <c r="B4956" s="51">
        <f t="shared" ca="1" si="77"/>
        <v>0.45713904360196589</v>
      </c>
      <c r="C4956" s="48">
        <f t="array" aca="1" ref="C4956" ca="1">MAX(0,ROUND(Inputs!$B$10*Inputs!$B$11+NORMSINV(B4956)*SQRT(Inputs!$B$10*Inputs!$B$11),0))</f>
        <v>498</v>
      </c>
      <c r="D4956" s="52">
        <f ca="1">C4956*Inputs!$B$12</f>
        <v>59760000</v>
      </c>
    </row>
    <row r="4957" spans="1:4" ht="13.5" customHeight="1" x14ac:dyDescent="0.3">
      <c r="A4957" s="46">
        <v>4953</v>
      </c>
      <c r="B4957" s="47">
        <f t="shared" ca="1" si="77"/>
        <v>0.54287966920546415</v>
      </c>
      <c r="C4957" s="48">
        <f t="array" aca="1" ref="C4957" ca="1">MAX(0,ROUND(Inputs!$B$10*Inputs!$B$11+NORMSINV(B4957)*SQRT(Inputs!$B$10*Inputs!$B$11),0))</f>
        <v>502</v>
      </c>
      <c r="D4957" s="49">
        <f ca="1">C4957*Inputs!$B$12</f>
        <v>60240000</v>
      </c>
    </row>
    <row r="4958" spans="1:4" ht="13.5" customHeight="1" x14ac:dyDescent="0.3">
      <c r="A4958" s="50">
        <v>4954</v>
      </c>
      <c r="B4958" s="51">
        <f t="shared" ca="1" si="77"/>
        <v>0.22235782231212986</v>
      </c>
      <c r="C4958" s="48">
        <f t="array" aca="1" ref="C4958" ca="1">MAX(0,ROUND(Inputs!$B$10*Inputs!$B$11+NORMSINV(B4958)*SQRT(Inputs!$B$10*Inputs!$B$11),0))</f>
        <v>483</v>
      </c>
      <c r="D4958" s="52">
        <f ca="1">C4958*Inputs!$B$12</f>
        <v>57960000</v>
      </c>
    </row>
    <row r="4959" spans="1:4" ht="13.5" customHeight="1" x14ac:dyDescent="0.3">
      <c r="A4959" s="46">
        <v>4955</v>
      </c>
      <c r="B4959" s="47">
        <f t="shared" ca="1" si="77"/>
        <v>0.82065217526857803</v>
      </c>
      <c r="C4959" s="48">
        <f t="array" aca="1" ref="C4959" ca="1">MAX(0,ROUND(Inputs!$B$10*Inputs!$B$11+NORMSINV(B4959)*SQRT(Inputs!$B$10*Inputs!$B$11),0))</f>
        <v>521</v>
      </c>
      <c r="D4959" s="49">
        <f ca="1">C4959*Inputs!$B$12</f>
        <v>62520000</v>
      </c>
    </row>
    <row r="4960" spans="1:4" ht="13.5" customHeight="1" x14ac:dyDescent="0.3">
      <c r="A4960" s="50">
        <v>4956</v>
      </c>
      <c r="B4960" s="51">
        <f t="shared" ca="1" si="77"/>
        <v>0.14033927510931343</v>
      </c>
      <c r="C4960" s="48">
        <f t="array" aca="1" ref="C4960" ca="1">MAX(0,ROUND(Inputs!$B$10*Inputs!$B$11+NORMSINV(B4960)*SQRT(Inputs!$B$10*Inputs!$B$11),0))</f>
        <v>476</v>
      </c>
      <c r="D4960" s="52">
        <f ca="1">C4960*Inputs!$B$12</f>
        <v>57120000</v>
      </c>
    </row>
    <row r="4961" spans="1:4" ht="13.5" customHeight="1" x14ac:dyDescent="0.3">
      <c r="A4961" s="46">
        <v>4957</v>
      </c>
      <c r="B4961" s="47">
        <f t="shared" ca="1" si="77"/>
        <v>0.32506271757162053</v>
      </c>
      <c r="C4961" s="48">
        <f t="array" aca="1" ref="C4961" ca="1">MAX(0,ROUND(Inputs!$B$10*Inputs!$B$11+NORMSINV(B4961)*SQRT(Inputs!$B$10*Inputs!$B$11),0))</f>
        <v>490</v>
      </c>
      <c r="D4961" s="49">
        <f ca="1">C4961*Inputs!$B$12</f>
        <v>58800000</v>
      </c>
    </row>
    <row r="4962" spans="1:4" ht="13.5" customHeight="1" x14ac:dyDescent="0.3">
      <c r="A4962" s="50">
        <v>4958</v>
      </c>
      <c r="B4962" s="51">
        <f t="shared" ca="1" si="77"/>
        <v>0.65062297489079846</v>
      </c>
      <c r="C4962" s="48">
        <f t="array" aca="1" ref="C4962" ca="1">MAX(0,ROUND(Inputs!$B$10*Inputs!$B$11+NORMSINV(B4962)*SQRT(Inputs!$B$10*Inputs!$B$11),0))</f>
        <v>509</v>
      </c>
      <c r="D4962" s="52">
        <f ca="1">C4962*Inputs!$B$12</f>
        <v>61080000</v>
      </c>
    </row>
    <row r="4963" spans="1:4" ht="13.5" customHeight="1" x14ac:dyDescent="0.3">
      <c r="A4963" s="46">
        <v>4959</v>
      </c>
      <c r="B4963" s="47">
        <f t="shared" ca="1" si="77"/>
        <v>0.31904877535132647</v>
      </c>
      <c r="C4963" s="48">
        <f t="array" aca="1" ref="C4963" ca="1">MAX(0,ROUND(Inputs!$B$10*Inputs!$B$11+NORMSINV(B4963)*SQRT(Inputs!$B$10*Inputs!$B$11),0))</f>
        <v>489</v>
      </c>
      <c r="D4963" s="49">
        <f ca="1">C4963*Inputs!$B$12</f>
        <v>58680000</v>
      </c>
    </row>
    <row r="4964" spans="1:4" ht="13.5" customHeight="1" x14ac:dyDescent="0.3">
      <c r="A4964" s="50">
        <v>4960</v>
      </c>
      <c r="B4964" s="51">
        <f t="shared" ca="1" si="77"/>
        <v>0.57884085476855274</v>
      </c>
      <c r="C4964" s="48">
        <f t="array" aca="1" ref="C4964" ca="1">MAX(0,ROUND(Inputs!$B$10*Inputs!$B$11+NORMSINV(B4964)*SQRT(Inputs!$B$10*Inputs!$B$11),0))</f>
        <v>504</v>
      </c>
      <c r="D4964" s="52">
        <f ca="1">C4964*Inputs!$B$12</f>
        <v>60480000</v>
      </c>
    </row>
    <row r="4965" spans="1:4" ht="13.5" customHeight="1" x14ac:dyDescent="0.3">
      <c r="A4965" s="46">
        <v>4961</v>
      </c>
      <c r="B4965" s="47">
        <f t="shared" ca="1" si="77"/>
        <v>0.40303291123503637</v>
      </c>
      <c r="C4965" s="48">
        <f t="array" aca="1" ref="C4965" ca="1">MAX(0,ROUND(Inputs!$B$10*Inputs!$B$11+NORMSINV(B4965)*SQRT(Inputs!$B$10*Inputs!$B$11),0))</f>
        <v>495</v>
      </c>
      <c r="D4965" s="49">
        <f ca="1">C4965*Inputs!$B$12</f>
        <v>59400000</v>
      </c>
    </row>
    <row r="4966" spans="1:4" ht="13.5" customHeight="1" x14ac:dyDescent="0.3">
      <c r="A4966" s="50">
        <v>4962</v>
      </c>
      <c r="B4966" s="51">
        <f t="shared" ca="1" si="77"/>
        <v>0.50512572744705497</v>
      </c>
      <c r="C4966" s="48">
        <f t="array" aca="1" ref="C4966" ca="1">MAX(0,ROUND(Inputs!$B$10*Inputs!$B$11+NORMSINV(B4966)*SQRT(Inputs!$B$10*Inputs!$B$11),0))</f>
        <v>500</v>
      </c>
      <c r="D4966" s="52">
        <f ca="1">C4966*Inputs!$B$12</f>
        <v>60000000</v>
      </c>
    </row>
    <row r="4967" spans="1:4" ht="13.5" customHeight="1" x14ac:dyDescent="0.3">
      <c r="A4967" s="46">
        <v>4963</v>
      </c>
      <c r="B4967" s="47">
        <f t="shared" ca="1" si="77"/>
        <v>0.81164582290042186</v>
      </c>
      <c r="C4967" s="48">
        <f t="array" aca="1" ref="C4967" ca="1">MAX(0,ROUND(Inputs!$B$10*Inputs!$B$11+NORMSINV(B4967)*SQRT(Inputs!$B$10*Inputs!$B$11),0))</f>
        <v>520</v>
      </c>
      <c r="D4967" s="49">
        <f ca="1">C4967*Inputs!$B$12</f>
        <v>62400000</v>
      </c>
    </row>
    <row r="4968" spans="1:4" ht="13.5" customHeight="1" x14ac:dyDescent="0.3">
      <c r="A4968" s="50">
        <v>4964</v>
      </c>
      <c r="B4968" s="51">
        <f t="shared" ca="1" si="77"/>
        <v>0.17764897898572085</v>
      </c>
      <c r="C4968" s="48">
        <f t="array" aca="1" ref="C4968" ca="1">MAX(0,ROUND(Inputs!$B$10*Inputs!$B$11+NORMSINV(B4968)*SQRT(Inputs!$B$10*Inputs!$B$11),0))</f>
        <v>479</v>
      </c>
      <c r="D4968" s="52">
        <f ca="1">C4968*Inputs!$B$12</f>
        <v>57480000</v>
      </c>
    </row>
    <row r="4969" spans="1:4" ht="13.5" customHeight="1" x14ac:dyDescent="0.3">
      <c r="A4969" s="46">
        <v>4965</v>
      </c>
      <c r="B4969" s="47">
        <f t="shared" ca="1" si="77"/>
        <v>0.29371740340379882</v>
      </c>
      <c r="C4969" s="48">
        <f t="array" aca="1" ref="C4969" ca="1">MAX(0,ROUND(Inputs!$B$10*Inputs!$B$11+NORMSINV(B4969)*SQRT(Inputs!$B$10*Inputs!$B$11),0))</f>
        <v>488</v>
      </c>
      <c r="D4969" s="49">
        <f ca="1">C4969*Inputs!$B$12</f>
        <v>58560000</v>
      </c>
    </row>
    <row r="4970" spans="1:4" ht="13.5" customHeight="1" x14ac:dyDescent="0.3">
      <c r="A4970" s="50">
        <v>4966</v>
      </c>
      <c r="B4970" s="51">
        <f t="shared" ca="1" si="77"/>
        <v>6.7986125737138359E-2</v>
      </c>
      <c r="C4970" s="48">
        <f t="array" aca="1" ref="C4970" ca="1">MAX(0,ROUND(Inputs!$B$10*Inputs!$B$11+NORMSINV(B4970)*SQRT(Inputs!$B$10*Inputs!$B$11),0))</f>
        <v>467</v>
      </c>
      <c r="D4970" s="52">
        <f ca="1">C4970*Inputs!$B$12</f>
        <v>56040000</v>
      </c>
    </row>
    <row r="4971" spans="1:4" ht="13.5" customHeight="1" x14ac:dyDescent="0.3">
      <c r="A4971" s="46">
        <v>4967</v>
      </c>
      <c r="B4971" s="47">
        <f t="shared" ca="1" si="77"/>
        <v>0.87697273691306876</v>
      </c>
      <c r="C4971" s="48">
        <f t="array" aca="1" ref="C4971" ca="1">MAX(0,ROUND(Inputs!$B$10*Inputs!$B$11+NORMSINV(B4971)*SQRT(Inputs!$B$10*Inputs!$B$11),0))</f>
        <v>526</v>
      </c>
      <c r="D4971" s="49">
        <f ca="1">C4971*Inputs!$B$12</f>
        <v>63120000</v>
      </c>
    </row>
    <row r="4972" spans="1:4" ht="13.5" customHeight="1" x14ac:dyDescent="0.3">
      <c r="A4972" s="50">
        <v>4968</v>
      </c>
      <c r="B4972" s="51">
        <f t="shared" ca="1" si="77"/>
        <v>0.52810601883830921</v>
      </c>
      <c r="C4972" s="48">
        <f t="array" aca="1" ref="C4972" ca="1">MAX(0,ROUND(Inputs!$B$10*Inputs!$B$11+NORMSINV(B4972)*SQRT(Inputs!$B$10*Inputs!$B$11),0))</f>
        <v>502</v>
      </c>
      <c r="D4972" s="52">
        <f ca="1">C4972*Inputs!$B$12</f>
        <v>60240000</v>
      </c>
    </row>
    <row r="4973" spans="1:4" ht="13.5" customHeight="1" x14ac:dyDescent="0.3">
      <c r="A4973" s="46">
        <v>4969</v>
      </c>
      <c r="B4973" s="47">
        <f t="shared" ca="1" si="77"/>
        <v>0.20858485782343428</v>
      </c>
      <c r="C4973" s="48">
        <f t="array" aca="1" ref="C4973" ca="1">MAX(0,ROUND(Inputs!$B$10*Inputs!$B$11+NORMSINV(B4973)*SQRT(Inputs!$B$10*Inputs!$B$11),0))</f>
        <v>482</v>
      </c>
      <c r="D4973" s="49">
        <f ca="1">C4973*Inputs!$B$12</f>
        <v>57840000</v>
      </c>
    </row>
    <row r="4974" spans="1:4" ht="13.5" customHeight="1" x14ac:dyDescent="0.3">
      <c r="A4974" s="50">
        <v>4970</v>
      </c>
      <c r="B4974" s="51">
        <f t="shared" ca="1" si="77"/>
        <v>0.48173764437557354</v>
      </c>
      <c r="C4974" s="48">
        <f t="array" aca="1" ref="C4974" ca="1">MAX(0,ROUND(Inputs!$B$10*Inputs!$B$11+NORMSINV(B4974)*SQRT(Inputs!$B$10*Inputs!$B$11),0))</f>
        <v>499</v>
      </c>
      <c r="D4974" s="52">
        <f ca="1">C4974*Inputs!$B$12</f>
        <v>59880000</v>
      </c>
    </row>
    <row r="4975" spans="1:4" ht="13.5" customHeight="1" x14ac:dyDescent="0.3">
      <c r="A4975" s="46">
        <v>4971</v>
      </c>
      <c r="B4975" s="47">
        <f t="shared" ca="1" si="77"/>
        <v>0.24854374956096004</v>
      </c>
      <c r="C4975" s="48">
        <f t="array" aca="1" ref="C4975" ca="1">MAX(0,ROUND(Inputs!$B$10*Inputs!$B$11+NORMSINV(B4975)*SQRT(Inputs!$B$10*Inputs!$B$11),0))</f>
        <v>485</v>
      </c>
      <c r="D4975" s="49">
        <f ca="1">C4975*Inputs!$B$12</f>
        <v>58200000</v>
      </c>
    </row>
    <row r="4976" spans="1:4" ht="13.5" customHeight="1" x14ac:dyDescent="0.3">
      <c r="A4976" s="50">
        <v>4972</v>
      </c>
      <c r="B4976" s="51">
        <f t="shared" ca="1" si="77"/>
        <v>0.66364332536039994</v>
      </c>
      <c r="C4976" s="48">
        <f t="array" aca="1" ref="C4976" ca="1">MAX(0,ROUND(Inputs!$B$10*Inputs!$B$11+NORMSINV(B4976)*SQRT(Inputs!$B$10*Inputs!$B$11),0))</f>
        <v>509</v>
      </c>
      <c r="D4976" s="52">
        <f ca="1">C4976*Inputs!$B$12</f>
        <v>61080000</v>
      </c>
    </row>
    <row r="4977" spans="1:4" ht="13.5" customHeight="1" x14ac:dyDescent="0.3">
      <c r="A4977" s="46">
        <v>4973</v>
      </c>
      <c r="B4977" s="47">
        <f t="shared" ca="1" si="77"/>
        <v>0.89143538720777549</v>
      </c>
      <c r="C4977" s="48">
        <f t="array" aca="1" ref="C4977" ca="1">MAX(0,ROUND(Inputs!$B$10*Inputs!$B$11+NORMSINV(B4977)*SQRT(Inputs!$B$10*Inputs!$B$11),0))</f>
        <v>528</v>
      </c>
      <c r="D4977" s="49">
        <f ca="1">C4977*Inputs!$B$12</f>
        <v>63360000</v>
      </c>
    </row>
    <row r="4978" spans="1:4" ht="13.5" customHeight="1" x14ac:dyDescent="0.3">
      <c r="A4978" s="50">
        <v>4974</v>
      </c>
      <c r="B4978" s="51">
        <f t="shared" ca="1" si="77"/>
        <v>0.85519321887590249</v>
      </c>
      <c r="C4978" s="48">
        <f t="array" aca="1" ref="C4978" ca="1">MAX(0,ROUND(Inputs!$B$10*Inputs!$B$11+NORMSINV(B4978)*SQRT(Inputs!$B$10*Inputs!$B$11),0))</f>
        <v>524</v>
      </c>
      <c r="D4978" s="52">
        <f ca="1">C4978*Inputs!$B$12</f>
        <v>62880000</v>
      </c>
    </row>
    <row r="4979" spans="1:4" ht="13.5" customHeight="1" x14ac:dyDescent="0.3">
      <c r="A4979" s="46">
        <v>4975</v>
      </c>
      <c r="B4979" s="47">
        <f t="shared" ca="1" si="77"/>
        <v>0.88870087858998736</v>
      </c>
      <c r="C4979" s="48">
        <f t="array" aca="1" ref="C4979" ca="1">MAX(0,ROUND(Inputs!$B$10*Inputs!$B$11+NORMSINV(B4979)*SQRT(Inputs!$B$10*Inputs!$B$11),0))</f>
        <v>527</v>
      </c>
      <c r="D4979" s="49">
        <f ca="1">C4979*Inputs!$B$12</f>
        <v>63240000</v>
      </c>
    </row>
    <row r="4980" spans="1:4" ht="13.5" customHeight="1" x14ac:dyDescent="0.3">
      <c r="A4980" s="50">
        <v>4976</v>
      </c>
      <c r="B4980" s="51">
        <f t="shared" ca="1" si="77"/>
        <v>1.4986952070318527E-2</v>
      </c>
      <c r="C4980" s="48">
        <f t="array" aca="1" ref="C4980" ca="1">MAX(0,ROUND(Inputs!$B$10*Inputs!$B$11+NORMSINV(B4980)*SQRT(Inputs!$B$10*Inputs!$B$11),0))</f>
        <v>451</v>
      </c>
      <c r="D4980" s="52">
        <f ca="1">C4980*Inputs!$B$12</f>
        <v>54120000</v>
      </c>
    </row>
    <row r="4981" spans="1:4" ht="13.5" customHeight="1" x14ac:dyDescent="0.3">
      <c r="A4981" s="46">
        <v>4977</v>
      </c>
      <c r="B4981" s="47">
        <f t="shared" ca="1" si="77"/>
        <v>0.20885577897802943</v>
      </c>
      <c r="C4981" s="48">
        <f t="array" aca="1" ref="C4981" ca="1">MAX(0,ROUND(Inputs!$B$10*Inputs!$B$11+NORMSINV(B4981)*SQRT(Inputs!$B$10*Inputs!$B$11),0))</f>
        <v>482</v>
      </c>
      <c r="D4981" s="49">
        <f ca="1">C4981*Inputs!$B$12</f>
        <v>57840000</v>
      </c>
    </row>
    <row r="4982" spans="1:4" ht="13.5" customHeight="1" x14ac:dyDescent="0.3">
      <c r="A4982" s="50">
        <v>4978</v>
      </c>
      <c r="B4982" s="51">
        <f t="shared" ca="1" si="77"/>
        <v>8.4211524208415267E-2</v>
      </c>
      <c r="C4982" s="48">
        <f t="array" aca="1" ref="C4982" ca="1">MAX(0,ROUND(Inputs!$B$10*Inputs!$B$11+NORMSINV(B4982)*SQRT(Inputs!$B$10*Inputs!$B$11),0))</f>
        <v>469</v>
      </c>
      <c r="D4982" s="52">
        <f ca="1">C4982*Inputs!$B$12</f>
        <v>56280000</v>
      </c>
    </row>
    <row r="4983" spans="1:4" ht="13.5" customHeight="1" x14ac:dyDescent="0.3">
      <c r="A4983" s="46">
        <v>4979</v>
      </c>
      <c r="B4983" s="47">
        <f t="shared" ca="1" si="77"/>
        <v>0.65236722095903754</v>
      </c>
      <c r="C4983" s="48">
        <f t="array" aca="1" ref="C4983" ca="1">MAX(0,ROUND(Inputs!$B$10*Inputs!$B$11+NORMSINV(B4983)*SQRT(Inputs!$B$10*Inputs!$B$11),0))</f>
        <v>509</v>
      </c>
      <c r="D4983" s="49">
        <f ca="1">C4983*Inputs!$B$12</f>
        <v>61080000</v>
      </c>
    </row>
    <row r="4984" spans="1:4" ht="13.5" customHeight="1" x14ac:dyDescent="0.3">
      <c r="A4984" s="50">
        <v>4980</v>
      </c>
      <c r="B4984" s="51">
        <f t="shared" ca="1" si="77"/>
        <v>0.8534976122136303</v>
      </c>
      <c r="C4984" s="48">
        <f t="array" aca="1" ref="C4984" ca="1">MAX(0,ROUND(Inputs!$B$10*Inputs!$B$11+NORMSINV(B4984)*SQRT(Inputs!$B$10*Inputs!$B$11),0))</f>
        <v>524</v>
      </c>
      <c r="D4984" s="52">
        <f ca="1">C4984*Inputs!$B$12</f>
        <v>62880000</v>
      </c>
    </row>
    <row r="4985" spans="1:4" ht="13.5" customHeight="1" x14ac:dyDescent="0.3">
      <c r="A4985" s="46">
        <v>4981</v>
      </c>
      <c r="B4985" s="47">
        <f t="shared" ca="1" si="77"/>
        <v>0.63354046462465807</v>
      </c>
      <c r="C4985" s="48">
        <f t="array" aca="1" ref="C4985" ca="1">MAX(0,ROUND(Inputs!$B$10*Inputs!$B$11+NORMSINV(B4985)*SQRT(Inputs!$B$10*Inputs!$B$11),0))</f>
        <v>508</v>
      </c>
      <c r="D4985" s="49">
        <f ca="1">C4985*Inputs!$B$12</f>
        <v>60960000</v>
      </c>
    </row>
    <row r="4986" spans="1:4" ht="13.5" customHeight="1" x14ac:dyDescent="0.3">
      <c r="A4986" s="50">
        <v>4982</v>
      </c>
      <c r="B4986" s="51">
        <f t="shared" ca="1" si="77"/>
        <v>0.1704860415264936</v>
      </c>
      <c r="C4986" s="48">
        <f t="array" aca="1" ref="C4986" ca="1">MAX(0,ROUND(Inputs!$B$10*Inputs!$B$11+NORMSINV(B4986)*SQRT(Inputs!$B$10*Inputs!$B$11),0))</f>
        <v>479</v>
      </c>
      <c r="D4986" s="52">
        <f ca="1">C4986*Inputs!$B$12</f>
        <v>57480000</v>
      </c>
    </row>
    <row r="4987" spans="1:4" ht="13.5" customHeight="1" x14ac:dyDescent="0.3">
      <c r="A4987" s="46">
        <v>4983</v>
      </c>
      <c r="B4987" s="47">
        <f t="shared" ca="1" si="77"/>
        <v>0.47093890117713899</v>
      </c>
      <c r="C4987" s="48">
        <f t="array" aca="1" ref="C4987" ca="1">MAX(0,ROUND(Inputs!$B$10*Inputs!$B$11+NORMSINV(B4987)*SQRT(Inputs!$B$10*Inputs!$B$11),0))</f>
        <v>498</v>
      </c>
      <c r="D4987" s="49">
        <f ca="1">C4987*Inputs!$B$12</f>
        <v>59760000</v>
      </c>
    </row>
    <row r="4988" spans="1:4" ht="13.5" customHeight="1" x14ac:dyDescent="0.3">
      <c r="A4988" s="50">
        <v>4984</v>
      </c>
      <c r="B4988" s="51">
        <f t="shared" ca="1" si="77"/>
        <v>0.59623244636596096</v>
      </c>
      <c r="C4988" s="48">
        <f t="array" aca="1" ref="C4988" ca="1">MAX(0,ROUND(Inputs!$B$10*Inputs!$B$11+NORMSINV(B4988)*SQRT(Inputs!$B$10*Inputs!$B$11),0))</f>
        <v>505</v>
      </c>
      <c r="D4988" s="52">
        <f ca="1">C4988*Inputs!$B$12</f>
        <v>60600000</v>
      </c>
    </row>
    <row r="4989" spans="1:4" ht="13.5" customHeight="1" x14ac:dyDescent="0.3">
      <c r="A4989" s="46">
        <v>4985</v>
      </c>
      <c r="B4989" s="47">
        <f t="shared" ca="1" si="77"/>
        <v>0.21909255366822789</v>
      </c>
      <c r="C4989" s="48">
        <f t="array" aca="1" ref="C4989" ca="1">MAX(0,ROUND(Inputs!$B$10*Inputs!$B$11+NORMSINV(B4989)*SQRT(Inputs!$B$10*Inputs!$B$11),0))</f>
        <v>483</v>
      </c>
      <c r="D4989" s="49">
        <f ca="1">C4989*Inputs!$B$12</f>
        <v>57960000</v>
      </c>
    </row>
    <row r="4990" spans="1:4" ht="13.5" customHeight="1" x14ac:dyDescent="0.3">
      <c r="A4990" s="50">
        <v>4986</v>
      </c>
      <c r="B4990" s="51">
        <f t="shared" ca="1" si="77"/>
        <v>0.4272462770696126</v>
      </c>
      <c r="C4990" s="48">
        <f t="array" aca="1" ref="C4990" ca="1">MAX(0,ROUND(Inputs!$B$10*Inputs!$B$11+NORMSINV(B4990)*SQRT(Inputs!$B$10*Inputs!$B$11),0))</f>
        <v>496</v>
      </c>
      <c r="D4990" s="52">
        <f ca="1">C4990*Inputs!$B$12</f>
        <v>59520000</v>
      </c>
    </row>
    <row r="4991" spans="1:4" ht="13.5" customHeight="1" x14ac:dyDescent="0.3">
      <c r="A4991" s="46">
        <v>4987</v>
      </c>
      <c r="B4991" s="47">
        <f t="shared" ca="1" si="77"/>
        <v>0.20967587181699288</v>
      </c>
      <c r="C4991" s="48">
        <f t="array" aca="1" ref="C4991" ca="1">MAX(0,ROUND(Inputs!$B$10*Inputs!$B$11+NORMSINV(B4991)*SQRT(Inputs!$B$10*Inputs!$B$11),0))</f>
        <v>482</v>
      </c>
      <c r="D4991" s="49">
        <f ca="1">C4991*Inputs!$B$12</f>
        <v>57840000</v>
      </c>
    </row>
    <row r="4992" spans="1:4" ht="13.5" customHeight="1" x14ac:dyDescent="0.3">
      <c r="A4992" s="50">
        <v>4988</v>
      </c>
      <c r="B4992" s="51">
        <f t="shared" ca="1" si="77"/>
        <v>0.61693739179319451</v>
      </c>
      <c r="C4992" s="48">
        <f t="array" aca="1" ref="C4992" ca="1">MAX(0,ROUND(Inputs!$B$10*Inputs!$B$11+NORMSINV(B4992)*SQRT(Inputs!$B$10*Inputs!$B$11),0))</f>
        <v>507</v>
      </c>
      <c r="D4992" s="52">
        <f ca="1">C4992*Inputs!$B$12</f>
        <v>60840000</v>
      </c>
    </row>
    <row r="4993" spans="1:4" ht="13.5" customHeight="1" x14ac:dyDescent="0.3">
      <c r="A4993" s="46">
        <v>4989</v>
      </c>
      <c r="B4993" s="47">
        <f t="shared" ca="1" si="77"/>
        <v>7.8079138804053372E-2</v>
      </c>
      <c r="C4993" s="48">
        <f t="array" aca="1" ref="C4993" ca="1">MAX(0,ROUND(Inputs!$B$10*Inputs!$B$11+NORMSINV(B4993)*SQRT(Inputs!$B$10*Inputs!$B$11),0))</f>
        <v>468</v>
      </c>
      <c r="D4993" s="49">
        <f ca="1">C4993*Inputs!$B$12</f>
        <v>56160000</v>
      </c>
    </row>
    <row r="4994" spans="1:4" ht="13.5" customHeight="1" x14ac:dyDescent="0.3">
      <c r="A4994" s="50">
        <v>4990</v>
      </c>
      <c r="B4994" s="51">
        <f t="shared" ca="1" si="77"/>
        <v>5.9253113560990611E-2</v>
      </c>
      <c r="C4994" s="48">
        <f t="array" aca="1" ref="C4994" ca="1">MAX(0,ROUND(Inputs!$B$10*Inputs!$B$11+NORMSINV(B4994)*SQRT(Inputs!$B$10*Inputs!$B$11),0))</f>
        <v>465</v>
      </c>
      <c r="D4994" s="52">
        <f ca="1">C4994*Inputs!$B$12</f>
        <v>55800000</v>
      </c>
    </row>
    <row r="4995" spans="1:4" ht="13.5" customHeight="1" x14ac:dyDescent="0.3">
      <c r="A4995" s="46">
        <v>4991</v>
      </c>
      <c r="B4995" s="47">
        <f t="shared" ca="1" si="77"/>
        <v>0.96405672682509103</v>
      </c>
      <c r="C4995" s="48">
        <f t="array" aca="1" ref="C4995" ca="1">MAX(0,ROUND(Inputs!$B$10*Inputs!$B$11+NORMSINV(B4995)*SQRT(Inputs!$B$10*Inputs!$B$11),0))</f>
        <v>540</v>
      </c>
      <c r="D4995" s="49">
        <f ca="1">C4995*Inputs!$B$12</f>
        <v>64800000</v>
      </c>
    </row>
    <row r="4996" spans="1:4" ht="13.5" customHeight="1" x14ac:dyDescent="0.3">
      <c r="A4996" s="50">
        <v>4992</v>
      </c>
      <c r="B4996" s="51">
        <f t="shared" ca="1" si="77"/>
        <v>0.86572097477344045</v>
      </c>
      <c r="C4996" s="48">
        <f t="array" aca="1" ref="C4996" ca="1">MAX(0,ROUND(Inputs!$B$10*Inputs!$B$11+NORMSINV(B4996)*SQRT(Inputs!$B$10*Inputs!$B$11),0))</f>
        <v>525</v>
      </c>
      <c r="D4996" s="52">
        <f ca="1">C4996*Inputs!$B$12</f>
        <v>63000000</v>
      </c>
    </row>
    <row r="4997" spans="1:4" ht="13.5" customHeight="1" x14ac:dyDescent="0.3">
      <c r="A4997" s="46">
        <v>4993</v>
      </c>
      <c r="B4997" s="47">
        <f t="shared" ref="B4997:B5004" ca="1" si="78">RAND()</f>
        <v>0.93820618909289244</v>
      </c>
      <c r="C4997" s="48">
        <f t="array" aca="1" ref="C4997" ca="1">MAX(0,ROUND(Inputs!$B$10*Inputs!$B$11+NORMSINV(B4997)*SQRT(Inputs!$B$10*Inputs!$B$11),0))</f>
        <v>534</v>
      </c>
      <c r="D4997" s="49">
        <f ca="1">C4997*Inputs!$B$12</f>
        <v>64080000</v>
      </c>
    </row>
    <row r="4998" spans="1:4" ht="13.5" customHeight="1" x14ac:dyDescent="0.3">
      <c r="A4998" s="50">
        <v>4994</v>
      </c>
      <c r="B4998" s="51">
        <f t="shared" ca="1" si="78"/>
        <v>0.98927775832322917</v>
      </c>
      <c r="C4998" s="48">
        <f t="array" aca="1" ref="C4998" ca="1">MAX(0,ROUND(Inputs!$B$10*Inputs!$B$11+NORMSINV(B4998)*SQRT(Inputs!$B$10*Inputs!$B$11),0))</f>
        <v>551</v>
      </c>
      <c r="D4998" s="52">
        <f ca="1">C4998*Inputs!$B$12</f>
        <v>66120000</v>
      </c>
    </row>
    <row r="4999" spans="1:4" ht="13.5" customHeight="1" x14ac:dyDescent="0.3">
      <c r="A4999" s="46">
        <v>4995</v>
      </c>
      <c r="B4999" s="47">
        <f t="shared" ca="1" si="78"/>
        <v>0.75260890177103412</v>
      </c>
      <c r="C4999" s="48">
        <f t="array" aca="1" ref="C4999" ca="1">MAX(0,ROUND(Inputs!$B$10*Inputs!$B$11+NORMSINV(B4999)*SQRT(Inputs!$B$10*Inputs!$B$11),0))</f>
        <v>515</v>
      </c>
      <c r="D4999" s="49">
        <f ca="1">C4999*Inputs!$B$12</f>
        <v>61800000</v>
      </c>
    </row>
    <row r="5000" spans="1:4" ht="13.5" customHeight="1" x14ac:dyDescent="0.3">
      <c r="A5000" s="50">
        <v>4996</v>
      </c>
      <c r="B5000" s="51">
        <f t="shared" ca="1" si="78"/>
        <v>0.58121705430545112</v>
      </c>
      <c r="C5000" s="48">
        <f t="array" aca="1" ref="C5000" ca="1">MAX(0,ROUND(Inputs!$B$10*Inputs!$B$11+NORMSINV(B5000)*SQRT(Inputs!$B$10*Inputs!$B$11),0))</f>
        <v>505</v>
      </c>
      <c r="D5000" s="52">
        <f ca="1">C5000*Inputs!$B$12</f>
        <v>60600000</v>
      </c>
    </row>
    <row r="5001" spans="1:4" ht="13.5" customHeight="1" x14ac:dyDescent="0.3">
      <c r="A5001" s="46">
        <v>4997</v>
      </c>
      <c r="B5001" s="47">
        <f t="shared" ca="1" si="78"/>
        <v>0.18388662939880496</v>
      </c>
      <c r="C5001" s="48">
        <f t="array" aca="1" ref="C5001" ca="1">MAX(0,ROUND(Inputs!$B$10*Inputs!$B$11+NORMSINV(B5001)*SQRT(Inputs!$B$10*Inputs!$B$11),0))</f>
        <v>480</v>
      </c>
      <c r="D5001" s="49">
        <f ca="1">C5001*Inputs!$B$12</f>
        <v>57600000</v>
      </c>
    </row>
    <row r="5002" spans="1:4" ht="13.5" customHeight="1" x14ac:dyDescent="0.3">
      <c r="A5002" s="50">
        <v>4998</v>
      </c>
      <c r="B5002" s="51">
        <f t="shared" ca="1" si="78"/>
        <v>0.44812727787623619</v>
      </c>
      <c r="C5002" s="48">
        <f t="array" aca="1" ref="C5002" ca="1">MAX(0,ROUND(Inputs!$B$10*Inputs!$B$11+NORMSINV(B5002)*SQRT(Inputs!$B$10*Inputs!$B$11),0))</f>
        <v>497</v>
      </c>
      <c r="D5002" s="52">
        <f ca="1">C5002*Inputs!$B$12</f>
        <v>59640000</v>
      </c>
    </row>
    <row r="5003" spans="1:4" ht="13.5" customHeight="1" x14ac:dyDescent="0.3">
      <c r="A5003" s="46">
        <v>4999</v>
      </c>
      <c r="B5003" s="47">
        <f t="shared" ca="1" si="78"/>
        <v>0.43458592646602157</v>
      </c>
      <c r="C5003" s="48">
        <f t="array" aca="1" ref="C5003" ca="1">MAX(0,ROUND(Inputs!$B$10*Inputs!$B$11+NORMSINV(B5003)*SQRT(Inputs!$B$10*Inputs!$B$11),0))</f>
        <v>496</v>
      </c>
      <c r="D5003" s="49">
        <f ca="1">C5003*Inputs!$B$12</f>
        <v>59520000</v>
      </c>
    </row>
    <row r="5004" spans="1:4" ht="13.5" customHeight="1" x14ac:dyDescent="0.3">
      <c r="A5004" s="50">
        <v>5000</v>
      </c>
      <c r="B5004" s="51">
        <f t="shared" ca="1" si="78"/>
        <v>0.88199259799736074</v>
      </c>
      <c r="C5004" s="48">
        <f t="array" aca="1" ref="C5004" ca="1">MAX(0,ROUND(Inputs!$B$10*Inputs!$B$11+NORMSINV(B5004)*SQRT(Inputs!$B$10*Inputs!$B$11),0))</f>
        <v>526</v>
      </c>
      <c r="D5004" s="52">
        <f ca="1">C5004*Inputs!$B$12</f>
        <v>63120000</v>
      </c>
    </row>
  </sheetData>
  <mergeCells count="4">
    <mergeCell ref="F15:G15"/>
    <mergeCell ref="A2:G2"/>
    <mergeCell ref="F14:G14"/>
    <mergeCell ref="A1:G1"/>
  </mergeCells>
  <pageMargins left="0.75" right="0.75" top="1" bottom="1"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sheetPr>
  <dimension ref="A1:H19"/>
  <sheetViews>
    <sheetView showGridLines="0" zoomScaleNormal="100" workbookViewId="0">
      <pane ySplit="2" topLeftCell="A3" activePane="bottomLeft" state="frozen"/>
      <selection pane="bottomLeft" activeCell="C17" sqref="C17"/>
    </sheetView>
  </sheetViews>
  <sheetFormatPr defaultColWidth="8.6640625" defaultRowHeight="14.4" x14ac:dyDescent="0.3"/>
  <cols>
    <col min="1" max="1" width="3" customWidth="1"/>
    <col min="2" max="2" width="36" customWidth="1"/>
    <col min="3" max="6" width="18" customWidth="1"/>
  </cols>
  <sheetData>
    <row r="1" spans="1:6" ht="30" customHeight="1" x14ac:dyDescent="0.3">
      <c r="A1" s="93" t="s">
        <v>193</v>
      </c>
      <c r="B1" s="75"/>
      <c r="C1" s="75"/>
      <c r="D1" s="75"/>
      <c r="E1" s="75"/>
      <c r="F1" s="73"/>
    </row>
    <row r="2" spans="1:6" ht="15.75" customHeight="1" x14ac:dyDescent="0.3">
      <c r="A2" s="87" t="s">
        <v>194</v>
      </c>
      <c r="B2" s="79"/>
      <c r="C2" s="79"/>
      <c r="D2" s="79"/>
      <c r="E2" s="79"/>
      <c r="F2" s="79"/>
    </row>
    <row r="4" spans="1:6" ht="18" customHeight="1" x14ac:dyDescent="0.3">
      <c r="A4" s="85" t="s">
        <v>195</v>
      </c>
      <c r="B4" s="75"/>
      <c r="C4" s="75"/>
      <c r="D4" s="75"/>
      <c r="E4" s="75"/>
      <c r="F4" s="73"/>
    </row>
    <row r="5" spans="1:6" ht="19.5" customHeight="1" x14ac:dyDescent="0.3">
      <c r="B5" s="2" t="s">
        <v>71</v>
      </c>
      <c r="C5" s="2" t="s">
        <v>99</v>
      </c>
      <c r="D5" s="2" t="s">
        <v>21</v>
      </c>
      <c r="E5" s="2" t="s">
        <v>22</v>
      </c>
      <c r="F5" s="2" t="s">
        <v>196</v>
      </c>
    </row>
    <row r="6" spans="1:6" ht="18" customHeight="1" x14ac:dyDescent="0.3">
      <c r="B6" s="4" t="s">
        <v>197</v>
      </c>
      <c r="C6" s="22">
        <f>Inputs!D9</f>
        <v>100000000</v>
      </c>
      <c r="D6" s="35">
        <f>Inputs!E9</f>
        <v>120000000</v>
      </c>
      <c r="E6" s="24">
        <f>Inputs!F9</f>
        <v>80000000</v>
      </c>
      <c r="F6" s="37">
        <f t="shared" ref="F6:F17" si="0">E6-C6</f>
        <v>-20000000</v>
      </c>
    </row>
    <row r="7" spans="1:6" ht="18" customHeight="1" x14ac:dyDescent="0.3">
      <c r="B7" s="7" t="s">
        <v>198</v>
      </c>
      <c r="C7" s="54">
        <f>Inputs!D10</f>
        <v>50000</v>
      </c>
      <c r="D7" s="55">
        <f>Inputs!E10</f>
        <v>60000</v>
      </c>
      <c r="E7" s="56">
        <f>Inputs!F10</f>
        <v>40000</v>
      </c>
      <c r="F7" s="57">
        <f t="shared" si="0"/>
        <v>-10000</v>
      </c>
    </row>
    <row r="8" spans="1:6" ht="18" customHeight="1" x14ac:dyDescent="0.3">
      <c r="B8" s="7" t="s">
        <v>199</v>
      </c>
      <c r="C8" s="26">
        <f>Inputs!D11</f>
        <v>0.01</v>
      </c>
      <c r="D8" s="25">
        <f>Inputs!E11</f>
        <v>5.0000000000000001E-3</v>
      </c>
      <c r="E8" s="27">
        <f>Inputs!F11</f>
        <v>0.02</v>
      </c>
      <c r="F8" s="58">
        <f t="shared" si="0"/>
        <v>0.01</v>
      </c>
    </row>
    <row r="9" spans="1:6" ht="18" customHeight="1" x14ac:dyDescent="0.3">
      <c r="B9" s="7" t="s">
        <v>200</v>
      </c>
      <c r="C9" s="29">
        <f>Inputs!D12</f>
        <v>120000</v>
      </c>
      <c r="D9" s="28">
        <f>Inputs!E12</f>
        <v>100000</v>
      </c>
      <c r="E9" s="23">
        <f>Inputs!F12</f>
        <v>150000</v>
      </c>
      <c r="F9" s="38">
        <f t="shared" si="0"/>
        <v>30000</v>
      </c>
    </row>
    <row r="10" spans="1:6" ht="18" customHeight="1" x14ac:dyDescent="0.3">
      <c r="B10" s="7" t="s">
        <v>201</v>
      </c>
      <c r="C10" s="54">
        <f>Inputs!D10*Inputs!D11</f>
        <v>500</v>
      </c>
      <c r="D10" s="55">
        <f>Inputs!E10*Inputs!E11</f>
        <v>300</v>
      </c>
      <c r="E10" s="56">
        <f>Inputs!F10*Inputs!F11</f>
        <v>800</v>
      </c>
      <c r="F10" s="57">
        <f t="shared" si="0"/>
        <v>300</v>
      </c>
    </row>
    <row r="11" spans="1:6" ht="18" customHeight="1" x14ac:dyDescent="0.3">
      <c r="B11" s="7" t="s">
        <v>202</v>
      </c>
      <c r="C11" s="29">
        <f>(Inputs!D10*Inputs!D11*Inputs!D12)</f>
        <v>60000000</v>
      </c>
      <c r="D11" s="28">
        <f>(Inputs!E10*Inputs!E11*Inputs!E12)</f>
        <v>30000000</v>
      </c>
      <c r="E11" s="23">
        <f>(Inputs!F10*Inputs!F11*Inputs!F12)</f>
        <v>120000000</v>
      </c>
      <c r="F11" s="38">
        <f t="shared" si="0"/>
        <v>60000000</v>
      </c>
    </row>
    <row r="12" spans="1:6" ht="18" customHeight="1" x14ac:dyDescent="0.3">
      <c r="B12" s="7" t="s">
        <v>203</v>
      </c>
      <c r="C12" s="29">
        <f>(Inputs!D9*Inputs!D13)</f>
        <v>30000000</v>
      </c>
      <c r="D12" s="28">
        <f>(Inputs!E9*Inputs!E13)</f>
        <v>33600000</v>
      </c>
      <c r="E12" s="23">
        <f>(Inputs!F9*Inputs!F13)</f>
        <v>26400000</v>
      </c>
      <c r="F12" s="38">
        <f t="shared" si="0"/>
        <v>-3600000</v>
      </c>
    </row>
    <row r="13" spans="1:6" ht="18" customHeight="1" x14ac:dyDescent="0.3">
      <c r="B13" s="7" t="s">
        <v>204</v>
      </c>
      <c r="C13" s="29">
        <f>(Inputs!D9*Inputs!D16)</f>
        <v>8000000</v>
      </c>
      <c r="D13" s="28">
        <f>(Inputs!E9*Inputs!E16)</f>
        <v>8400000</v>
      </c>
      <c r="E13" s="23">
        <f>(Inputs!F9*Inputs!F16)</f>
        <v>8000000</v>
      </c>
      <c r="F13" s="38">
        <f t="shared" si="0"/>
        <v>0</v>
      </c>
    </row>
    <row r="14" spans="1:6" ht="18" customHeight="1" x14ac:dyDescent="0.3">
      <c r="B14" s="4" t="s">
        <v>85</v>
      </c>
      <c r="C14" s="22">
        <f>(Inputs!D9-(Inputs!D10*Inputs!D11*Inputs!D12)-(Inputs!D9*Inputs!D13)-(Inputs!D9*Inputs!D16))</f>
        <v>2000000</v>
      </c>
      <c r="D14" s="35">
        <f>(Inputs!E9-(Inputs!E10*Inputs!E11*Inputs!E12)-(Inputs!E9*Inputs!E13)-(Inputs!E9*Inputs!E16))</f>
        <v>48000000</v>
      </c>
      <c r="E14" s="24">
        <f>(Inputs!F9-(Inputs!F10*Inputs!F11*Inputs!F12)-(Inputs!F9*Inputs!F13)-(Inputs!F9*Inputs!F16))</f>
        <v>-74400000</v>
      </c>
      <c r="F14" s="37">
        <f t="shared" si="0"/>
        <v>-76400000</v>
      </c>
    </row>
    <row r="15" spans="1:6" ht="18" customHeight="1" x14ac:dyDescent="0.3">
      <c r="B15" s="7" t="s">
        <v>55</v>
      </c>
      <c r="C15" s="31">
        <f>(Inputs!D10*Inputs!D11*Inputs!D12)/Inputs!D9</f>
        <v>0.6</v>
      </c>
      <c r="D15" s="30">
        <f>(Inputs!E10*Inputs!E11*Inputs!E12)/Inputs!E9</f>
        <v>0.25</v>
      </c>
      <c r="E15" s="32">
        <f>(Inputs!F10*Inputs!F11*Inputs!F12)/Inputs!F9</f>
        <v>1.5</v>
      </c>
      <c r="F15" s="39">
        <f t="shared" si="0"/>
        <v>0.9</v>
      </c>
    </row>
    <row r="16" spans="1:6" ht="18" customHeight="1" x14ac:dyDescent="0.3">
      <c r="B16" s="7" t="s">
        <v>35</v>
      </c>
      <c r="C16" s="31">
        <f>Inputs!D13</f>
        <v>0.3</v>
      </c>
      <c r="D16" s="30">
        <f>Inputs!E13</f>
        <v>0.28000000000000003</v>
      </c>
      <c r="E16" s="32">
        <f>Inputs!F13</f>
        <v>0.33</v>
      </c>
      <c r="F16" s="39">
        <f t="shared" si="0"/>
        <v>3.0000000000000027E-2</v>
      </c>
    </row>
    <row r="17" spans="1:8" ht="18" customHeight="1" x14ac:dyDescent="0.3">
      <c r="B17" s="4" t="s">
        <v>12</v>
      </c>
      <c r="C17" s="17">
        <f>((Inputs!D10*Inputs!D11*Inputs!D12)+(Inputs!D9*Inputs!D13)+(Inputs!D9*Inputs!D16))/Inputs!D9</f>
        <v>0.98</v>
      </c>
      <c r="D17" s="33">
        <f>((Inputs!E10*Inputs!E11*Inputs!E12)+(Inputs!E9*Inputs!E13)+(Inputs!E9*Inputs!E16))/Inputs!E9</f>
        <v>0.6</v>
      </c>
      <c r="E17" s="34">
        <f>((Inputs!F10*Inputs!F11*Inputs!F12)+(Inputs!F9*Inputs!F13)+(Inputs!F9*Inputs!F16))/Inputs!F9</f>
        <v>1.93</v>
      </c>
      <c r="F17" s="59">
        <f t="shared" si="0"/>
        <v>0.95</v>
      </c>
    </row>
    <row r="18" spans="1:8" ht="7.5" customHeight="1" x14ac:dyDescent="0.3">
      <c r="A18" s="3"/>
      <c r="B18" s="3"/>
      <c r="C18" s="3"/>
      <c r="D18" s="3"/>
      <c r="E18" s="3"/>
      <c r="F18" s="3"/>
      <c r="G18" s="3"/>
      <c r="H18" s="3"/>
    </row>
    <row r="19" spans="1:8" ht="13.5" customHeight="1" x14ac:dyDescent="0.3">
      <c r="A19" s="92" t="s">
        <v>205</v>
      </c>
      <c r="B19" s="75"/>
      <c r="C19" s="75"/>
      <c r="D19" s="75"/>
      <c r="E19" s="75"/>
      <c r="F19" s="73"/>
    </row>
  </sheetData>
  <mergeCells count="4">
    <mergeCell ref="A19:F19"/>
    <mergeCell ref="A2:F2"/>
    <mergeCell ref="A1:F1"/>
    <mergeCell ref="A4:F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55A11"/>
  </sheetPr>
  <dimension ref="A1:F21"/>
  <sheetViews>
    <sheetView showGridLines="0" zoomScaleNormal="100" workbookViewId="0">
      <pane ySplit="2" topLeftCell="A3" activePane="bottomLeft" state="frozen"/>
      <selection pane="bottomLeft" activeCell="B6" sqref="B6"/>
    </sheetView>
  </sheetViews>
  <sheetFormatPr defaultColWidth="8.6640625" defaultRowHeight="14.4" x14ac:dyDescent="0.3"/>
  <cols>
    <col min="1" max="1" width="3" customWidth="1"/>
    <col min="2" max="2" width="32" customWidth="1"/>
    <col min="3" max="3" width="20" customWidth="1"/>
    <col min="4" max="4" width="3" customWidth="1"/>
    <col min="5" max="5" width="32" customWidth="1"/>
    <col min="6" max="6" width="20" customWidth="1"/>
  </cols>
  <sheetData>
    <row r="1" spans="1:6" ht="30" customHeight="1" x14ac:dyDescent="0.3">
      <c r="A1" s="88" t="s">
        <v>206</v>
      </c>
      <c r="B1" s="89"/>
      <c r="C1" s="89"/>
      <c r="D1" s="89"/>
      <c r="E1" s="89"/>
      <c r="F1" s="90"/>
    </row>
    <row r="2" spans="1:6" ht="15.75" customHeight="1" x14ac:dyDescent="0.3">
      <c r="A2" s="87" t="s">
        <v>207</v>
      </c>
      <c r="B2" s="79"/>
      <c r="C2" s="79"/>
      <c r="D2" s="79"/>
      <c r="E2" s="79"/>
      <c r="F2" s="79"/>
    </row>
    <row r="4" spans="1:6" ht="15" customHeight="1" x14ac:dyDescent="0.3">
      <c r="A4" s="85" t="s">
        <v>208</v>
      </c>
      <c r="B4" s="75"/>
      <c r="C4" s="75"/>
      <c r="D4" s="75"/>
      <c r="E4" s="75"/>
      <c r="F4" s="73"/>
    </row>
    <row r="5" spans="1:6" ht="13.5" customHeight="1" x14ac:dyDescent="0.3">
      <c r="B5" s="60" t="s">
        <v>51</v>
      </c>
      <c r="C5" s="61"/>
      <c r="E5" s="60" t="s">
        <v>209</v>
      </c>
      <c r="F5" s="61"/>
    </row>
    <row r="6" spans="1:6" ht="21.75" customHeight="1" x14ac:dyDescent="0.3">
      <c r="B6" s="62">
        <f>Calculations!B11</f>
        <v>2000000</v>
      </c>
      <c r="C6" s="63"/>
      <c r="E6" s="62">
        <f ca="1">Simulation!G8</f>
        <v>64560000</v>
      </c>
      <c r="F6" s="63"/>
    </row>
    <row r="7" spans="1:6" ht="7.5" customHeight="1" x14ac:dyDescent="0.3"/>
    <row r="8" spans="1:6" ht="13.5" customHeight="1" x14ac:dyDescent="0.3">
      <c r="B8" s="60" t="s">
        <v>55</v>
      </c>
      <c r="C8" s="61"/>
      <c r="E8" s="60" t="s">
        <v>296</v>
      </c>
      <c r="F8" s="61"/>
    </row>
    <row r="9" spans="1:6" ht="21.75" customHeight="1" x14ac:dyDescent="0.3">
      <c r="B9" s="64">
        <f>Calculations!B15</f>
        <v>0.6</v>
      </c>
      <c r="C9" s="63"/>
      <c r="E9" s="62">
        <f ca="1">Simulation!G9</f>
        <v>66960000</v>
      </c>
      <c r="F9" s="63"/>
    </row>
    <row r="10" spans="1:6" ht="7.5" customHeight="1" x14ac:dyDescent="0.3"/>
    <row r="11" spans="1:6" ht="13.5" customHeight="1" x14ac:dyDescent="0.3">
      <c r="B11" s="60" t="s">
        <v>12</v>
      </c>
      <c r="C11" s="61"/>
      <c r="E11" s="60" t="s">
        <v>210</v>
      </c>
      <c r="F11" s="61"/>
    </row>
    <row r="12" spans="1:6" ht="21.75" customHeight="1" x14ac:dyDescent="0.3">
      <c r="B12" s="64">
        <f>Calculations!B18</f>
        <v>0.98</v>
      </c>
      <c r="C12" s="63"/>
      <c r="E12" s="64">
        <f ca="1">Simulation!G10</f>
        <v>0</v>
      </c>
      <c r="F12" s="63"/>
    </row>
    <row r="13" spans="1:6" ht="7.5" customHeight="1" x14ac:dyDescent="0.3"/>
    <row r="14" spans="1:6" ht="13.5" customHeight="1" x14ac:dyDescent="0.3">
      <c r="B14" s="60" t="s">
        <v>50</v>
      </c>
      <c r="C14" s="61"/>
      <c r="E14" s="60" t="s">
        <v>211</v>
      </c>
      <c r="F14" s="61"/>
    </row>
    <row r="15" spans="1:6" ht="21.75" customHeight="1" x14ac:dyDescent="0.3">
      <c r="B15" s="62">
        <f>Calculations!B10</f>
        <v>8000000</v>
      </c>
      <c r="C15" s="63"/>
      <c r="E15" s="64">
        <f>Calculations!C25</f>
        <v>0</v>
      </c>
      <c r="F15" s="63"/>
    </row>
    <row r="16" spans="1:6" ht="7.5" customHeight="1" x14ac:dyDescent="0.3"/>
    <row r="17" spans="1:6" ht="12" customHeight="1" x14ac:dyDescent="0.3">
      <c r="B17" t="s">
        <v>212</v>
      </c>
      <c r="C17" t="str">
        <f>IF('Pricing Adequacy'!C26&gt;=1,"✓ ADEQUATE","✗ UNDER-PRICED — Rate increase required")</f>
        <v>✗ UNDER-PRICED — Rate increase required</v>
      </c>
    </row>
    <row r="18" spans="1:6" ht="15" customHeight="1" x14ac:dyDescent="0.3">
      <c r="A18" s="85" t="s">
        <v>213</v>
      </c>
      <c r="B18" s="75"/>
      <c r="C18" s="75"/>
      <c r="D18" s="75"/>
      <c r="E18" s="75"/>
      <c r="F18" s="73"/>
    </row>
    <row r="19" spans="1:6" ht="18" customHeight="1" x14ac:dyDescent="0.3">
      <c r="B19" s="7" t="s">
        <v>214</v>
      </c>
      <c r="C19" s="1" t="str">
        <f>IF(Calculations!B11&gt;0,"✓ PROFITABLE","✗ LOSS-MAKING")</f>
        <v>✓ PROFITABLE</v>
      </c>
    </row>
    <row r="20" spans="1:6" ht="18" customHeight="1" x14ac:dyDescent="0.3">
      <c r="B20" s="7" t="s">
        <v>215</v>
      </c>
      <c r="C20" s="1" t="str">
        <f>IF(Calculations!B18&lt;=0.95,"✓ ON TARGET",IF(Calculations!B18&lt;1,"⚠ WATCH","✗ UNPROFITABLE"))</f>
        <v>⚠ WATCH</v>
      </c>
    </row>
    <row r="21" spans="1:6" ht="18" customHeight="1" x14ac:dyDescent="0.3">
      <c r="B21" s="7" t="s">
        <v>216</v>
      </c>
      <c r="C21" s="65" t="str">
        <f>Inputs!B5</f>
        <v>Base</v>
      </c>
    </row>
  </sheetData>
  <mergeCells count="4">
    <mergeCell ref="A2:F2"/>
    <mergeCell ref="A1:F1"/>
    <mergeCell ref="A18:F18"/>
    <mergeCell ref="A4:F4"/>
  </mergeCells>
  <pageMargins left="0.75" right="0.75" top="1" bottom="1"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95959"/>
  </sheetPr>
  <dimension ref="A1:C49"/>
  <sheetViews>
    <sheetView showGridLines="0" tabSelected="1" zoomScale="76" zoomScaleNormal="76" workbookViewId="0">
      <pane ySplit="2" topLeftCell="A27" activePane="bottomLeft" state="frozen"/>
      <selection pane="bottomLeft" activeCell="C29" sqref="C29"/>
    </sheetView>
  </sheetViews>
  <sheetFormatPr defaultColWidth="8.6640625" defaultRowHeight="14.4" x14ac:dyDescent="0.3"/>
  <cols>
    <col min="1" max="1" width="3" customWidth="1"/>
    <col min="2" max="2" width="30" customWidth="1"/>
    <col min="3" max="3" width="89.21875" customWidth="1"/>
  </cols>
  <sheetData>
    <row r="1" spans="1:3" ht="31.5" customHeight="1" x14ac:dyDescent="0.3">
      <c r="A1" s="93" t="s">
        <v>217</v>
      </c>
      <c r="B1" s="75"/>
      <c r="C1" s="73"/>
    </row>
    <row r="2" spans="1:3" ht="15.75" customHeight="1" x14ac:dyDescent="0.3">
      <c r="A2" s="87" t="s">
        <v>218</v>
      </c>
      <c r="B2" s="79"/>
      <c r="C2" s="79"/>
    </row>
    <row r="3" spans="1:3" ht="6" customHeight="1" x14ac:dyDescent="0.3">
      <c r="A3" s="3"/>
      <c r="B3" s="3"/>
      <c r="C3" s="3"/>
    </row>
    <row r="4" spans="1:3" ht="18" customHeight="1" x14ac:dyDescent="0.3">
      <c r="A4" s="85" t="s">
        <v>219</v>
      </c>
      <c r="B4" s="75"/>
      <c r="C4" s="73"/>
    </row>
    <row r="5" spans="1:3" ht="60" customHeight="1" x14ac:dyDescent="0.3">
      <c r="B5" s="66" t="s">
        <v>220</v>
      </c>
      <c r="C5" s="67" t="s">
        <v>221</v>
      </c>
    </row>
    <row r="6" spans="1:3" ht="75.599999999999994" customHeight="1" x14ac:dyDescent="0.3">
      <c r="B6" s="66" t="s">
        <v>222</v>
      </c>
      <c r="C6" s="67" t="s">
        <v>223</v>
      </c>
    </row>
    <row r="7" spans="1:3" ht="49.2" customHeight="1" x14ac:dyDescent="0.3">
      <c r="B7" s="66" t="s">
        <v>224</v>
      </c>
      <c r="C7" s="67" t="s">
        <v>225</v>
      </c>
    </row>
    <row r="8" spans="1:3" ht="47.4" customHeight="1" x14ac:dyDescent="0.3">
      <c r="B8" s="66" t="s">
        <v>226</v>
      </c>
      <c r="C8" s="67" t="s">
        <v>227</v>
      </c>
    </row>
    <row r="9" spans="1:3" ht="6" customHeight="1" x14ac:dyDescent="0.3">
      <c r="A9" s="3"/>
      <c r="B9" s="3"/>
      <c r="C9" s="3"/>
    </row>
    <row r="10" spans="1:3" ht="18" customHeight="1" x14ac:dyDescent="0.3">
      <c r="A10" s="85" t="s">
        <v>228</v>
      </c>
      <c r="B10" s="75"/>
      <c r="C10" s="73"/>
    </row>
    <row r="11" spans="1:3" ht="48" customHeight="1" x14ac:dyDescent="0.3">
      <c r="B11" s="66" t="s">
        <v>229</v>
      </c>
      <c r="C11" s="67" t="s">
        <v>230</v>
      </c>
    </row>
    <row r="12" spans="1:3" ht="33" customHeight="1" x14ac:dyDescent="0.3">
      <c r="B12" s="66" t="s">
        <v>231</v>
      </c>
      <c r="C12" s="67" t="s">
        <v>232</v>
      </c>
    </row>
    <row r="13" spans="1:3" ht="34.799999999999997" customHeight="1" x14ac:dyDescent="0.3">
      <c r="B13" s="66" t="s">
        <v>233</v>
      </c>
      <c r="C13" s="67" t="s">
        <v>234</v>
      </c>
    </row>
    <row r="14" spans="1:3" ht="45" customHeight="1" x14ac:dyDescent="0.3">
      <c r="B14" s="66" t="s">
        <v>235</v>
      </c>
      <c r="C14" s="67" t="s">
        <v>236</v>
      </c>
    </row>
    <row r="15" spans="1:3" ht="45" customHeight="1" x14ac:dyDescent="0.3">
      <c r="B15" s="66" t="s">
        <v>237</v>
      </c>
      <c r="C15" s="67" t="s">
        <v>238</v>
      </c>
    </row>
    <row r="16" spans="1:3" ht="33" customHeight="1" x14ac:dyDescent="0.3">
      <c r="B16" s="66" t="s">
        <v>239</v>
      </c>
      <c r="C16" s="67" t="s">
        <v>297</v>
      </c>
    </row>
    <row r="17" spans="1:3" ht="45" customHeight="1" x14ac:dyDescent="0.3">
      <c r="B17" s="66" t="s">
        <v>240</v>
      </c>
      <c r="C17" s="67" t="s">
        <v>303</v>
      </c>
    </row>
    <row r="18" spans="1:3" ht="31.2" customHeight="1" x14ac:dyDescent="0.3">
      <c r="B18" s="66" t="s">
        <v>241</v>
      </c>
      <c r="C18" s="67" t="s">
        <v>242</v>
      </c>
    </row>
    <row r="19" spans="1:3" ht="18" customHeight="1" x14ac:dyDescent="0.3">
      <c r="B19" s="66" t="s">
        <v>243</v>
      </c>
      <c r="C19" s="67" t="s">
        <v>244</v>
      </c>
    </row>
    <row r="20" spans="1:3" ht="21.6" customHeight="1" x14ac:dyDescent="0.3">
      <c r="B20" s="66" t="s">
        <v>245</v>
      </c>
      <c r="C20" s="67" t="s">
        <v>246</v>
      </c>
    </row>
    <row r="21" spans="1:3" ht="6" customHeight="1" x14ac:dyDescent="0.3">
      <c r="A21" s="3"/>
      <c r="B21" s="3"/>
      <c r="C21" s="3"/>
    </row>
    <row r="22" spans="1:3" ht="18" customHeight="1" x14ac:dyDescent="0.3">
      <c r="A22" s="85" t="s">
        <v>247</v>
      </c>
      <c r="B22" s="75"/>
      <c r="C22" s="73"/>
    </row>
    <row r="23" spans="1:3" ht="49.5" customHeight="1" x14ac:dyDescent="0.3">
      <c r="B23" s="66" t="s">
        <v>201</v>
      </c>
      <c r="C23" s="67" t="s">
        <v>248</v>
      </c>
    </row>
    <row r="24" spans="1:3" ht="174" customHeight="1" x14ac:dyDescent="0.3">
      <c r="B24" s="66" t="s">
        <v>249</v>
      </c>
      <c r="C24" s="67" t="s">
        <v>250</v>
      </c>
    </row>
    <row r="25" spans="1:3" ht="97.2" customHeight="1" x14ac:dyDescent="0.3">
      <c r="B25" s="66" t="s">
        <v>251</v>
      </c>
      <c r="C25" s="67" t="s">
        <v>252</v>
      </c>
    </row>
    <row r="26" spans="1:3" ht="125.4" customHeight="1" x14ac:dyDescent="0.3">
      <c r="B26" s="66" t="s">
        <v>253</v>
      </c>
      <c r="C26" s="67" t="s">
        <v>254</v>
      </c>
    </row>
    <row r="27" spans="1:3" ht="82.2" customHeight="1" x14ac:dyDescent="0.3">
      <c r="B27" s="66" t="s">
        <v>255</v>
      </c>
      <c r="C27" s="67" t="s">
        <v>304</v>
      </c>
    </row>
    <row r="28" spans="1:3" ht="103.8" customHeight="1" x14ac:dyDescent="0.3">
      <c r="B28" s="66" t="s">
        <v>256</v>
      </c>
      <c r="C28" s="67" t="s">
        <v>257</v>
      </c>
    </row>
    <row r="29" spans="1:3" ht="141" customHeight="1" x14ac:dyDescent="0.3">
      <c r="B29" s="66" t="s">
        <v>258</v>
      </c>
      <c r="C29" s="67" t="s">
        <v>312</v>
      </c>
    </row>
    <row r="30" spans="1:3" ht="6" customHeight="1" x14ac:dyDescent="0.3">
      <c r="A30" s="3"/>
      <c r="B30" s="3"/>
      <c r="C30" s="3"/>
    </row>
    <row r="31" spans="1:3" ht="18" customHeight="1" x14ac:dyDescent="0.3">
      <c r="A31" s="85" t="s">
        <v>259</v>
      </c>
      <c r="B31" s="75"/>
      <c r="C31" s="73"/>
    </row>
    <row r="32" spans="1:3" ht="21.75" customHeight="1" x14ac:dyDescent="0.3">
      <c r="B32" s="66" t="s">
        <v>260</v>
      </c>
      <c r="C32" s="67" t="s">
        <v>261</v>
      </c>
    </row>
    <row r="33" spans="1:3" ht="21.75" customHeight="1" x14ac:dyDescent="0.3">
      <c r="B33" s="66" t="s">
        <v>262</v>
      </c>
      <c r="C33" s="67" t="s">
        <v>263</v>
      </c>
    </row>
    <row r="34" spans="1:3" ht="21.75" customHeight="1" x14ac:dyDescent="0.3">
      <c r="B34" s="66" t="s">
        <v>264</v>
      </c>
      <c r="C34" s="67" t="s">
        <v>265</v>
      </c>
    </row>
    <row r="35" spans="1:3" ht="21.75" customHeight="1" x14ac:dyDescent="0.3">
      <c r="B35" s="66" t="s">
        <v>266</v>
      </c>
      <c r="C35" s="67" t="s">
        <v>267</v>
      </c>
    </row>
    <row r="36" spans="1:3" ht="21.75" customHeight="1" x14ac:dyDescent="0.3">
      <c r="B36" s="66" t="s">
        <v>268</v>
      </c>
      <c r="C36" s="67" t="s">
        <v>269</v>
      </c>
    </row>
    <row r="37" spans="1:3" ht="21.75" customHeight="1" x14ac:dyDescent="0.3">
      <c r="B37" s="66" t="s">
        <v>270</v>
      </c>
      <c r="C37" s="67" t="s">
        <v>271</v>
      </c>
    </row>
    <row r="38" spans="1:3" ht="21.75" customHeight="1" x14ac:dyDescent="0.3">
      <c r="B38" s="66" t="s">
        <v>272</v>
      </c>
      <c r="C38" s="67" t="s">
        <v>273</v>
      </c>
    </row>
    <row r="39" spans="1:3" ht="21.75" customHeight="1" x14ac:dyDescent="0.3">
      <c r="B39" s="66" t="s">
        <v>274</v>
      </c>
      <c r="C39" s="67" t="s">
        <v>275</v>
      </c>
    </row>
    <row r="40" spans="1:3" ht="21.75" customHeight="1" x14ac:dyDescent="0.3">
      <c r="B40" s="66" t="s">
        <v>276</v>
      </c>
      <c r="C40" s="67" t="s">
        <v>277</v>
      </c>
    </row>
    <row r="41" spans="1:3" ht="6" customHeight="1" x14ac:dyDescent="0.3">
      <c r="A41" s="3"/>
      <c r="B41" s="3"/>
      <c r="C41" s="3"/>
    </row>
    <row r="42" spans="1:3" ht="18" customHeight="1" x14ac:dyDescent="0.3">
      <c r="A42" s="85" t="s">
        <v>278</v>
      </c>
      <c r="B42" s="75"/>
      <c r="C42" s="73"/>
    </row>
    <row r="43" spans="1:3" ht="33" customHeight="1" x14ac:dyDescent="0.3">
      <c r="B43" s="66" t="s">
        <v>279</v>
      </c>
      <c r="C43" s="67" t="s">
        <v>305</v>
      </c>
    </row>
    <row r="44" spans="1:3" ht="32.4" customHeight="1" x14ac:dyDescent="0.3">
      <c r="B44" s="66" t="s">
        <v>280</v>
      </c>
      <c r="C44" s="67" t="s">
        <v>281</v>
      </c>
    </row>
    <row r="45" spans="1:3" ht="34.5" customHeight="1" x14ac:dyDescent="0.3">
      <c r="B45" s="66" t="s">
        <v>282</v>
      </c>
      <c r="C45" s="67" t="s">
        <v>283</v>
      </c>
    </row>
    <row r="46" spans="1:3" ht="30.6" customHeight="1" x14ac:dyDescent="0.3">
      <c r="B46" s="66" t="s">
        <v>284</v>
      </c>
      <c r="C46" s="67" t="s">
        <v>285</v>
      </c>
    </row>
    <row r="47" spans="1:3" ht="32.4" customHeight="1" x14ac:dyDescent="0.3">
      <c r="B47" s="66" t="s">
        <v>286</v>
      </c>
      <c r="C47" s="67" t="s">
        <v>287</v>
      </c>
    </row>
    <row r="48" spans="1:3" ht="29.4" customHeight="1" x14ac:dyDescent="0.3">
      <c r="B48" s="66" t="s">
        <v>288</v>
      </c>
      <c r="C48" s="67" t="s">
        <v>289</v>
      </c>
    </row>
    <row r="49" spans="2:3" ht="43.8" customHeight="1" x14ac:dyDescent="0.3">
      <c r="B49" s="68" t="s">
        <v>300</v>
      </c>
      <c r="C49" s="69" t="s">
        <v>301</v>
      </c>
    </row>
  </sheetData>
  <mergeCells count="7">
    <mergeCell ref="A10:C10"/>
    <mergeCell ref="A42:C42"/>
    <mergeCell ref="A1:C1"/>
    <mergeCell ref="A31:C31"/>
    <mergeCell ref="A22:C22"/>
    <mergeCell ref="A4:C4"/>
    <mergeCell ref="A2:C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Management Summary</vt:lpstr>
      <vt:lpstr>Inputs</vt:lpstr>
      <vt:lpstr>Calculations</vt:lpstr>
      <vt:lpstr>Sensitivity Analysis</vt:lpstr>
      <vt:lpstr>Pricing Adequacy</vt:lpstr>
      <vt:lpstr>Capital &amp; Solvency</vt:lpstr>
      <vt:lpstr>Simulation</vt:lpstr>
      <vt:lpstr>Scenario Comparison</vt:lpstr>
      <vt:lpstr>Dashboard</vt:lpstr>
      <vt:lpstr>Model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MRUNMAYEE</cp:lastModifiedBy>
  <cp:revision>0</cp:revision>
  <dcterms:created xsi:type="dcterms:W3CDTF">2026-02-21T14:33:40Z</dcterms:created>
  <dcterms:modified xsi:type="dcterms:W3CDTF">2026-05-27T11:40:44Z</dcterms:modified>
  <dc:language>en-US</dc:language>
</cp:coreProperties>
</file>